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695" windowHeight="13065" activeTab="5"/>
  </bookViews>
  <sheets>
    <sheet name="成飞系统件" sheetId="1" r:id="rId1"/>
    <sheet name="成飞采购部" sheetId="2" r:id="rId2"/>
    <sheet name="北京星航" sheetId="3" r:id="rId3"/>
    <sheet name="182" sheetId="4" r:id="rId4"/>
    <sheet name="331" sheetId="5" r:id="rId5"/>
    <sheet name="410" sheetId="6" r:id="rId6"/>
    <sheet name="420" sheetId="7" r:id="rId7"/>
    <sheet name="430" sheetId="8" r:id="rId8"/>
    <sheet name="460" sheetId="9" r:id="rId9"/>
    <sheet name="凌云科技" sheetId="10" r:id="rId10"/>
    <sheet name="5719" sheetId="11" r:id="rId11"/>
    <sheet name="5720" sheetId="12" r:id="rId12"/>
    <sheet name="7102" sheetId="13" r:id="rId13"/>
    <sheet name="贵州飞机" sheetId="14" r:id="rId14"/>
    <sheet name="贵州红林" sheetId="15" r:id="rId15"/>
    <sheet name="东安" sheetId="16" r:id="rId16"/>
    <sheet name="高精管轴" sheetId="17" r:id="rId17"/>
    <sheet name="哈飞" sheetId="18" r:id="rId18"/>
    <sheet name="吉林航空维修" sheetId="19" r:id="rId19"/>
    <sheet name="四七二三" sheetId="20" r:id="rId20"/>
    <sheet name="江西昌河" sheetId="21" r:id="rId21"/>
    <sheet name="江西洪都" sheetId="22" r:id="rId22"/>
    <sheet name="中科国晟" sheetId="23" r:id="rId23"/>
    <sheet name="北京飞航捷迅物" sheetId="24" r:id="rId24"/>
    <sheet name="上海商用" sheetId="25" r:id="rId25"/>
    <sheet name="沈阳飞机" sheetId="26" r:id="rId26"/>
    <sheet name="沈飞民用飞机" sheetId="27" r:id="rId27"/>
    <sheet name="潍柴动力" sheetId="28" r:id="rId28"/>
    <sheet name="西安莱特" sheetId="29" r:id="rId29"/>
    <sheet name="西安宇立" sheetId="30" r:id="rId30"/>
    <sheet name="西安飞机" sheetId="31" r:id="rId31"/>
    <sheet name="运载火箭" sheetId="32" r:id="rId32"/>
    <sheet name="重庆红宇" sheetId="33" r:id="rId33"/>
    <sheet name="5702" sheetId="34" r:id="rId34"/>
    <sheet name="771" sheetId="35" r:id="rId35"/>
    <sheet name="东安实业" sheetId="36" r:id="rId36"/>
    <sheet name="空空导弹" sheetId="37" r:id="rId37"/>
    <sheet name="中航飞机起落架" sheetId="38"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calcPr calcId="144525"/>
</workbook>
</file>

<file path=xl/comments1.xml><?xml version="1.0" encoding="utf-8"?>
<comments xmlns="http://schemas.openxmlformats.org/spreadsheetml/2006/main">
  <authors>
    <author>作者</author>
  </authors>
  <commentList>
    <comment ref="B2" authorId="0">
      <text>
        <r>
          <rPr>
            <b/>
            <sz val="9"/>
            <rFont val="宋体"/>
            <charset val="134"/>
          </rPr>
          <t>作者:</t>
        </r>
        <r>
          <rPr>
            <sz val="9"/>
            <rFont val="宋体"/>
            <charset val="134"/>
          </rPr>
          <t xml:space="preserve">
客户给的纸质版订单序号
</t>
        </r>
      </text>
    </comment>
    <comment ref="C2" authorId="0">
      <text>
        <r>
          <rPr>
            <b/>
            <sz val="9"/>
            <rFont val="宋体"/>
            <charset val="134"/>
          </rPr>
          <t>作者:</t>
        </r>
        <r>
          <rPr>
            <sz val="9"/>
            <rFont val="宋体"/>
            <charset val="134"/>
          </rPr>
          <t xml:space="preserve">
客户订单号</t>
        </r>
      </text>
    </comment>
    <comment ref="D2" authorId="0">
      <text>
        <r>
          <rPr>
            <b/>
            <sz val="9"/>
            <rFont val="宋体"/>
            <charset val="134"/>
          </rPr>
          <t>作者:</t>
        </r>
        <r>
          <rPr>
            <sz val="9"/>
            <rFont val="宋体"/>
            <charset val="134"/>
          </rPr>
          <t xml:space="preserve">
24年合同订单上
客户的物料编码</t>
        </r>
      </text>
    </comment>
    <comment ref="J2" authorId="0">
      <text>
        <r>
          <rPr>
            <b/>
            <sz val="9"/>
            <rFont val="宋体"/>
            <charset val="134"/>
          </rPr>
          <t>作者:</t>
        </r>
        <r>
          <rPr>
            <sz val="9"/>
            <rFont val="宋体"/>
            <charset val="134"/>
          </rPr>
          <t xml:space="preserve">
有油封期的填写
</t>
        </r>
      </text>
    </comment>
    <comment ref="K2" authorId="0">
      <text>
        <r>
          <rPr>
            <b/>
            <sz val="9"/>
            <rFont val="宋体"/>
            <charset val="134"/>
          </rPr>
          <t>作者:</t>
        </r>
        <r>
          <rPr>
            <sz val="9"/>
            <rFont val="宋体"/>
            <charset val="134"/>
          </rPr>
          <t xml:space="preserve">
有保管期的填写
</t>
        </r>
      </text>
    </comment>
    <comment ref="L2" authorId="0">
      <text>
        <r>
          <rPr>
            <b/>
            <sz val="9"/>
            <rFont val="宋体"/>
            <charset val="134"/>
          </rPr>
          <t>作者:</t>
        </r>
        <r>
          <rPr>
            <sz val="9"/>
            <rFont val="宋体"/>
            <charset val="134"/>
          </rPr>
          <t xml:space="preserve">
备注：
批产或验收纪要号</t>
        </r>
      </text>
    </comment>
  </commentList>
</comments>
</file>

<file path=xl/sharedStrings.xml><?xml version="1.0" encoding="utf-8"?>
<sst xmlns="http://schemas.openxmlformats.org/spreadsheetml/2006/main" count="558">
  <si>
    <t>成飞发货清单-2026.4.23产品已发</t>
  </si>
  <si>
    <t>本次发货共计1#</t>
  </si>
  <si>
    <t>发货日期：</t>
  </si>
  <si>
    <t>序号</t>
  </si>
  <si>
    <t>产品名称</t>
  </si>
  <si>
    <t>型号</t>
  </si>
  <si>
    <t>规 格</t>
  </si>
  <si>
    <t>材 料</t>
  </si>
  <si>
    <t>发货数量</t>
  </si>
  <si>
    <t>批次号</t>
  </si>
  <si>
    <t>提货单号</t>
  </si>
  <si>
    <t>箱号</t>
  </si>
  <si>
    <t>备注(订单号)</t>
  </si>
  <si>
    <t>产品保管期</t>
  </si>
  <si>
    <t>产品油封期</t>
  </si>
  <si>
    <t>-</t>
  </si>
  <si>
    <t>组件(20)</t>
  </si>
  <si>
    <t>G2603-0106</t>
  </si>
  <si>
    <t>7101084529</t>
  </si>
  <si>
    <t>1#</t>
  </si>
  <si>
    <t>司采购-26-1-A17-3265-001</t>
  </si>
  <si>
    <t>1100160907/10</t>
  </si>
  <si>
    <t>贵州航天精工制造有限公司发货清单</t>
  </si>
  <si>
    <t>订单序号</t>
  </si>
  <si>
    <t xml:space="preserve">订单号 </t>
  </si>
  <si>
    <t>物料编码</t>
  </si>
  <si>
    <t>图号</t>
  </si>
  <si>
    <t>到货数量</t>
  </si>
  <si>
    <t>材料</t>
  </si>
  <si>
    <t>油封期限</t>
  </si>
  <si>
    <t>保质期</t>
  </si>
  <si>
    <t>备注</t>
  </si>
  <si>
    <t>发货通知单号</t>
  </si>
  <si>
    <t>交付期日</t>
  </si>
  <si>
    <t>司采购-25-1-A13-3042-007</t>
  </si>
  <si>
    <t>10010772</t>
  </si>
  <si>
    <t>G2604-0917</t>
  </si>
  <si>
    <t>5860</t>
  </si>
  <si>
    <r>
      <rPr>
        <sz val="11"/>
        <color theme="1"/>
        <rFont val="宋体"/>
        <charset val="134"/>
      </rPr>
      <t>2</t>
    </r>
    <r>
      <rPr>
        <sz val="11"/>
        <color theme="1"/>
        <rFont val="宋体"/>
        <charset val="134"/>
      </rPr>
      <t>026.4.21-2028.4.20</t>
    </r>
  </si>
  <si>
    <t>批产</t>
  </si>
  <si>
    <t>7101105556</t>
  </si>
  <si>
    <t>1100162715/50</t>
  </si>
  <si>
    <t>28</t>
  </si>
  <si>
    <r>
      <rPr>
        <sz val="11"/>
        <color theme="1"/>
        <rFont val="宋体"/>
        <charset val="134"/>
      </rPr>
      <t>1</t>
    </r>
    <r>
      <rPr>
        <sz val="11"/>
        <color theme="1"/>
        <rFont val="宋体"/>
        <charset val="134"/>
      </rPr>
      <t>#</t>
    </r>
  </si>
  <si>
    <t>2026.4.25已发</t>
  </si>
  <si>
    <t>装  箱  单</t>
  </si>
  <si>
    <t>收货单位：北京星航机电装备有限公司</t>
  </si>
  <si>
    <t>单据编号:20250524-001</t>
  </si>
  <si>
    <t xml:space="preserve"> 货物总箱数:1#</t>
  </si>
  <si>
    <t>批号</t>
  </si>
  <si>
    <t>采用标准</t>
  </si>
  <si>
    <t>规格</t>
  </si>
  <si>
    <t>材质</t>
  </si>
  <si>
    <t>性能等级</t>
  </si>
  <si>
    <t>表面处理</t>
  </si>
  <si>
    <t>单件</t>
  </si>
  <si>
    <t>提货数量</t>
  </si>
  <si>
    <t>价格</t>
  </si>
  <si>
    <t>提货金额</t>
  </si>
  <si>
    <t>清单备注邀请</t>
  </si>
  <si>
    <t>7100945254</t>
  </si>
  <si>
    <t>G2412-0355</t>
  </si>
  <si>
    <t>M10</t>
  </si>
  <si>
    <t>ML1Cr17Ni2</t>
  </si>
  <si>
    <t>30-36HRC</t>
  </si>
  <si>
    <t>ECP</t>
  </si>
  <si>
    <t>件</t>
  </si>
  <si>
    <t>2023/X-07-0112</t>
  </si>
  <si>
    <r>
      <rPr>
        <sz val="22"/>
        <rFont val="宋体"/>
        <charset val="134"/>
      </rPr>
      <t>内装清单</t>
    </r>
    <r>
      <rPr>
        <sz val="22"/>
        <rFont val="Arial"/>
        <charset val="134"/>
      </rPr>
      <t xml:space="preserve">     </t>
    </r>
    <r>
      <rPr>
        <sz val="22"/>
        <rFont val="宋体"/>
        <charset val="134"/>
      </rPr>
      <t>证件资料</t>
    </r>
  </si>
  <si>
    <t>贵州航天精工制造有限公司发货汇总清单-182</t>
  </si>
  <si>
    <t>发货日期2026.4.25                     使用部门：库房</t>
  </si>
  <si>
    <t>标准件号</t>
  </si>
  <si>
    <t>标准名称</t>
  </si>
  <si>
    <t>交付数量</t>
  </si>
  <si>
    <t>单价</t>
  </si>
  <si>
    <t>总价</t>
  </si>
  <si>
    <t>生产日期</t>
  </si>
  <si>
    <t>试验件及报告携带情况</t>
  </si>
  <si>
    <t>合同编号</t>
  </si>
  <si>
    <t>G2512-0621</t>
  </si>
  <si>
    <t>无三方试验</t>
  </si>
  <si>
    <t>S0234032025000820</t>
  </si>
  <si>
    <t>7101107676</t>
  </si>
  <si>
    <t>YSD601</t>
  </si>
  <si>
    <t>1A</t>
  </si>
  <si>
    <t>1100156818/10</t>
  </si>
  <si>
    <t>合计</t>
  </si>
  <si>
    <t>7100</t>
  </si>
  <si>
    <t>装箱清单-331-2026.4.27产品已发</t>
  </si>
  <si>
    <t>710</t>
  </si>
  <si>
    <t>销售订单行</t>
  </si>
  <si>
    <t>发货日期</t>
  </si>
  <si>
    <t>名称</t>
  </si>
  <si>
    <t>数量</t>
  </si>
  <si>
    <t xml:space="preserve">331订单号   </t>
  </si>
  <si>
    <t>机型</t>
  </si>
  <si>
    <t>运单</t>
  </si>
  <si>
    <t>物料编号</t>
  </si>
  <si>
    <t>331码</t>
  </si>
  <si>
    <t>1100160834/150</t>
  </si>
  <si>
    <t>1443#</t>
  </si>
  <si>
    <t>10Ag</t>
  </si>
  <si>
    <t>G2602-7531</t>
  </si>
  <si>
    <t>7101108137</t>
  </si>
  <si>
    <t>SF1569263594141</t>
  </si>
  <si>
    <t>000042944319124082</t>
  </si>
  <si>
    <t>发货单编号</t>
  </si>
  <si>
    <t>到货单号</t>
  </si>
  <si>
    <t>供应商名称</t>
  </si>
  <si>
    <t>贵州航天精工制造有限公司</t>
  </si>
  <si>
    <t>发货地址</t>
  </si>
  <si>
    <t>浙江省温州市瑞安市塘下镇场桥上灶工业区</t>
  </si>
  <si>
    <t>物流单号／航班号</t>
  </si>
  <si>
    <t>到货仓库</t>
  </si>
  <si>
    <t>收货地址</t>
  </si>
  <si>
    <r>
      <rPr>
        <sz val="10.5"/>
        <color rgb="FF000000"/>
        <rFont val="宋体"/>
        <charset val="134"/>
      </rPr>
      <t>辽宁省沈阳市浑南区仙桃二街航空动力产业园三期</t>
    </r>
    <r>
      <rPr>
        <sz val="10.5"/>
        <color rgb="FF000000"/>
        <rFont val="Calibri"/>
        <charset val="134"/>
      </rPr>
      <t>5</t>
    </r>
    <r>
      <rPr>
        <sz val="10.5"/>
        <color rgb="FF000000"/>
        <rFont val="宋体"/>
        <charset val="134"/>
      </rPr>
      <t>号库东南门</t>
    </r>
  </si>
  <si>
    <t>交付方式</t>
  </si>
  <si>
    <t>2026.04.24</t>
  </si>
  <si>
    <t>预计到货日期</t>
  </si>
  <si>
    <t>总箱数／捆数</t>
  </si>
  <si>
    <r>
      <rPr>
        <sz val="10.5"/>
        <color rgb="FF000000"/>
        <rFont val="Calibri"/>
        <charset val="134"/>
      </rPr>
      <t>1</t>
    </r>
    <r>
      <rPr>
        <sz val="10.5"/>
        <color rgb="FF000000"/>
        <rFont val="宋体"/>
        <charset val="134"/>
      </rPr>
      <t>箱</t>
    </r>
  </si>
  <si>
    <t>发货人</t>
  </si>
  <si>
    <t>联系电话</t>
  </si>
  <si>
    <t>总件（批次）数</t>
  </si>
  <si>
    <t>承运人</t>
  </si>
  <si>
    <t>顺丰郎先生</t>
  </si>
  <si>
    <r>
      <rPr>
        <sz val="10.5"/>
        <color rgb="FF000000"/>
        <rFont val="宋体"/>
        <charset val="134"/>
      </rPr>
      <t>总重量（含包装箱）</t>
    </r>
    <r>
      <rPr>
        <sz val="10.5"/>
        <color rgb="FF000000"/>
        <rFont val="Calibri"/>
        <charset val="134"/>
      </rPr>
      <t>(kg</t>
    </r>
    <r>
      <rPr>
        <sz val="10.5"/>
        <color rgb="FF000000"/>
        <rFont val="宋体"/>
        <charset val="134"/>
      </rPr>
      <t>）</t>
    </r>
  </si>
  <si>
    <t>收货人</t>
  </si>
  <si>
    <t>张珂瑶</t>
  </si>
  <si>
    <t>采购员</t>
  </si>
  <si>
    <t>订单编号｜行号</t>
  </si>
  <si>
    <r>
      <rPr>
        <sz val="10.5"/>
        <color theme="1"/>
        <rFont val="Times New Roman"/>
        <charset val="134"/>
      </rPr>
      <t>PART</t>
    </r>
    <r>
      <rPr>
        <sz val="10.5"/>
        <color theme="1"/>
        <rFont val="宋体"/>
        <charset val="134"/>
      </rPr>
      <t>码</t>
    </r>
  </si>
  <si>
    <t>物料名称</t>
  </si>
  <si>
    <t>制造型号序号</t>
  </si>
  <si>
    <t>修程</t>
  </si>
  <si>
    <t>军民品</t>
  </si>
  <si>
    <t>计量单位</t>
  </si>
  <si>
    <t>例如</t>
  </si>
  <si>
    <t>/</t>
  </si>
  <si>
    <t>军品</t>
  </si>
  <si>
    <t>个</t>
  </si>
  <si>
    <t>供应商批次</t>
  </si>
  <si>
    <t>供应商顺序号</t>
  </si>
  <si>
    <t>随机文件数量</t>
  </si>
  <si>
    <t>是否为附带备件</t>
  </si>
  <si>
    <t>理化件数量</t>
  </si>
  <si>
    <t>零件数量</t>
  </si>
  <si>
    <t>光盘数量</t>
  </si>
  <si>
    <t>物料版本</t>
  </si>
  <si>
    <t>否</t>
  </si>
  <si>
    <t>无</t>
  </si>
  <si>
    <r>
      <rPr>
        <sz val="10.5"/>
        <color theme="1"/>
        <rFont val="Times New Roman"/>
        <charset val="134"/>
      </rPr>
      <t>100</t>
    </r>
    <r>
      <rPr>
        <sz val="10.5"/>
        <color theme="1"/>
        <rFont val="宋体"/>
        <charset val="134"/>
      </rPr>
      <t>％国产化</t>
    </r>
  </si>
  <si>
    <r>
      <rPr>
        <sz val="10"/>
        <color theme="1"/>
        <rFont val="Times New Roman"/>
        <charset val="134"/>
      </rPr>
      <t>100</t>
    </r>
    <r>
      <rPr>
        <sz val="10"/>
        <color theme="1"/>
        <rFont val="宋体"/>
        <charset val="134"/>
      </rPr>
      <t>％国产化</t>
    </r>
  </si>
  <si>
    <t>410装箱单-2026.4.28已发</t>
  </si>
  <si>
    <t xml:space="preserve"> </t>
  </si>
  <si>
    <t>牌号</t>
  </si>
  <si>
    <t>数量     （件）</t>
  </si>
  <si>
    <t>合计数量</t>
  </si>
  <si>
    <t>清单号</t>
  </si>
  <si>
    <t>备注1</t>
  </si>
  <si>
    <t>合同号</t>
  </si>
  <si>
    <t>G2604-0943</t>
  </si>
  <si>
    <t>7101108166</t>
  </si>
  <si>
    <t>内六角螺钉</t>
  </si>
  <si>
    <t>G2604-0944</t>
  </si>
  <si>
    <t>7101108217</t>
  </si>
  <si>
    <t>内六角螺钉(加长)</t>
  </si>
  <si>
    <t>420发货清单-张毕轩-2026.4.27产品已发</t>
  </si>
  <si>
    <t>发货时间</t>
  </si>
  <si>
    <t>零件名称</t>
  </si>
  <si>
    <t>零件号/规格</t>
  </si>
  <si>
    <t>版次</t>
  </si>
  <si>
    <t>产品状态</t>
  </si>
  <si>
    <t>单件重量/G</t>
  </si>
  <si>
    <t>订货数量</t>
  </si>
  <si>
    <t>合同单价</t>
  </si>
  <si>
    <t>运单号</t>
  </si>
  <si>
    <t>追溯码</t>
  </si>
  <si>
    <t>合同号/订货单号</t>
  </si>
  <si>
    <t>G</t>
  </si>
  <si>
    <t>已完成合格认证</t>
  </si>
  <si>
    <t>G2601-2607</t>
  </si>
  <si>
    <t>SF1569263586676</t>
  </si>
  <si>
    <t>DHH2026010098</t>
  </si>
  <si>
    <t>7101108214</t>
  </si>
  <si>
    <t>G-100015358-260206-0033</t>
  </si>
  <si>
    <t>MS51830(G版)</t>
  </si>
  <si>
    <t>CA201L</t>
  </si>
  <si>
    <t>430装箱单-2026.4.27产品已发</t>
  </si>
  <si>
    <t>发货之前填写订单数量，交付日期，合同号，没有问姚晗</t>
  </si>
  <si>
    <t>数量（件）</t>
  </si>
  <si>
    <t>订单数量</t>
  </si>
  <si>
    <t>交付日期</t>
  </si>
  <si>
    <t>日期</t>
  </si>
  <si>
    <t>G2510-0520</t>
  </si>
  <si>
    <t>订单数量:365</t>
  </si>
  <si>
    <t>7101095411</t>
  </si>
  <si>
    <t>X20</t>
  </si>
  <si>
    <t>刘苗</t>
  </si>
  <si>
    <t>S10.2.1157</t>
  </si>
  <si>
    <t>订单数量:</t>
  </si>
  <si>
    <t>贵州航天精工发货清单--460-2026.4.27产品已发</t>
  </si>
  <si>
    <t>客户物料码</t>
  </si>
  <si>
    <t>订单行号</t>
  </si>
  <si>
    <t>客户订单行号</t>
  </si>
  <si>
    <t>客户特殊要求</t>
  </si>
  <si>
    <t>橡胶保质期</t>
  </si>
  <si>
    <t>GH536</t>
  </si>
  <si>
    <t>G2603-1012</t>
  </si>
  <si>
    <t>7101106510</t>
  </si>
  <si>
    <t>1100156449/50</t>
  </si>
  <si>
    <t>4500024452-680</t>
  </si>
  <si>
    <t>16659421</t>
  </si>
  <si>
    <t>1546#</t>
  </si>
  <si>
    <t>凌云科技集团装箱单</t>
  </si>
  <si>
    <t>清单备注</t>
  </si>
  <si>
    <t>8×160</t>
  </si>
  <si>
    <t/>
  </si>
  <si>
    <t>组件(铜)</t>
  </si>
  <si>
    <t>G2602-0481</t>
  </si>
  <si>
    <t>7101106547</t>
  </si>
  <si>
    <t>航天精工股份有限贵州公司发货清单</t>
  </si>
  <si>
    <t>发货时间：</t>
  </si>
  <si>
    <t>本次发货共2箱</t>
  </si>
  <si>
    <t>收货人：王延泽</t>
  </si>
  <si>
    <t>合同号（若有）</t>
  </si>
  <si>
    <t>客户采购订单编号</t>
  </si>
  <si>
    <t>G2510-0846</t>
  </si>
  <si>
    <t>SF1566631842360</t>
  </si>
  <si>
    <t>7101101388</t>
  </si>
  <si>
    <t>（2026）N35365719</t>
  </si>
  <si>
    <t>G-110000031-251015-0027-1</t>
  </si>
  <si>
    <t>S10B.1.1423XL-01</t>
  </si>
  <si>
    <t>贵州航天精工制造有限公司发货清单-5720</t>
  </si>
  <si>
    <t>日期：</t>
  </si>
  <si>
    <t>标准号/图号</t>
  </si>
  <si>
    <t>发货金额</t>
  </si>
  <si>
    <t>蓝色阳极化</t>
  </si>
  <si>
    <t>G2510-1747</t>
  </si>
  <si>
    <t>7101108206</t>
  </si>
  <si>
    <t>合同号2025X1752，SK专项特急，12月15日必保，货发许陈，18255325276，安徽省芜湖市鸠江区南阳路国营芜湖机械厂"</t>
  </si>
  <si>
    <t>G-110000029-251027-0102</t>
  </si>
  <si>
    <t>Q/611S310-2010</t>
  </si>
  <si>
    <t>收货单位：四川航天长征装备制造有限公司                                         联系人：  张晓迪                                               发货日期：2025.7.22</t>
  </si>
  <si>
    <t>单位</t>
  </si>
  <si>
    <t>金额</t>
  </si>
  <si>
    <t>办事处订单号</t>
  </si>
  <si>
    <t>Q235</t>
  </si>
  <si>
    <t>Ep·Zn·c2C</t>
  </si>
  <si>
    <t>G02507-023</t>
  </si>
  <si>
    <t>G-100001932-250414-0405</t>
  </si>
  <si>
    <t>SF1549653517994</t>
  </si>
  <si>
    <t>7100977681</t>
  </si>
  <si>
    <r>
      <rPr>
        <b/>
        <sz val="16"/>
        <color rgb="FFFF0000"/>
        <rFont val="宋体"/>
        <charset val="134"/>
      </rPr>
      <t>本次发货共计1箱，1项</t>
    </r>
    <r>
      <rPr>
        <b/>
        <sz val="16"/>
        <color theme="1"/>
        <rFont val="宋体"/>
        <charset val="134"/>
      </rPr>
      <t>。(</t>
    </r>
    <r>
      <rPr>
        <b/>
        <sz val="16"/>
        <color rgb="FFFF0000"/>
        <rFont val="宋体"/>
        <charset val="134"/>
      </rPr>
      <t>发货清单一式二份</t>
    </r>
    <r>
      <rPr>
        <b/>
        <sz val="16"/>
        <color theme="1"/>
        <rFont val="宋体"/>
        <charset val="134"/>
      </rPr>
      <t>)</t>
    </r>
  </si>
  <si>
    <t>贵州航天精工发货清单--贵州飞机</t>
  </si>
  <si>
    <t>贵州飞机要求装箱单做好需要发给丁宇宇确认才能发货</t>
  </si>
  <si>
    <t>备注（试）</t>
  </si>
  <si>
    <t>21.6</t>
  </si>
  <si>
    <t>5870</t>
  </si>
  <si>
    <t>G2512-1428</t>
  </si>
  <si>
    <t>7101106631</t>
  </si>
  <si>
    <t>贵飞采购-25-1-A13-0713</t>
  </si>
  <si>
    <t>贵州航天精工发货清单--红林</t>
  </si>
  <si>
    <t>橡胶件务必按型号排序，再打印</t>
  </si>
  <si>
    <t>2A11</t>
  </si>
  <si>
    <t>铬酸阳极化+螺纹和表面A涂MoS2</t>
  </si>
  <si>
    <t>G2512-1573</t>
  </si>
  <si>
    <t>装  箱  单-东安</t>
  </si>
  <si>
    <r>
      <rPr>
        <b/>
        <sz val="10"/>
        <color rgb="FFFF0000"/>
        <rFont val="宋体"/>
        <charset val="134"/>
      </rPr>
      <t>商发型号带有</t>
    </r>
    <r>
      <rPr>
        <b/>
        <sz val="10"/>
        <color rgb="FFFF0000"/>
        <rFont val="Arial"/>
        <charset val="134"/>
      </rPr>
      <t>LNRGB/SNRGB</t>
    </r>
    <r>
      <rPr>
        <b/>
        <sz val="10"/>
        <color rgb="FFFF0000"/>
        <rFont val="宋体"/>
        <charset val="134"/>
      </rPr>
      <t>批次号需要更改</t>
    </r>
  </si>
  <si>
    <t>G2603-1397</t>
  </si>
  <si>
    <t>HNY300耐油石棉橡胶板</t>
  </si>
  <si>
    <t>急件发货，缺尺寸和首件包</t>
  </si>
  <si>
    <t>哈尔滨高精管轴装箱清单</t>
  </si>
  <si>
    <t>物品名称</t>
  </si>
  <si>
    <t>已提货数量</t>
  </si>
  <si>
    <t>有LNRGB/SNRGB开头的序列号要统一填写</t>
  </si>
  <si>
    <t>14Cr17Ni2</t>
  </si>
  <si>
    <t>30-37HRC</t>
  </si>
  <si>
    <t>Ct·P</t>
  </si>
  <si>
    <t>G2603-0184</t>
  </si>
  <si>
    <t>7101102910</t>
  </si>
  <si>
    <t>贵州航天精工发货清单--哈飞</t>
  </si>
  <si>
    <t>G-404</t>
  </si>
  <si>
    <t>组件</t>
  </si>
  <si>
    <t>G2407-2196</t>
  </si>
  <si>
    <t>7101096972</t>
  </si>
  <si>
    <t>贵州航天精工发货清单--吉林航空维修</t>
  </si>
  <si>
    <t>FX-4</t>
  </si>
  <si>
    <t>G2508-0158</t>
  </si>
  <si>
    <t>7101104978</t>
  </si>
  <si>
    <t>型号:ZM17.5×2.5-FX-4，合同号JHC2025070815</t>
  </si>
  <si>
    <t>贵州航天精工发货清单--四七二三</t>
  </si>
  <si>
    <t>Cr17Ni2</t>
  </si>
  <si>
    <t>d=3.5-3.8</t>
  </si>
  <si>
    <t>G2601-7539</t>
  </si>
  <si>
    <t>7101106816</t>
  </si>
  <si>
    <t>合同号：26BF005GY003BJ</t>
  </si>
  <si>
    <t>贵州航天精工发货清单</t>
  </si>
  <si>
    <t>每次发货第一时间发表格给丁宇宇</t>
  </si>
  <si>
    <t>4340</t>
  </si>
  <si>
    <t>39-43HRC</t>
  </si>
  <si>
    <t>镀镉,涂16醇</t>
  </si>
  <si>
    <t>G2403-0979</t>
  </si>
  <si>
    <t>7100945190</t>
  </si>
  <si>
    <t>1-1#</t>
  </si>
  <si>
    <t>1100146600/10</t>
  </si>
  <si>
    <t>贵州航天精工发货清单---江西洪都</t>
  </si>
  <si>
    <t>A-MJ5</t>
  </si>
  <si>
    <t>A286</t>
  </si>
  <si>
    <t>σb≥900MPa</t>
  </si>
  <si>
    <t>钝化+二硫化钼</t>
  </si>
  <si>
    <t>G2410-1694</t>
  </si>
  <si>
    <t>7101095367</t>
  </si>
  <si>
    <t>X8</t>
  </si>
  <si>
    <t>装  箱  单-中科国晟</t>
  </si>
  <si>
    <t>7101097860</t>
  </si>
  <si>
    <t>G2510-1003</t>
  </si>
  <si>
    <t>1387566170726</t>
  </si>
  <si>
    <t>装箱单</t>
  </si>
  <si>
    <t>收货单位：北京飞航捷迅物资有限责任公司</t>
  </si>
  <si>
    <t>单据编号:</t>
  </si>
  <si>
    <t>202604-0098</t>
  </si>
  <si>
    <t>货物总箱数：</t>
  </si>
  <si>
    <t>供方名称</t>
  </si>
  <si>
    <t>周华伟</t>
  </si>
  <si>
    <t>制单日期</t>
  </si>
  <si>
    <t>陈玲艳</t>
  </si>
  <si>
    <t>采购文件编号</t>
  </si>
  <si>
    <t>规格型号</t>
  </si>
  <si>
    <t>质量等级</t>
  </si>
  <si>
    <t>批次</t>
  </si>
  <si>
    <t>159_2025/X-11-0028</t>
  </si>
  <si>
    <t>G2601-0486</t>
  </si>
  <si>
    <t>7101101459</t>
  </si>
  <si>
    <t>1101459</t>
  </si>
  <si>
    <t>14×110</t>
  </si>
  <si>
    <t>HB1-704-</t>
  </si>
  <si>
    <t>2026/X-03-0053</t>
  </si>
  <si>
    <t>G2603-1628</t>
  </si>
  <si>
    <t>7101102722</t>
  </si>
  <si>
    <t>1102722</t>
  </si>
  <si>
    <t>15</t>
  </si>
  <si>
    <t>HB3-16FD-</t>
  </si>
  <si>
    <t>内装清单 证件资料</t>
  </si>
  <si>
    <t>商用航空发动机实物类交付物交接单</t>
  </si>
  <si>
    <t xml:space="preserve">   表单编号：GXJC123536-2026-0020</t>
  </si>
  <si>
    <t>交付单位</t>
  </si>
  <si>
    <t>型号:</t>
  </si>
  <si>
    <t>CJ1000A</t>
  </si>
  <si>
    <t>订货单位</t>
  </si>
  <si>
    <t>上海商发制造</t>
  </si>
  <si>
    <t>接收单位</t>
  </si>
  <si>
    <t>对应验收单编号</t>
  </si>
  <si>
    <t>SQ123536-2026-0033</t>
  </si>
  <si>
    <t>对应合同号</t>
  </si>
  <si>
    <t xml:space="preserve">HT/SFZZ-2BTY·0008-2026 </t>
  </si>
  <si>
    <t>产品状态说明</t>
  </si>
  <si>
    <t>□产品经商发验收通过。                                 □产品未经商发验收，按商发要求发往他处开展到货验收。</t>
  </si>
  <si>
    <t>□按商发要求发往其它单位开展测试改装/特定演示。        □其它：</t>
  </si>
  <si>
    <t>零组件名称</t>
  </si>
  <si>
    <t>批次/顺序号</t>
  </si>
  <si>
    <t>合格证页数</t>
  </si>
  <si>
    <t>不合格品审理单/偏离单/代料单份数</t>
  </si>
  <si>
    <t>不合格品审理单/偏离单/代料单页数</t>
  </si>
  <si>
    <t>其它随带文件名称</t>
  </si>
  <si>
    <t>其它随带文件页数</t>
  </si>
  <si>
    <t>外套螺母</t>
  </si>
  <si>
    <t>D</t>
  </si>
  <si>
    <t>LNRGB26031978</t>
  </si>
  <si>
    <t>试验报告/   构型表/     复验记录单/</t>
  </si>
  <si>
    <t>交付单位签字 ： 吕娅男</t>
  </si>
  <si>
    <t>订货单位签字：</t>
  </si>
  <si>
    <t>接收单位签字：</t>
  </si>
  <si>
    <t xml:space="preserve"> 日期：2026.4.21</t>
  </si>
  <si>
    <t xml:space="preserve"> 日期：</t>
  </si>
  <si>
    <t>第 1  页/共 1  页</t>
  </si>
  <si>
    <r>
      <rPr>
        <sz val="9"/>
        <color theme="1"/>
        <rFont val="宋体"/>
        <charset val="134"/>
      </rPr>
      <t>表单编号：</t>
    </r>
    <r>
      <rPr>
        <sz val="9"/>
        <color theme="1"/>
        <rFont val="Times New Roman"/>
        <charset val="134"/>
      </rPr>
      <t xml:space="preserve">SCM020-03                                                                                                         </t>
    </r>
    <r>
      <rPr>
        <sz val="9"/>
        <color theme="1"/>
        <rFont val="宋体"/>
        <charset val="134"/>
      </rPr>
      <t>版次</t>
    </r>
    <r>
      <rPr>
        <sz val="9"/>
        <color theme="1"/>
        <rFont val="Times New Roman"/>
        <charset val="134"/>
      </rPr>
      <t>: C0</t>
    </r>
  </si>
  <si>
    <t>1. 本表单一式三份，随产品周转一份，供应商和验收方各留存一份，当使用线上流程时，无需纸质文件流转。</t>
  </si>
  <si>
    <t>2.需由交付方、验收方和接收方三方对本表签字。</t>
  </si>
  <si>
    <t>3. 本表单编号规则为“JJ（交接）-XXXXXX（交付方代码）-XXXXXX（接收方代码）-20XX（年代号）-XXXX（顺序号）”。</t>
  </si>
  <si>
    <r>
      <rPr>
        <sz val="11"/>
        <rFont val="微软雅黑"/>
        <charset val="134"/>
      </rPr>
      <t>日期</t>
    </r>
  </si>
  <si>
    <t>2026.3.18 （产品已发何龙通知）</t>
  </si>
  <si>
    <r>
      <rPr>
        <sz val="10"/>
        <rFont val="微软雅黑"/>
        <charset val="134"/>
      </rPr>
      <t>编号</t>
    </r>
  </si>
  <si>
    <r>
      <rPr>
        <sz val="11"/>
        <rFont val="微软雅黑"/>
        <charset val="134"/>
      </rPr>
      <t>收货单位</t>
    </r>
  </si>
  <si>
    <r>
      <rPr>
        <sz val="10"/>
        <rFont val="宋体"/>
        <charset val="134"/>
      </rPr>
      <t>沈飞公司器材保障部计划物流室</t>
    </r>
  </si>
  <si>
    <r>
      <rPr>
        <sz val="10"/>
        <rFont val="微软雅黑"/>
        <charset val="134"/>
      </rPr>
      <t>发货单位</t>
    </r>
  </si>
  <si>
    <r>
      <rPr>
        <sz val="11"/>
        <rFont val="微软雅黑"/>
        <charset val="134"/>
      </rPr>
      <t>供应员</t>
    </r>
  </si>
  <si>
    <r>
      <rPr>
        <sz val="10"/>
        <rFont val="微软雅黑"/>
        <charset val="134"/>
      </rPr>
      <t>发货人</t>
    </r>
  </si>
  <si>
    <r>
      <rPr>
        <sz val="11"/>
        <rFont val="微软雅黑"/>
        <charset val="134"/>
      </rPr>
      <t>联系方式</t>
    </r>
  </si>
  <si>
    <r>
      <rPr>
        <sz val="10"/>
        <rFont val="微软雅黑"/>
        <charset val="134"/>
      </rPr>
      <t>-</t>
    </r>
  </si>
  <si>
    <r>
      <rPr>
        <sz val="10"/>
        <rFont val="微软雅黑"/>
        <charset val="134"/>
      </rPr>
      <t>联系方式</t>
    </r>
  </si>
  <si>
    <r>
      <rPr>
        <sz val="11"/>
        <rFont val="微软雅黑"/>
        <charset val="134"/>
      </rPr>
      <t>发货方式</t>
    </r>
  </si>
  <si>
    <r>
      <rPr>
        <sz val="10"/>
        <rFont val="微软雅黑"/>
        <charset val="134"/>
      </rPr>
      <t>铁路专线</t>
    </r>
  </si>
  <si>
    <r>
      <rPr>
        <sz val="10"/>
        <rFont val="微软雅黑"/>
        <charset val="134"/>
      </rPr>
      <t>中铁快运</t>
    </r>
  </si>
  <si>
    <t>公路物流</t>
  </si>
  <si>
    <r>
      <rPr>
        <sz val="10"/>
        <rFont val="微软雅黑"/>
        <charset val="134"/>
      </rPr>
      <t>自提</t>
    </r>
  </si>
  <si>
    <r>
      <rPr>
        <b/>
        <sz val="12"/>
        <rFont val="微软雅黑"/>
        <charset val="134"/>
      </rPr>
      <t>序号</t>
    </r>
  </si>
  <si>
    <t>到货日期</t>
  </si>
  <si>
    <t>计划编号</t>
  </si>
  <si>
    <t>材料牌号/规格</t>
  </si>
  <si>
    <r>
      <rPr>
        <b/>
        <sz val="10"/>
        <rFont val="微软雅黑"/>
        <charset val="134"/>
      </rPr>
      <t>炉批号</t>
    </r>
  </si>
  <si>
    <r>
      <rPr>
        <b/>
        <sz val="10"/>
        <rFont val="微软雅黑"/>
        <charset val="134"/>
      </rPr>
      <t>合同号</t>
    </r>
  </si>
  <si>
    <r>
      <rPr>
        <b/>
        <sz val="10"/>
        <rFont val="微软雅黑"/>
        <charset val="134"/>
      </rPr>
      <t>机型</t>
    </r>
  </si>
  <si>
    <r>
      <rPr>
        <b/>
        <sz val="10"/>
        <rFont val="微软雅黑"/>
        <charset val="134"/>
      </rPr>
      <t>发货单位</t>
    </r>
  </si>
  <si>
    <t>三方报告</t>
  </si>
  <si>
    <t>试验件或同批次</t>
  </si>
  <si>
    <t>保管到日期</t>
  </si>
  <si>
    <r>
      <rPr>
        <b/>
        <sz val="10"/>
        <rFont val="微软雅黑"/>
        <charset val="134"/>
      </rPr>
      <t>名称</t>
    </r>
  </si>
  <si>
    <r>
      <rPr>
        <b/>
        <sz val="10"/>
        <rFont val="微软雅黑"/>
        <charset val="134"/>
      </rPr>
      <t>路线</t>
    </r>
  </si>
  <si>
    <t>欠交数量</t>
  </si>
  <si>
    <t>有履约项可标记</t>
  </si>
  <si>
    <t>投产总数量</t>
  </si>
  <si>
    <r>
      <rPr>
        <b/>
        <sz val="10"/>
        <rFont val="微软雅黑"/>
        <charset val="134"/>
      </rPr>
      <t>备注</t>
    </r>
  </si>
  <si>
    <t>订单号</t>
  </si>
  <si>
    <t>发货通知单</t>
  </si>
  <si>
    <t>G2512-0518</t>
  </si>
  <si>
    <t>3536厂</t>
  </si>
  <si>
    <t>G2168</t>
  </si>
  <si>
    <t>000042944288076201</t>
  </si>
  <si>
    <t>G-100011915-251128-0222</t>
  </si>
  <si>
    <t>7101082237</t>
  </si>
  <si>
    <t>1100156599/20</t>
  </si>
  <si>
    <r>
      <rPr>
        <sz val="11"/>
        <rFont val="微软雅黑"/>
        <charset val="134"/>
      </rPr>
      <t>发货人（签字）：</t>
    </r>
  </si>
  <si>
    <t>计划物流室（签字）：</t>
  </si>
  <si>
    <r>
      <rPr>
        <sz val="11"/>
        <rFont val="微软雅黑"/>
        <charset val="134"/>
      </rPr>
      <t>材料采购室（签字）：</t>
    </r>
  </si>
  <si>
    <t>标准件中心（签字）：</t>
  </si>
  <si>
    <t>发货人（签字）：</t>
  </si>
  <si>
    <t>器材验收单</t>
  </si>
  <si>
    <t>项目：</t>
  </si>
  <si>
    <t>供应商名称：贵州航天精工制造有限公司</t>
  </si>
  <si>
    <t>材料代码</t>
  </si>
  <si>
    <t>材料名称</t>
  </si>
  <si>
    <t>技术规范</t>
  </si>
  <si>
    <t>实收数量</t>
  </si>
  <si>
    <t>计划价格</t>
  </si>
  <si>
    <t>1</t>
  </si>
  <si>
    <t>J11F26020</t>
  </si>
  <si>
    <t>G2603-0640</t>
  </si>
  <si>
    <t>pcs</t>
  </si>
  <si>
    <t>7101105554</t>
  </si>
  <si>
    <t>1105554</t>
  </si>
  <si>
    <t>1100161229/10</t>
  </si>
  <si>
    <t>注：本单一式四联，白色联由采购留存，黄色联由财务留存，蓝色联和粉色联由库房留存。</t>
  </si>
  <si>
    <t>潍柴动力产品实验室仓库送货单</t>
  </si>
  <si>
    <t>潍柴件号</t>
  </si>
  <si>
    <t>样件状态</t>
  </si>
  <si>
    <t>供方代码</t>
  </si>
  <si>
    <t>B01</t>
  </si>
  <si>
    <t>4M70</t>
  </si>
  <si>
    <t>7100983925</t>
  </si>
  <si>
    <t>收货地址：山东省潍坊市高新区潍安路与东风街路口北200米路西，潍柴工业园东南物流门智能物流中心10号门</t>
  </si>
  <si>
    <t>收货人：黄晓娟15318986503（于朋）（并备注需求工程师名字）</t>
  </si>
  <si>
    <t>送货方式：司机送货或顺丰快递，其他快递无法进入厂。</t>
  </si>
  <si>
    <t>收货要求：零部件包装或零部件表面需按照图纸要求体现样件状态、供方代码、件号、批次号。</t>
  </si>
  <si>
    <t>务必检查型号和规格要连接在一起，但不能重复，切记！</t>
  </si>
  <si>
    <t>采购方：西安西航集团莱特航空制造技术有限公司</t>
  </si>
  <si>
    <t>装箱单号：</t>
  </si>
  <si>
    <t>HTJG24-XALT001</t>
  </si>
  <si>
    <t>地址：陕西省西安市经济技术开发区明光路光中综合保税区A区（莱特厂房）</t>
  </si>
  <si>
    <t>发票号：</t>
  </si>
  <si>
    <t>68678704/68668866</t>
  </si>
  <si>
    <t>销售方：贵州航天精工制造有限公司</t>
  </si>
  <si>
    <t>地址：贵州省遵义市红花岗区虾子镇</t>
  </si>
  <si>
    <t>型号/规格</t>
  </si>
  <si>
    <t>单件净重（千克）</t>
  </si>
  <si>
    <t>总净重（千克）</t>
  </si>
  <si>
    <t>球形导管接头</t>
  </si>
  <si>
    <t>LT-CG-ZC-SF-2026190</t>
  </si>
  <si>
    <t>7101105338</t>
  </si>
  <si>
    <t>1100163643/50</t>
  </si>
  <si>
    <t>SPE8004</t>
  </si>
  <si>
    <t>合计：</t>
  </si>
  <si>
    <t>箱数：共1纸箱</t>
  </si>
  <si>
    <t>合计：净重0.172 公斤，毛重1.25公斤</t>
  </si>
  <si>
    <t>贵州省遵义市红花岗区虾子镇</t>
  </si>
  <si>
    <t>TEL:0851-28693536</t>
  </si>
  <si>
    <t>装箱清单--西安宇立航空科技</t>
  </si>
  <si>
    <t>标准号</t>
  </si>
  <si>
    <t>1.5×30</t>
  </si>
  <si>
    <t>2A12</t>
  </si>
  <si>
    <t>σb≥390MPa</t>
  </si>
  <si>
    <t>Et·A(S)·Cs</t>
  </si>
  <si>
    <t>G2107-2152</t>
  </si>
  <si>
    <t>发宇立-马静，4.07订货，现货：G2107-2152</t>
  </si>
  <si>
    <t>7101098611</t>
  </si>
  <si>
    <t>航天精工股份有限公司(贵州)发货汇总清单</t>
  </si>
  <si>
    <t>使用部门：库房</t>
  </si>
  <si>
    <t>橡胶件保管周期</t>
  </si>
  <si>
    <t>客户订单号（原订单号）</t>
  </si>
  <si>
    <t>客户计划号</t>
  </si>
  <si>
    <t>G2602-0264</t>
  </si>
  <si>
    <t>资料齐全</t>
  </si>
  <si>
    <t>G-100003643-250108-0014</t>
  </si>
  <si>
    <t>11552303202501-002</t>
  </si>
  <si>
    <t>7101104702</t>
  </si>
  <si>
    <t>1100140058/20</t>
  </si>
  <si>
    <t>运载火箭发货清单-2026.4.21产品已发</t>
  </si>
  <si>
    <t>提货单</t>
  </si>
  <si>
    <t>计划号</t>
  </si>
  <si>
    <t>盒号</t>
  </si>
  <si>
    <t>组批号</t>
  </si>
  <si>
    <t>前期是否发过货</t>
  </si>
  <si>
    <t>试验件</t>
  </si>
  <si>
    <t>7101098638</t>
  </si>
  <si>
    <t>G2509-1288</t>
  </si>
  <si>
    <t>5×8</t>
  </si>
  <si>
    <t>1-1</t>
  </si>
  <si>
    <t>HP2512-002</t>
  </si>
  <si>
    <t>贵州航天精工发货清单-重庆红宇</t>
  </si>
  <si>
    <t>物料号</t>
  </si>
  <si>
    <t>18</t>
  </si>
  <si>
    <t>42-50HRC</t>
  </si>
  <si>
    <t>Ep·Zn-Ni·c2C</t>
  </si>
  <si>
    <t>65Mn</t>
  </si>
  <si>
    <t>G02604-069</t>
  </si>
  <si>
    <t>7101108175</t>
  </si>
  <si>
    <t>1-4#</t>
  </si>
  <si>
    <t>002004000593</t>
  </si>
  <si>
    <t>G-100015451-260312-0004</t>
  </si>
  <si>
    <t>贵州航天精工发货清单-5702</t>
  </si>
  <si>
    <t>≥285HB</t>
  </si>
  <si>
    <t>GH80A</t>
  </si>
  <si>
    <t>G2410-1351</t>
  </si>
  <si>
    <t>7101073263</t>
  </si>
  <si>
    <t>合同号GY-2026-2-0087</t>
  </si>
  <si>
    <t>需跟纸质版清单 并拍照发771发货群</t>
  </si>
  <si>
    <t>董彦楠发货时箱子上贴标签 “空港”</t>
  </si>
  <si>
    <t>收货单位：西安微电子技术研究所</t>
  </si>
  <si>
    <t>单据编号：2026.4.27</t>
  </si>
  <si>
    <t xml:space="preserve"> 货物总箱数1箱</t>
  </si>
  <si>
    <t>7101089009</t>
  </si>
  <si>
    <t>G2509-1948</t>
  </si>
  <si>
    <t>M2×12</t>
  </si>
  <si>
    <t>ML1Cr18Ni9Ti</t>
  </si>
  <si>
    <t>A2-70</t>
  </si>
  <si>
    <t>发771所帅俊岍，同批次发货，提供合格证，尺寸单，试验报告，按照国标或者QJ3112A标准的规定进行性能复验的第三方证明文件并执行双方签订的技术协议，订单号20251230-008，ZGJ,</t>
  </si>
  <si>
    <t>贵州航天精工发货清单-东安实业</t>
  </si>
  <si>
    <t>需拍照发廖庆</t>
  </si>
  <si>
    <t>M6</t>
  </si>
  <si>
    <t>29-35HRC</t>
  </si>
  <si>
    <t>Ep·Ag</t>
  </si>
  <si>
    <t>GH2132</t>
  </si>
  <si>
    <t>G2510-0091</t>
  </si>
  <si>
    <t>件号：HB5636M6  带试验报告，尺寸报告，材质单，探伤报告，热处理合格证明，表面处理合格证明，产品称重。</t>
  </si>
  <si>
    <r>
      <rPr>
        <b/>
        <sz val="16"/>
        <color theme="1"/>
        <rFont val="宋体"/>
        <charset val="134"/>
      </rPr>
      <t xml:space="preserve">     </t>
    </r>
    <r>
      <rPr>
        <b/>
        <sz val="20"/>
        <color theme="1"/>
        <rFont val="宋体"/>
        <charset val="134"/>
      </rPr>
      <t xml:space="preserve"> 贵州航天精工制造有限公司发货清单            </t>
    </r>
  </si>
  <si>
    <t xml:space="preserve">   二维码</t>
  </si>
  <si>
    <t>G02410-036</t>
  </si>
  <si>
    <t>1.5</t>
  </si>
  <si>
    <t>Ct·O</t>
  </si>
  <si>
    <t>WZ20240804124160</t>
  </si>
  <si>
    <t>7100867648</t>
  </si>
  <si>
    <t>发货汇总清单-572-2026.4.27产品已发</t>
  </si>
  <si>
    <t>标准型号</t>
  </si>
  <si>
    <t>8×12×12</t>
  </si>
  <si>
    <t>20A</t>
  </si>
  <si>
    <t>G2603-2225</t>
  </si>
  <si>
    <t>HZB250423</t>
  </si>
  <si>
    <t>7101104767</t>
  </si>
</sst>
</file>

<file path=xl/styles.xml><?xml version="1.0" encoding="utf-8"?>
<styleSheet xmlns="http://schemas.openxmlformats.org/spreadsheetml/2006/main">
  <numFmts count="9">
    <numFmt numFmtId="43" formatCode="_ * #,##0.00_ ;_ * \-#,##0.00_ ;_ * &quot;-&quot;??_ ;_ @_ "/>
    <numFmt numFmtId="42" formatCode="_ &quot;￥&quot;* #,##0_ ;_ &quot;￥&quot;* \-#,##0_ ;_ &quot;￥&quot;* &quot;-&quot;_ ;_ @_ "/>
    <numFmt numFmtId="44" formatCode="_ &quot;￥&quot;* #,##0.00_ ;_ &quot;￥&quot;* \-#,##0.00_ ;_ &quot;￥&quot;* &quot;-&quot;??_ ;_ @_ "/>
    <numFmt numFmtId="41" formatCode="_ * #,##0_ ;_ * \-#,##0_ ;_ * &quot;-&quot;_ ;_ @_ "/>
    <numFmt numFmtId="176" formatCode="0_);[Red]\(0\)"/>
    <numFmt numFmtId="177" formatCode="[$-F800]dddd\,\ mmmm\ dd\,\ yyyy"/>
    <numFmt numFmtId="178" formatCode="0.00_);[Red]\(0.00\)"/>
    <numFmt numFmtId="179" formatCode="0_ "/>
    <numFmt numFmtId="180" formatCode="yyyy/m/d;@"/>
  </numFmts>
  <fonts count="124">
    <font>
      <sz val="11"/>
      <color theme="1"/>
      <name val="宋体"/>
      <charset val="134"/>
      <scheme val="minor"/>
    </font>
    <font>
      <b/>
      <sz val="16"/>
      <color theme="1"/>
      <name val="宋体"/>
      <charset val="134"/>
      <scheme val="minor"/>
    </font>
    <font>
      <sz val="14"/>
      <color theme="1"/>
      <name val="宋体"/>
      <charset val="134"/>
      <scheme val="minor"/>
    </font>
    <font>
      <sz val="14"/>
      <color theme="1"/>
      <name val="宋体"/>
      <charset val="134"/>
      <scheme val="minor"/>
    </font>
    <font>
      <sz val="12"/>
      <color theme="1"/>
      <name val="宋体"/>
      <charset val="134"/>
      <scheme val="minor"/>
    </font>
    <font>
      <b/>
      <sz val="24"/>
      <color theme="1"/>
      <name val="宋体"/>
      <charset val="134"/>
      <scheme val="minor"/>
    </font>
    <font>
      <b/>
      <sz val="12"/>
      <color theme="1"/>
      <name val="宋体"/>
      <charset val="134"/>
      <scheme val="minor"/>
    </font>
    <font>
      <b/>
      <sz val="10"/>
      <color theme="1"/>
      <name val="宋体"/>
      <charset val="134"/>
      <scheme val="minor"/>
    </font>
    <font>
      <b/>
      <sz val="12"/>
      <color rgb="FFFF0000"/>
      <name val="宋体"/>
      <charset val="134"/>
      <scheme val="minor"/>
    </font>
    <font>
      <b/>
      <sz val="22"/>
      <name val="宋体"/>
      <charset val="134"/>
    </font>
    <font>
      <b/>
      <sz val="14"/>
      <name val="宋体"/>
      <charset val="134"/>
    </font>
    <font>
      <b/>
      <sz val="10"/>
      <name val="宋体"/>
      <charset val="134"/>
    </font>
    <font>
      <sz val="12"/>
      <color rgb="FFFF0000"/>
      <name val="宋体"/>
      <charset val="134"/>
      <scheme val="minor"/>
    </font>
    <font>
      <b/>
      <sz val="16"/>
      <name val="宋体"/>
      <charset val="134"/>
      <scheme val="minor"/>
    </font>
    <font>
      <sz val="8"/>
      <color theme="1"/>
      <name val="宋体"/>
      <charset val="134"/>
      <scheme val="minor"/>
    </font>
    <font>
      <sz val="9"/>
      <color theme="1"/>
      <name val="宋体"/>
      <charset val="134"/>
      <scheme val="minor"/>
    </font>
    <font>
      <sz val="10"/>
      <color theme="1"/>
      <name val="宋体"/>
      <charset val="134"/>
      <scheme val="minor"/>
    </font>
    <font>
      <sz val="8"/>
      <color theme="1"/>
      <name val="宋体"/>
      <charset val="134"/>
      <scheme val="minor"/>
    </font>
    <font>
      <sz val="16"/>
      <color theme="1"/>
      <name val="宋体"/>
      <charset val="134"/>
      <scheme val="minor"/>
    </font>
    <font>
      <sz val="16"/>
      <color theme="1"/>
      <name val="宋体"/>
      <charset val="134"/>
      <scheme val="minor"/>
    </font>
    <font>
      <b/>
      <sz val="18"/>
      <color indexed="8"/>
      <name val="宋体"/>
      <charset val="134"/>
    </font>
    <font>
      <b/>
      <sz val="14"/>
      <color indexed="8"/>
      <name val="宋体"/>
      <charset val="134"/>
    </font>
    <font>
      <b/>
      <sz val="14"/>
      <color rgb="FFFF0000"/>
      <name val="宋体"/>
      <charset val="134"/>
    </font>
    <font>
      <b/>
      <sz val="11"/>
      <name val="宋体"/>
      <charset val="134"/>
    </font>
    <font>
      <b/>
      <sz val="11"/>
      <color rgb="FFFF0000"/>
      <name val="宋体"/>
      <charset val="134"/>
    </font>
    <font>
      <sz val="14"/>
      <color rgb="FFFF0000"/>
      <name val="宋体"/>
      <charset val="134"/>
      <scheme val="minor"/>
    </font>
    <font>
      <sz val="10"/>
      <color rgb="FFFF0000"/>
      <name val="宋体"/>
      <charset val="134"/>
      <scheme val="minor"/>
    </font>
    <font>
      <sz val="11"/>
      <color rgb="FFFF0000"/>
      <name val="宋体"/>
      <charset val="134"/>
      <scheme val="minor"/>
    </font>
    <font>
      <b/>
      <sz val="8"/>
      <color theme="1"/>
      <name val="宋体"/>
      <charset val="134"/>
      <scheme val="minor"/>
    </font>
    <font>
      <b/>
      <sz val="9"/>
      <name val="宋体"/>
      <charset val="134"/>
    </font>
    <font>
      <b/>
      <sz val="11"/>
      <color theme="1"/>
      <name val="宋体"/>
      <charset val="134"/>
      <scheme val="minor"/>
    </font>
    <font>
      <b/>
      <sz val="22"/>
      <color theme="1"/>
      <name val="宋体"/>
      <charset val="134"/>
      <scheme val="minor"/>
    </font>
    <font>
      <b/>
      <sz val="14"/>
      <color theme="1"/>
      <name val="宋体"/>
      <charset val="134"/>
      <scheme val="minor"/>
    </font>
    <font>
      <sz val="12"/>
      <color theme="1"/>
      <name val="宋体"/>
      <charset val="134"/>
      <scheme val="minor"/>
    </font>
    <font>
      <b/>
      <sz val="18"/>
      <color theme="1"/>
      <name val="宋体"/>
      <charset val="134"/>
      <scheme val="minor"/>
    </font>
    <font>
      <sz val="11"/>
      <color theme="1"/>
      <name val="Arial Unicode MS"/>
      <charset val="134"/>
    </font>
    <font>
      <sz val="11"/>
      <color theme="1"/>
      <name val="宋体"/>
      <charset val="134"/>
      <scheme val="minor"/>
    </font>
    <font>
      <sz val="10"/>
      <color theme="1"/>
      <name val="Arial Unicode MS"/>
      <charset val="134"/>
    </font>
    <font>
      <sz val="11"/>
      <color rgb="FFFF0000"/>
      <name val="Arial Unicode MS"/>
      <charset val="134"/>
    </font>
    <font>
      <sz val="11"/>
      <color theme="1"/>
      <name val="微软雅黑"/>
      <charset val="134"/>
    </font>
    <font>
      <sz val="10"/>
      <color theme="1"/>
      <name val="微软雅黑"/>
      <charset val="134"/>
    </font>
    <font>
      <b/>
      <sz val="12"/>
      <color theme="1"/>
      <name val="微软雅黑"/>
      <charset val="134"/>
    </font>
    <font>
      <b/>
      <sz val="12"/>
      <name val="微软雅黑"/>
      <charset val="134"/>
    </font>
    <font>
      <b/>
      <sz val="10"/>
      <name val="微软雅黑"/>
      <charset val="134"/>
    </font>
    <font>
      <b/>
      <sz val="10"/>
      <color theme="1"/>
      <name val="微软雅黑"/>
      <charset val="134"/>
    </font>
    <font>
      <sz val="11"/>
      <name val="微软雅黑"/>
      <charset val="134"/>
    </font>
    <font>
      <sz val="10"/>
      <name val="微软雅黑"/>
      <charset val="134"/>
    </font>
    <font>
      <sz val="26"/>
      <color theme="1"/>
      <name val="黑体"/>
      <charset val="134"/>
    </font>
    <font>
      <b/>
      <sz val="20"/>
      <color rgb="FFFF0000"/>
      <name val="宋体"/>
      <charset val="134"/>
    </font>
    <font>
      <sz val="12"/>
      <color theme="1"/>
      <name val="宋体"/>
      <charset val="134"/>
    </font>
    <font>
      <sz val="16"/>
      <color theme="1"/>
      <name val="宋体"/>
      <charset val="134"/>
    </font>
    <font>
      <sz val="14"/>
      <color theme="1"/>
      <name val="宋体"/>
      <charset val="134"/>
    </font>
    <font>
      <b/>
      <sz val="18"/>
      <color rgb="FFFF0000"/>
      <name val="宋体"/>
      <charset val="134"/>
    </font>
    <font>
      <sz val="18"/>
      <color theme="1"/>
      <name val="宋体"/>
      <charset val="134"/>
    </font>
    <font>
      <sz val="11"/>
      <color theme="1"/>
      <name val="宋体"/>
      <charset val="134"/>
    </font>
    <font>
      <sz val="9"/>
      <color theme="1"/>
      <name val="宋体"/>
      <charset val="134"/>
    </font>
    <font>
      <b/>
      <sz val="16"/>
      <color rgb="FFFF0000"/>
      <name val="Times New Roman"/>
      <charset val="134"/>
    </font>
    <font>
      <sz val="18"/>
      <color rgb="FF000000"/>
      <name val="宋体"/>
      <charset val="134"/>
    </font>
    <font>
      <b/>
      <sz val="12"/>
      <name val="宋体"/>
      <charset val="134"/>
    </font>
    <font>
      <b/>
      <sz val="12"/>
      <color rgb="FFFF0000"/>
      <name val="宋体"/>
      <charset val="134"/>
    </font>
    <font>
      <b/>
      <sz val="16"/>
      <color rgb="FFFF0000"/>
      <name val="宋体"/>
      <charset val="134"/>
    </font>
    <font>
      <sz val="12"/>
      <color rgb="FF000000"/>
      <name val="宋体"/>
      <charset val="134"/>
    </font>
    <font>
      <sz val="12"/>
      <name val="宋体"/>
      <charset val="134"/>
    </font>
    <font>
      <sz val="12"/>
      <color rgb="FFFF0000"/>
      <name val="宋体"/>
      <charset val="134"/>
    </font>
    <font>
      <b/>
      <sz val="26"/>
      <name val="宋体"/>
      <charset val="134"/>
    </font>
    <font>
      <b/>
      <sz val="20"/>
      <color theme="1"/>
      <name val="宋体"/>
      <charset val="134"/>
      <scheme val="minor"/>
    </font>
    <font>
      <b/>
      <sz val="11"/>
      <color rgb="FFFF0000"/>
      <name val="宋体"/>
      <charset val="134"/>
      <scheme val="minor"/>
    </font>
    <font>
      <b/>
      <sz val="20"/>
      <name val="宋体"/>
      <charset val="134"/>
    </font>
    <font>
      <b/>
      <sz val="10"/>
      <color rgb="FFFF0000"/>
      <name val="Arial"/>
      <charset val="134"/>
    </font>
    <font>
      <sz val="10"/>
      <name val="Arial"/>
      <charset val="134"/>
    </font>
    <font>
      <sz val="10"/>
      <name val="宋体"/>
      <charset val="134"/>
    </font>
    <font>
      <b/>
      <sz val="20"/>
      <color rgb="FFFF0000"/>
      <name val="宋体"/>
      <charset val="134"/>
      <scheme val="minor"/>
    </font>
    <font>
      <b/>
      <sz val="24"/>
      <color theme="1"/>
      <name val="华文楷体"/>
      <charset val="134"/>
    </font>
    <font>
      <b/>
      <sz val="12"/>
      <color theme="1"/>
      <name val="华文楷体"/>
      <charset val="134"/>
    </font>
    <font>
      <b/>
      <sz val="28"/>
      <color theme="1"/>
      <name val="宋体"/>
      <charset val="134"/>
      <scheme val="minor"/>
    </font>
    <font>
      <b/>
      <sz val="28"/>
      <color rgb="FFFF0000"/>
      <name val="宋体"/>
      <charset val="134"/>
      <scheme val="minor"/>
    </font>
    <font>
      <b/>
      <sz val="9"/>
      <color theme="1"/>
      <name val="宋体"/>
      <charset val="134"/>
      <scheme val="minor"/>
    </font>
    <font>
      <b/>
      <sz val="26"/>
      <color theme="1"/>
      <name val="宋体"/>
      <charset val="134"/>
      <scheme val="minor"/>
    </font>
    <font>
      <sz val="10.5"/>
      <color rgb="FF000000"/>
      <name val="宋体"/>
      <charset val="134"/>
    </font>
    <font>
      <sz val="10.5"/>
      <color rgb="FF000000"/>
      <name val="Calibri"/>
      <charset val="134"/>
    </font>
    <font>
      <sz val="11"/>
      <color rgb="FF000000"/>
      <name val="宋体"/>
      <charset val="134"/>
    </font>
    <font>
      <sz val="11"/>
      <color rgb="FF000000"/>
      <name val="Arial"/>
      <charset val="134"/>
    </font>
    <font>
      <sz val="10"/>
      <color rgb="FF000000"/>
      <name val="Calibri"/>
      <charset val="134"/>
    </font>
    <font>
      <sz val="10.5"/>
      <color theme="1"/>
      <name val="宋体"/>
      <charset val="134"/>
    </font>
    <font>
      <sz val="10.5"/>
      <color theme="1"/>
      <name val="Times New Roman"/>
      <charset val="134"/>
    </font>
    <font>
      <sz val="10"/>
      <color theme="1"/>
      <name val="Times New Roman"/>
      <charset val="134"/>
    </font>
    <font>
      <sz val="10"/>
      <color theme="1"/>
      <name val="宋体"/>
      <charset val="134"/>
    </font>
    <font>
      <b/>
      <sz val="12"/>
      <name val="宋体"/>
      <charset val="134"/>
      <scheme val="minor"/>
    </font>
    <font>
      <b/>
      <sz val="11"/>
      <name val="宋体"/>
      <charset val="134"/>
      <scheme val="minor"/>
    </font>
    <font>
      <sz val="11"/>
      <name val="宋体"/>
      <charset val="134"/>
      <scheme val="minor"/>
    </font>
    <font>
      <sz val="20"/>
      <color theme="1"/>
      <name val="宋体"/>
      <charset val="134"/>
      <scheme val="minor"/>
    </font>
    <font>
      <sz val="20"/>
      <color theme="1"/>
      <name val="宋体"/>
      <charset val="134"/>
      <scheme val="minor"/>
    </font>
    <font>
      <b/>
      <sz val="14"/>
      <color rgb="FFFF0000"/>
      <name val="宋体"/>
      <charset val="134"/>
      <scheme val="minor"/>
    </font>
    <font>
      <sz val="22"/>
      <name val="Arial"/>
      <charset val="134"/>
    </font>
    <font>
      <b/>
      <sz val="10"/>
      <color rgb="FFFF0000"/>
      <name val="宋体"/>
      <charset val="134"/>
    </font>
    <font>
      <sz val="10"/>
      <color rgb="FFFF0000"/>
      <name val="Arial"/>
      <charset val="134"/>
    </font>
    <font>
      <sz val="18"/>
      <color theme="1"/>
      <name val="宋体"/>
      <charset val="134"/>
      <scheme val="minor"/>
    </font>
    <font>
      <b/>
      <sz val="22"/>
      <name val="宋体"/>
      <charset val="134"/>
      <scheme val="minor"/>
    </font>
    <font>
      <b/>
      <sz val="18"/>
      <color rgb="FFFF0000"/>
      <name val="宋体"/>
      <charset val="134"/>
      <scheme val="minor"/>
    </font>
    <font>
      <b/>
      <sz val="18"/>
      <name val="宋体"/>
      <charset val="134"/>
      <scheme val="minor"/>
    </font>
    <font>
      <b/>
      <sz val="18"/>
      <color theme="3"/>
      <name val="宋体"/>
      <charset val="134"/>
      <scheme val="minor"/>
    </font>
    <font>
      <sz val="11"/>
      <color theme="0"/>
      <name val="宋体"/>
      <charset val="0"/>
      <scheme val="minor"/>
    </font>
    <font>
      <sz val="11"/>
      <color theme="1"/>
      <name val="宋体"/>
      <charset val="134"/>
      <scheme val="minor"/>
    </font>
    <font>
      <sz val="11"/>
      <color theme="1"/>
      <name val="宋体"/>
      <charset val="0"/>
      <scheme val="minor"/>
    </font>
    <font>
      <i/>
      <sz val="11"/>
      <color rgb="FF7F7F7F"/>
      <name val="宋体"/>
      <charset val="0"/>
      <scheme val="minor"/>
    </font>
    <font>
      <b/>
      <sz val="13"/>
      <color theme="3"/>
      <name val="宋体"/>
      <charset val="134"/>
      <scheme val="minor"/>
    </font>
    <font>
      <u/>
      <sz val="11"/>
      <color rgb="FF800080"/>
      <name val="宋体"/>
      <charset val="0"/>
      <scheme val="minor"/>
    </font>
    <font>
      <b/>
      <sz val="11"/>
      <color theme="3"/>
      <name val="宋体"/>
      <charset val="134"/>
      <scheme val="minor"/>
    </font>
    <font>
      <sz val="11"/>
      <color rgb="FF9C0006"/>
      <name val="宋体"/>
      <charset val="0"/>
      <scheme val="minor"/>
    </font>
    <font>
      <sz val="11"/>
      <color rgb="FF9C6500"/>
      <name val="宋体"/>
      <charset val="0"/>
      <scheme val="minor"/>
    </font>
    <font>
      <sz val="11"/>
      <color rgb="FF3F3F76"/>
      <name val="宋体"/>
      <charset val="0"/>
      <scheme val="minor"/>
    </font>
    <font>
      <sz val="11"/>
      <color rgb="FFFF0000"/>
      <name val="宋体"/>
      <charset val="0"/>
      <scheme val="minor"/>
    </font>
    <font>
      <u/>
      <sz val="11"/>
      <color rgb="FF0000FF"/>
      <name val="宋体"/>
      <charset val="0"/>
      <scheme val="minor"/>
    </font>
    <font>
      <b/>
      <sz val="15"/>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0"/>
      <name val="宋体"/>
      <charset val="134"/>
      <scheme val="minor"/>
    </font>
    <font>
      <sz val="9"/>
      <color theme="1"/>
      <name val="Times New Roman"/>
      <charset val="134"/>
    </font>
    <font>
      <b/>
      <sz val="16"/>
      <color rgb="FFFF0000"/>
      <name val="宋体"/>
      <charset val="134"/>
      <scheme val="minor"/>
    </font>
    <font>
      <sz val="22"/>
      <name val="宋体"/>
      <charset val="134"/>
    </font>
  </fonts>
  <fills count="43">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8" tint="0.599993896298105"/>
        <bgColor indexed="64"/>
      </patternFill>
    </fill>
    <fill>
      <patternFill patternType="solid">
        <fgColor indexed="9"/>
        <bgColor indexed="64"/>
      </patternFill>
    </fill>
    <fill>
      <patternFill patternType="solid">
        <fgColor theme="0"/>
        <bgColor indexed="64"/>
      </patternFill>
    </fill>
    <fill>
      <patternFill patternType="solid">
        <fgColor theme="8" tint="0.799981688894314"/>
        <bgColor indexed="64"/>
      </patternFill>
    </fill>
    <fill>
      <patternFill patternType="solid">
        <fgColor theme="9" tint="-0.249977111117893"/>
        <bgColor indexed="64"/>
      </patternFill>
    </fill>
    <fill>
      <patternFill patternType="solid">
        <fgColor theme="9" tint="0.599993896298105"/>
        <bgColor indexed="64"/>
      </patternFill>
    </fill>
    <fill>
      <patternFill patternType="solid">
        <fgColor theme="3" tint="0.799981688894314"/>
        <bgColor indexed="64"/>
      </patternFill>
    </fill>
    <fill>
      <patternFill patternType="solid">
        <fgColor theme="0" tint="-0.149998474074526"/>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theme="7"/>
        <bgColor indexed="64"/>
      </patternFill>
    </fill>
    <fill>
      <patternFill patternType="solid">
        <fgColor theme="5"/>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rgb="FFFFFFCC"/>
        <bgColor indexed="64"/>
      </patternFill>
    </fill>
    <fill>
      <patternFill patternType="solid">
        <fgColor theme="6" tint="0.799981688894314"/>
        <bgColor indexed="64"/>
      </patternFill>
    </fill>
    <fill>
      <patternFill patternType="solid">
        <fgColor theme="6"/>
        <bgColor indexed="64"/>
      </patternFill>
    </fill>
    <fill>
      <patternFill patternType="solid">
        <fgColor rgb="FFFFC7CE"/>
        <bgColor indexed="64"/>
      </patternFill>
    </fill>
    <fill>
      <patternFill patternType="solid">
        <fgColor rgb="FFFFEB9C"/>
        <bgColor indexed="64"/>
      </patternFill>
    </fill>
    <fill>
      <patternFill patternType="solid">
        <fgColor rgb="FFFFCC9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4"/>
        <bgColor indexed="64"/>
      </patternFill>
    </fill>
    <fill>
      <patternFill patternType="solid">
        <fgColor rgb="FFF2F2F2"/>
        <bgColor indexed="64"/>
      </patternFill>
    </fill>
    <fill>
      <patternFill patternType="solid">
        <fgColor rgb="FFA5A5A5"/>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rgb="FFC6EFCE"/>
        <bgColor indexed="64"/>
      </patternFill>
    </fill>
    <fill>
      <patternFill patternType="solid">
        <fgColor theme="8" tint="0.799981688894314"/>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s>
  <borders count="31">
    <border>
      <left/>
      <right/>
      <top/>
      <bottom/>
      <diagonal/>
    </border>
    <border>
      <left style="thin">
        <color auto="1"/>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3" tint="0.399975585192419"/>
      </left>
      <right style="thin">
        <color theme="3" tint="0.399975585192419"/>
      </right>
      <top/>
      <bottom style="thin">
        <color theme="3" tint="0.399975585192419"/>
      </bottom>
      <diagonal/>
    </border>
    <border>
      <left style="thin">
        <color theme="3" tint="0.399975585192419"/>
      </left>
      <right style="thin">
        <color theme="3" tint="0.399975585192419"/>
      </right>
      <top style="thin">
        <color theme="3" tint="0.399975585192419"/>
      </top>
      <bottom style="thin">
        <color theme="3" tint="0.399975585192419"/>
      </bottom>
      <diagonal/>
    </border>
    <border>
      <left style="thin">
        <color theme="3" tint="0.599993896298105"/>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thin">
        <color theme="3" tint="0.399975585192419"/>
      </left>
      <right style="thin">
        <color theme="3" tint="0.399975585192419"/>
      </right>
      <top style="thin">
        <color auto="1"/>
      </top>
      <bottom/>
      <diagonal/>
    </border>
    <border>
      <left style="thin">
        <color theme="3" tint="0.399975585192419"/>
      </left>
      <right/>
      <top style="thin">
        <color theme="3" tint="0.399975585192419"/>
      </top>
      <bottom style="thin">
        <color theme="3" tint="0.399975585192419"/>
      </bottom>
      <diagonal/>
    </border>
    <border>
      <left/>
      <right/>
      <top style="thin">
        <color theme="3" tint="0.399975585192419"/>
      </top>
      <bottom style="thin">
        <color theme="3" tint="0.399975585192419"/>
      </bottom>
      <diagonal/>
    </border>
    <border>
      <left/>
      <right style="thin">
        <color theme="3" tint="0.399975585192419"/>
      </right>
      <top style="thin">
        <color theme="3" tint="0.399975585192419"/>
      </top>
      <bottom style="thin">
        <color theme="3" tint="0.399975585192419"/>
      </bottom>
      <diagonal/>
    </border>
    <border>
      <left style="thin">
        <color theme="3" tint="0.399975585192419"/>
      </left>
      <right style="thin">
        <color theme="3" tint="0.399975585192419"/>
      </right>
      <top style="thin">
        <color theme="3" tint="0.399975585192419"/>
      </top>
      <bottom/>
      <diagonal/>
    </border>
    <border>
      <left style="medium">
        <color theme="3" tint="0.399975585192419"/>
      </left>
      <right style="medium">
        <color theme="3" tint="0.399975585192419"/>
      </right>
      <top style="medium">
        <color theme="3" tint="0.399975585192419"/>
      </top>
      <bottom style="medium">
        <color theme="3" tint="0.399975585192419"/>
      </bottom>
      <diagonal/>
    </border>
    <border>
      <left/>
      <right style="medium">
        <color theme="3" tint="0.399975585192419"/>
      </right>
      <top style="medium">
        <color theme="3" tint="0.399975585192419"/>
      </top>
      <bottom style="medium">
        <color theme="3" tint="0.399975585192419"/>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style="thin">
        <color theme="4" tint="-0.249977111117893"/>
      </right>
      <top style="thin">
        <color theme="4" tint="-0.249977111117893"/>
      </top>
      <bottom style="thin">
        <color theme="4" tint="-0.249977111117893"/>
      </bottom>
      <diagonal/>
    </border>
    <border>
      <left style="thin">
        <color rgb="FF000000"/>
      </left>
      <right style="thin">
        <color rgb="FF000000"/>
      </right>
      <top style="thin">
        <color rgb="FF000000"/>
      </top>
      <bottom style="thin">
        <color rgb="FF00000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2" fontId="102" fillId="0" borderId="0" applyFont="0" applyFill="0" applyBorder="0" applyAlignment="0" applyProtection="0">
      <alignment vertical="center"/>
    </xf>
    <xf numFmtId="0" fontId="103" fillId="20" borderId="0" applyNumberFormat="0" applyBorder="0" applyAlignment="0" applyProtection="0">
      <alignment vertical="center"/>
    </xf>
    <xf numFmtId="0" fontId="110" fillId="24" borderId="25" applyNumberFormat="0" applyAlignment="0" applyProtection="0">
      <alignment vertical="center"/>
    </xf>
    <xf numFmtId="44" fontId="102" fillId="0" borderId="0" applyFont="0" applyFill="0" applyBorder="0" applyAlignment="0" applyProtection="0">
      <alignment vertical="center"/>
    </xf>
    <xf numFmtId="41" fontId="102" fillId="0" borderId="0" applyFont="0" applyFill="0" applyBorder="0" applyAlignment="0" applyProtection="0">
      <alignment vertical="center"/>
    </xf>
    <xf numFmtId="0" fontId="103" fillId="14" borderId="0" applyNumberFormat="0" applyBorder="0" applyAlignment="0" applyProtection="0">
      <alignment vertical="center"/>
    </xf>
    <xf numFmtId="0" fontId="108" fillId="22" borderId="0" applyNumberFormat="0" applyBorder="0" applyAlignment="0" applyProtection="0">
      <alignment vertical="center"/>
    </xf>
    <xf numFmtId="43" fontId="102" fillId="0" borderId="0" applyFont="0" applyFill="0" applyBorder="0" applyAlignment="0" applyProtection="0">
      <alignment vertical="center"/>
    </xf>
    <xf numFmtId="0" fontId="101" fillId="26" borderId="0" applyNumberFormat="0" applyBorder="0" applyAlignment="0" applyProtection="0">
      <alignment vertical="center"/>
    </xf>
    <xf numFmtId="0" fontId="112" fillId="0" borderId="0" applyNumberFormat="0" applyFill="0" applyBorder="0" applyAlignment="0" applyProtection="0">
      <alignment vertical="center"/>
    </xf>
    <xf numFmtId="9" fontId="102" fillId="0" borderId="0" applyFont="0" applyFill="0" applyBorder="0" applyAlignment="0" applyProtection="0">
      <alignment vertical="center"/>
    </xf>
    <xf numFmtId="0" fontId="106" fillId="0" borderId="0" applyNumberFormat="0" applyFill="0" applyBorder="0" applyAlignment="0" applyProtection="0">
      <alignment vertical="center"/>
    </xf>
    <xf numFmtId="0" fontId="102" fillId="19" borderId="24" applyNumberFormat="0" applyFont="0" applyAlignment="0" applyProtection="0">
      <alignment vertical="center"/>
    </xf>
    <xf numFmtId="0" fontId="101" fillId="12" borderId="0" applyNumberFormat="0" applyBorder="0" applyAlignment="0" applyProtection="0">
      <alignment vertical="center"/>
    </xf>
    <xf numFmtId="0" fontId="107" fillId="0" borderId="0" applyNumberFormat="0" applyFill="0" applyBorder="0" applyAlignment="0" applyProtection="0">
      <alignment vertical="center"/>
    </xf>
    <xf numFmtId="0" fontId="111"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13" fillId="0" borderId="23" applyNumberFormat="0" applyFill="0" applyAlignment="0" applyProtection="0">
      <alignment vertical="center"/>
    </xf>
    <xf numFmtId="0" fontId="105" fillId="0" borderId="23" applyNumberFormat="0" applyFill="0" applyAlignment="0" applyProtection="0">
      <alignment vertical="center"/>
    </xf>
    <xf numFmtId="0" fontId="101" fillId="25" borderId="0" applyNumberFormat="0" applyBorder="0" applyAlignment="0" applyProtection="0">
      <alignment vertical="center"/>
    </xf>
    <xf numFmtId="0" fontId="107" fillId="0" borderId="26" applyNumberFormat="0" applyFill="0" applyAlignment="0" applyProtection="0">
      <alignment vertical="center"/>
    </xf>
    <xf numFmtId="0" fontId="101" fillId="29" borderId="0" applyNumberFormat="0" applyBorder="0" applyAlignment="0" applyProtection="0">
      <alignment vertical="center"/>
    </xf>
    <xf numFmtId="0" fontId="114" fillId="31" borderId="27" applyNumberFormat="0" applyAlignment="0" applyProtection="0">
      <alignment vertical="center"/>
    </xf>
    <xf numFmtId="0" fontId="115" fillId="31" borderId="25" applyNumberFormat="0" applyAlignment="0" applyProtection="0">
      <alignment vertical="center"/>
    </xf>
    <xf numFmtId="0" fontId="116" fillId="32" borderId="28" applyNumberFormat="0" applyAlignment="0" applyProtection="0">
      <alignment vertical="center"/>
    </xf>
    <xf numFmtId="0" fontId="103" fillId="34" borderId="0" applyNumberFormat="0" applyBorder="0" applyAlignment="0" applyProtection="0">
      <alignment vertical="center"/>
    </xf>
    <xf numFmtId="0" fontId="101" fillId="16" borderId="0" applyNumberFormat="0" applyBorder="0" applyAlignment="0" applyProtection="0">
      <alignment vertical="center"/>
    </xf>
    <xf numFmtId="0" fontId="117" fillId="0" borderId="29" applyNumberFormat="0" applyFill="0" applyAlignment="0" applyProtection="0">
      <alignment vertical="center"/>
    </xf>
    <xf numFmtId="0" fontId="118" fillId="0" borderId="30" applyNumberFormat="0" applyFill="0" applyAlignment="0" applyProtection="0">
      <alignment vertical="center"/>
    </xf>
    <xf numFmtId="0" fontId="119" fillId="35" borderId="0" applyNumberFormat="0" applyBorder="0" applyAlignment="0" applyProtection="0">
      <alignment vertical="center"/>
    </xf>
    <xf numFmtId="0" fontId="109" fillId="23" borderId="0" applyNumberFormat="0" applyBorder="0" applyAlignment="0" applyProtection="0">
      <alignment vertical="center"/>
    </xf>
    <xf numFmtId="0" fontId="103" fillId="36" borderId="0" applyNumberFormat="0" applyBorder="0" applyAlignment="0" applyProtection="0">
      <alignment vertical="center"/>
    </xf>
    <xf numFmtId="0" fontId="101" fillId="30" borderId="0" applyNumberFormat="0" applyBorder="0" applyAlignment="0" applyProtection="0">
      <alignment vertical="center"/>
    </xf>
    <xf numFmtId="0" fontId="103" fillId="18" borderId="0" applyNumberFormat="0" applyBorder="0" applyAlignment="0" applyProtection="0">
      <alignment vertical="center"/>
    </xf>
    <xf numFmtId="0" fontId="103" fillId="13" borderId="0" applyNumberFormat="0" applyBorder="0" applyAlignment="0" applyProtection="0">
      <alignment vertical="center"/>
    </xf>
    <xf numFmtId="0" fontId="103" fillId="27" borderId="0" applyNumberFormat="0" applyBorder="0" applyAlignment="0" applyProtection="0">
      <alignment vertical="center"/>
    </xf>
    <xf numFmtId="0" fontId="103" fillId="17" borderId="0" applyNumberFormat="0" applyBorder="0" applyAlignment="0" applyProtection="0">
      <alignment vertical="center"/>
    </xf>
    <xf numFmtId="0" fontId="101" fillId="21" borderId="0" applyNumberFormat="0" applyBorder="0" applyAlignment="0" applyProtection="0">
      <alignment vertical="center"/>
    </xf>
    <xf numFmtId="0" fontId="101" fillId="15" borderId="0" applyNumberFormat="0" applyBorder="0" applyAlignment="0" applyProtection="0">
      <alignment vertical="center"/>
    </xf>
    <xf numFmtId="0" fontId="103" fillId="33" borderId="0" applyNumberFormat="0" applyBorder="0" applyAlignment="0" applyProtection="0">
      <alignment vertical="center"/>
    </xf>
    <xf numFmtId="0" fontId="103" fillId="38" borderId="0" applyNumberFormat="0" applyBorder="0" applyAlignment="0" applyProtection="0">
      <alignment vertical="center"/>
    </xf>
    <xf numFmtId="0" fontId="101" fillId="39" borderId="0" applyNumberFormat="0" applyBorder="0" applyAlignment="0" applyProtection="0">
      <alignment vertical="center"/>
    </xf>
    <xf numFmtId="0" fontId="103" fillId="40" borderId="0" applyNumberFormat="0" applyBorder="0" applyAlignment="0" applyProtection="0">
      <alignment vertical="center"/>
    </xf>
    <xf numFmtId="0" fontId="101" fillId="41" borderId="0" applyNumberFormat="0" applyBorder="0" applyAlignment="0" applyProtection="0">
      <alignment vertical="center"/>
    </xf>
    <xf numFmtId="0" fontId="101" fillId="42" borderId="0" applyNumberFormat="0" applyBorder="0" applyAlignment="0" applyProtection="0">
      <alignment vertical="center"/>
    </xf>
    <xf numFmtId="177" fontId="0" fillId="0" borderId="0">
      <alignment vertical="center"/>
    </xf>
    <xf numFmtId="0" fontId="103" fillId="37" borderId="0" applyNumberFormat="0" applyBorder="0" applyAlignment="0" applyProtection="0">
      <alignment vertical="center"/>
    </xf>
    <xf numFmtId="0" fontId="101" fillId="28" borderId="0" applyNumberFormat="0" applyBorder="0" applyAlignment="0" applyProtection="0">
      <alignment vertical="center"/>
    </xf>
    <xf numFmtId="0" fontId="0" fillId="0" borderId="0"/>
  </cellStyleXfs>
  <cellXfs count="495">
    <xf numFmtId="0" fontId="0" fillId="0" borderId="0" xfId="0"/>
    <xf numFmtId="0" fontId="0" fillId="0" borderId="0" xfId="0" applyAlignment="1">
      <alignment horizontal="center" vertical="center"/>
    </xf>
    <xf numFmtId="0" fontId="1" fillId="0" borderId="1" xfId="0" applyFont="1" applyFill="1" applyBorder="1" applyAlignment="1">
      <alignment horizontal="center" vertical="center"/>
    </xf>
    <xf numFmtId="0" fontId="1" fillId="0" borderId="0" xfId="0" applyFont="1" applyFill="1" applyBorder="1" applyAlignment="1">
      <alignment horizontal="center" vertical="center"/>
    </xf>
    <xf numFmtId="0" fontId="1" fillId="0" borderId="2" xfId="0" applyFont="1" applyBorder="1" applyAlignment="1">
      <alignment horizontal="center" vertical="center"/>
    </xf>
    <xf numFmtId="0" fontId="0" fillId="0" borderId="2" xfId="0" applyBorder="1" applyAlignment="1">
      <alignment horizontal="center" vertical="center"/>
    </xf>
    <xf numFmtId="0" fontId="0" fillId="0" borderId="0" xfId="0" applyNumberFormat="1" applyAlignment="1">
      <alignment horizontal="center" vertical="center"/>
    </xf>
    <xf numFmtId="0" fontId="0" fillId="0" borderId="2" xfId="0" applyBorder="1" applyAlignment="1">
      <alignment vertical="center"/>
    </xf>
    <xf numFmtId="0" fontId="1" fillId="0" borderId="0" xfId="50" applyNumberFormat="1" applyFont="1" applyBorder="1" applyAlignment="1">
      <alignment horizontal="center" vertical="center" shrinkToFit="1"/>
    </xf>
    <xf numFmtId="177" fontId="1" fillId="0" borderId="3" xfId="50" applyNumberFormat="1" applyFont="1" applyBorder="1" applyAlignment="1">
      <alignment horizontal="right" vertical="center" shrinkToFit="1"/>
    </xf>
    <xf numFmtId="0" fontId="2" fillId="0" borderId="2" xfId="0" applyNumberFormat="1" applyFont="1" applyBorder="1" applyAlignment="1">
      <alignment horizontal="center" vertical="center" wrapText="1" shrinkToFit="1"/>
    </xf>
    <xf numFmtId="0" fontId="3" fillId="0" borderId="2" xfId="0" applyNumberFormat="1" applyFont="1" applyBorder="1" applyAlignment="1">
      <alignment horizontal="center" vertical="center" wrapText="1" shrinkToFit="1"/>
    </xf>
    <xf numFmtId="0" fontId="0" fillId="0" borderId="2" xfId="0" applyNumberFormat="1" applyBorder="1" applyAlignment="1">
      <alignment horizontal="center" vertical="center" shrinkToFit="1"/>
    </xf>
    <xf numFmtId="49" fontId="0" fillId="0" borderId="2" xfId="0" applyNumberFormat="1" applyBorder="1" applyAlignment="1">
      <alignment vertical="center"/>
    </xf>
    <xf numFmtId="49" fontId="3" fillId="0" borderId="2" xfId="0" applyNumberFormat="1" applyFont="1" applyBorder="1" applyAlignment="1">
      <alignment horizontal="center" vertical="center" wrapText="1" shrinkToFit="1"/>
    </xf>
    <xf numFmtId="31" fontId="2" fillId="0" borderId="2" xfId="0" applyNumberFormat="1" applyFont="1" applyBorder="1" applyAlignment="1">
      <alignment vertical="center"/>
    </xf>
    <xf numFmtId="178" fontId="0" fillId="0" borderId="2" xfId="0" applyNumberFormat="1" applyBorder="1" applyAlignment="1">
      <alignment horizontal="center" vertical="center" shrinkToFit="1"/>
    </xf>
    <xf numFmtId="49" fontId="0" fillId="0" borderId="2" xfId="0" applyNumberFormat="1" applyBorder="1" applyAlignment="1">
      <alignment horizontal="center" vertical="center" shrinkToFit="1"/>
    </xf>
    <xf numFmtId="31" fontId="0" fillId="0" borderId="2" xfId="0" applyNumberFormat="1" applyBorder="1" applyAlignment="1">
      <alignment vertical="center"/>
    </xf>
    <xf numFmtId="0" fontId="4" fillId="0" borderId="0" xfId="0" applyFont="1" applyAlignment="1">
      <alignment vertical="center" shrinkToFit="1"/>
    </xf>
    <xf numFmtId="0" fontId="5" fillId="0" borderId="4"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6" fillId="2" borderId="2" xfId="0" applyFont="1" applyFill="1" applyBorder="1" applyAlignment="1">
      <alignment horizontal="center" vertical="center" wrapText="1" shrinkToFit="1"/>
    </xf>
    <xf numFmtId="49" fontId="6" fillId="2" borderId="2" xfId="0" applyNumberFormat="1" applyFont="1" applyFill="1" applyBorder="1" applyAlignment="1">
      <alignment horizontal="center" vertical="center" wrapText="1" shrinkToFit="1"/>
    </xf>
    <xf numFmtId="0" fontId="7" fillId="2" borderId="2" xfId="0" applyFont="1" applyFill="1" applyBorder="1" applyAlignment="1">
      <alignment horizontal="center" vertical="center" wrapText="1" shrinkToFit="1"/>
    </xf>
    <xf numFmtId="0" fontId="4" fillId="0" borderId="2" xfId="0" applyFont="1" applyBorder="1" applyAlignment="1">
      <alignment horizontal="center" vertical="center" shrinkToFit="1"/>
    </xf>
    <xf numFmtId="0" fontId="4" fillId="0" borderId="2" xfId="0" applyNumberFormat="1" applyFont="1" applyBorder="1" applyAlignment="1">
      <alignment horizontal="center" vertical="center" shrinkToFit="1"/>
    </xf>
    <xf numFmtId="0" fontId="5" fillId="0" borderId="6" xfId="0" applyFont="1" applyFill="1" applyBorder="1" applyAlignment="1">
      <alignment horizontal="center" vertical="center" wrapText="1"/>
    </xf>
    <xf numFmtId="0" fontId="8" fillId="3" borderId="0" xfId="0" applyFont="1" applyFill="1" applyAlignment="1">
      <alignment horizontal="left" vertical="center" shrinkToFit="1"/>
    </xf>
    <xf numFmtId="14" fontId="6" fillId="2" borderId="2" xfId="0" applyNumberFormat="1" applyFont="1" applyFill="1" applyBorder="1" applyAlignment="1">
      <alignment horizontal="center" vertical="center" wrapText="1" shrinkToFit="1"/>
    </xf>
    <xf numFmtId="0" fontId="4" fillId="0" borderId="0" xfId="0" applyFont="1" applyAlignment="1">
      <alignment horizontal="left" vertical="center" shrinkToFit="1"/>
    </xf>
    <xf numFmtId="14" fontId="0" fillId="0" borderId="2" xfId="0" applyNumberFormat="1" applyBorder="1" applyAlignment="1">
      <alignment horizontal="center" vertical="center" shrinkToFit="1"/>
    </xf>
    <xf numFmtId="0" fontId="4" fillId="0" borderId="2" xfId="0" applyFont="1" applyFill="1" applyBorder="1" applyAlignment="1">
      <alignment horizontal="center" vertical="center" shrinkToFit="1"/>
    </xf>
    <xf numFmtId="0" fontId="9" fillId="0" borderId="4" xfId="0" applyFont="1" applyBorder="1" applyAlignment="1">
      <alignment horizontal="center" vertical="center" shrinkToFit="1"/>
    </xf>
    <xf numFmtId="0" fontId="9" fillId="0" borderId="5" xfId="0" applyFont="1" applyBorder="1" applyAlignment="1">
      <alignment horizontal="center" vertical="center" shrinkToFit="1"/>
    </xf>
    <xf numFmtId="0" fontId="10" fillId="0" borderId="4" xfId="0" applyFont="1" applyBorder="1" applyAlignment="1">
      <alignment horizontal="center" vertical="center" shrinkToFit="1"/>
    </xf>
    <xf numFmtId="0" fontId="10" fillId="0" borderId="5" xfId="0" applyFont="1" applyBorder="1" applyAlignment="1">
      <alignment horizontal="center" vertical="center" shrinkToFit="1"/>
    </xf>
    <xf numFmtId="0" fontId="10" fillId="0" borderId="6" xfId="0" applyFont="1" applyBorder="1" applyAlignment="1">
      <alignment horizontal="center" vertical="center" shrinkToFit="1"/>
    </xf>
    <xf numFmtId="0" fontId="11" fillId="2" borderId="2" xfId="0" applyFont="1" applyFill="1" applyBorder="1" applyAlignment="1">
      <alignment horizontal="center" vertical="center" shrinkToFit="1"/>
    </xf>
    <xf numFmtId="0" fontId="11" fillId="2" borderId="2" xfId="0" applyNumberFormat="1" applyFont="1" applyFill="1" applyBorder="1" applyAlignment="1">
      <alignment horizontal="center" vertical="center" shrinkToFit="1"/>
    </xf>
    <xf numFmtId="0" fontId="0" fillId="0" borderId="2" xfId="0" applyBorder="1" applyAlignment="1">
      <alignment horizontal="center" vertical="center" shrinkToFit="1"/>
    </xf>
    <xf numFmtId="0" fontId="9" fillId="0" borderId="6" xfId="0" applyFont="1" applyBorder="1" applyAlignment="1">
      <alignment horizontal="center" vertical="center" shrinkToFit="1"/>
    </xf>
    <xf numFmtId="0" fontId="12" fillId="3" borderId="0" xfId="0" applyFont="1" applyFill="1" applyAlignment="1">
      <alignment horizontal="center" vertical="center" wrapText="1"/>
    </xf>
    <xf numFmtId="0" fontId="13" fillId="3" borderId="0" xfId="0" applyFont="1" applyFill="1" applyAlignment="1">
      <alignment horizontal="center" vertical="center"/>
    </xf>
    <xf numFmtId="0" fontId="11" fillId="2" borderId="2" xfId="0" applyFont="1" applyFill="1" applyBorder="1" applyAlignment="1">
      <alignment horizontal="center" vertical="center" wrapText="1" shrinkToFit="1"/>
    </xf>
    <xf numFmtId="0" fontId="14" fillId="0" borderId="2" xfId="0" applyFont="1" applyBorder="1" applyAlignment="1">
      <alignment horizontal="center" vertical="center" wrapText="1" shrinkToFit="1"/>
    </xf>
    <xf numFmtId="0" fontId="4" fillId="0" borderId="2" xfId="0" applyFont="1" applyBorder="1" applyAlignment="1">
      <alignment vertical="center" shrinkToFit="1"/>
    </xf>
    <xf numFmtId="0" fontId="5" fillId="0" borderId="2" xfId="0" applyFont="1" applyFill="1" applyBorder="1" applyAlignment="1">
      <alignment horizontal="center" vertical="center" wrapText="1"/>
    </xf>
    <xf numFmtId="0" fontId="0" fillId="0" borderId="2" xfId="0" applyBorder="1" applyAlignment="1">
      <alignment horizontal="left" vertical="center"/>
    </xf>
    <xf numFmtId="0" fontId="4" fillId="0" borderId="2" xfId="0" applyNumberFormat="1" applyFont="1" applyFill="1" applyBorder="1" applyAlignment="1">
      <alignment horizontal="center" vertical="center" shrinkToFit="1"/>
    </xf>
    <xf numFmtId="14" fontId="4" fillId="0" borderId="2" xfId="0" applyNumberFormat="1" applyFont="1" applyFill="1" applyBorder="1" applyAlignment="1">
      <alignment horizontal="center" vertical="center" shrinkToFit="1"/>
    </xf>
    <xf numFmtId="0" fontId="4" fillId="0" borderId="2" xfId="0" applyFont="1" applyBorder="1" applyAlignment="1">
      <alignment horizontal="left" vertical="center" shrinkToFit="1"/>
    </xf>
    <xf numFmtId="0" fontId="0" fillId="0" borderId="0" xfId="0" applyAlignment="1">
      <alignment vertical="center" shrinkToFit="1"/>
    </xf>
    <xf numFmtId="0" fontId="0" fillId="0" borderId="7" xfId="0" applyBorder="1" applyAlignment="1">
      <alignment horizontal="center" vertical="center" shrinkToFit="1"/>
    </xf>
    <xf numFmtId="0" fontId="15" fillId="0" borderId="7" xfId="0" applyFont="1" applyBorder="1" applyAlignment="1">
      <alignment horizontal="center" vertical="center" shrinkToFit="1"/>
    </xf>
    <xf numFmtId="0" fontId="16" fillId="0" borderId="7" xfId="0" applyFont="1" applyBorder="1" applyAlignment="1">
      <alignment horizontal="center" vertical="center" shrinkToFit="1"/>
    </xf>
    <xf numFmtId="0" fontId="17" fillId="0" borderId="7" xfId="0" applyNumberFormat="1" applyFont="1" applyBorder="1" applyAlignment="1">
      <alignment horizontal="center" vertical="center" shrinkToFit="1"/>
    </xf>
    <xf numFmtId="0" fontId="15" fillId="0" borderId="7" xfId="0" applyNumberFormat="1" applyFont="1" applyFill="1" applyBorder="1" applyAlignment="1">
      <alignment horizontal="center" vertical="center" shrinkToFit="1"/>
    </xf>
    <xf numFmtId="0" fontId="15" fillId="0" borderId="2" xfId="0" applyFont="1" applyBorder="1" applyAlignment="1">
      <alignment horizontal="center" vertical="center" shrinkToFit="1"/>
    </xf>
    <xf numFmtId="14" fontId="0" fillId="0" borderId="7" xfId="0" applyNumberFormat="1" applyBorder="1" applyAlignment="1">
      <alignment horizontal="center" vertical="center" shrinkToFit="1"/>
    </xf>
    <xf numFmtId="49" fontId="0" fillId="0" borderId="7" xfId="0" applyNumberFormat="1" applyBorder="1" applyAlignment="1">
      <alignment horizontal="center" vertical="center" shrinkToFit="1"/>
    </xf>
    <xf numFmtId="49" fontId="15" fillId="0" borderId="8" xfId="0" applyNumberFormat="1" applyFont="1" applyBorder="1" applyAlignment="1">
      <alignment horizontal="center" vertical="center" wrapText="1" shrinkToFit="1"/>
    </xf>
    <xf numFmtId="0" fontId="15" fillId="3" borderId="8" xfId="0" applyFont="1" applyFill="1" applyBorder="1" applyAlignment="1">
      <alignment horizontal="center" vertical="center" shrinkToFit="1"/>
    </xf>
    <xf numFmtId="0" fontId="0" fillId="0" borderId="0" xfId="0" applyAlignment="1">
      <alignment horizontal="left" vertical="center" shrinkToFit="1"/>
    </xf>
    <xf numFmtId="0" fontId="0" fillId="0" borderId="0" xfId="0" applyAlignment="1">
      <alignment vertical="center"/>
    </xf>
    <xf numFmtId="0" fontId="5" fillId="0" borderId="4" xfId="0" applyFont="1" applyFill="1" applyBorder="1" applyAlignment="1">
      <alignment horizontal="center" vertical="center"/>
    </xf>
    <xf numFmtId="0" fontId="5" fillId="0" borderId="5" xfId="0" applyFont="1" applyFill="1" applyBorder="1" applyAlignment="1">
      <alignment horizontal="center" vertical="center"/>
    </xf>
    <xf numFmtId="0" fontId="18" fillId="2" borderId="2" xfId="0" applyFont="1" applyFill="1" applyBorder="1" applyAlignment="1">
      <alignment horizontal="center" vertical="center" wrapText="1"/>
    </xf>
    <xf numFmtId="0" fontId="19"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49" fontId="19" fillId="2" borderId="2" xfId="0" applyNumberFormat="1" applyFont="1" applyFill="1" applyBorder="1" applyAlignment="1">
      <alignment horizontal="center" vertical="center" wrapText="1"/>
    </xf>
    <xf numFmtId="0" fontId="5" fillId="0" borderId="6" xfId="0" applyFont="1" applyFill="1" applyBorder="1" applyAlignment="1">
      <alignment horizontal="center" vertical="center"/>
    </xf>
    <xf numFmtId="0" fontId="0" fillId="4" borderId="0" xfId="0" applyFill="1" applyAlignment="1">
      <alignment vertical="center"/>
    </xf>
    <xf numFmtId="0" fontId="0" fillId="0" borderId="8" xfId="0" applyBorder="1" applyAlignment="1">
      <alignment vertical="center" shrinkToFit="1"/>
    </xf>
    <xf numFmtId="0" fontId="20" fillId="0" borderId="4" xfId="0" applyFont="1" applyFill="1" applyBorder="1" applyAlignment="1">
      <alignment horizontal="center" vertical="center" shrinkToFit="1"/>
    </xf>
    <xf numFmtId="0" fontId="20" fillId="0" borderId="5" xfId="0" applyFont="1" applyFill="1" applyBorder="1" applyAlignment="1">
      <alignment horizontal="center" vertical="center" shrinkToFit="1"/>
    </xf>
    <xf numFmtId="14" fontId="21" fillId="5" borderId="4" xfId="0" applyNumberFormat="1" applyFont="1" applyFill="1" applyBorder="1" applyAlignment="1">
      <alignment horizontal="center" vertical="center" shrinkToFit="1"/>
    </xf>
    <xf numFmtId="14" fontId="21" fillId="5" borderId="6" xfId="0" applyNumberFormat="1" applyFont="1" applyFill="1" applyBorder="1" applyAlignment="1">
      <alignment horizontal="center" vertical="center" shrinkToFit="1"/>
    </xf>
    <xf numFmtId="14" fontId="21" fillId="5" borderId="0" xfId="0" applyNumberFormat="1" applyFont="1" applyFill="1" applyBorder="1" applyAlignment="1">
      <alignment horizontal="center" vertical="center" shrinkToFit="1"/>
    </xf>
    <xf numFmtId="14" fontId="21" fillId="5" borderId="9" xfId="0" applyNumberFormat="1" applyFont="1" applyFill="1" applyBorder="1" applyAlignment="1">
      <alignment horizontal="center" vertical="center" shrinkToFit="1"/>
    </xf>
    <xf numFmtId="0" fontId="21" fillId="5" borderId="2" xfId="0" applyFont="1" applyFill="1" applyBorder="1" applyAlignment="1">
      <alignment horizontal="center" vertical="center" shrinkToFit="1"/>
    </xf>
    <xf numFmtId="0" fontId="22" fillId="5" borderId="2" xfId="0" applyFont="1" applyFill="1" applyBorder="1" applyAlignment="1">
      <alignment horizontal="center" vertical="center" shrinkToFit="1"/>
    </xf>
    <xf numFmtId="0" fontId="23" fillId="2" borderId="10" xfId="0" applyFont="1" applyFill="1" applyBorder="1" applyAlignment="1">
      <alignment horizontal="center" vertical="center" wrapText="1" shrinkToFit="1"/>
    </xf>
    <xf numFmtId="14" fontId="23" fillId="2" borderId="10" xfId="0" applyNumberFormat="1" applyFont="1" applyFill="1" applyBorder="1" applyAlignment="1">
      <alignment horizontal="center" vertical="center" shrinkToFit="1"/>
    </xf>
    <xf numFmtId="0" fontId="23" fillId="2" borderId="10" xfId="0" applyFont="1" applyFill="1" applyBorder="1" applyAlignment="1">
      <alignment horizontal="center" vertical="center" shrinkToFit="1"/>
    </xf>
    <xf numFmtId="14" fontId="24" fillId="2" borderId="10" xfId="0" applyNumberFormat="1" applyFont="1" applyFill="1" applyBorder="1" applyAlignment="1">
      <alignment horizontal="center" vertical="center" shrinkToFit="1"/>
    </xf>
    <xf numFmtId="0" fontId="25" fillId="0" borderId="7" xfId="0" applyFont="1" applyBorder="1" applyAlignment="1">
      <alignment horizontal="center" vertical="center" shrinkToFit="1"/>
    </xf>
    <xf numFmtId="0" fontId="26" fillId="0" borderId="7" xfId="0" applyFont="1" applyBorder="1" applyAlignment="1">
      <alignment horizontal="center" vertical="center" shrinkToFit="1"/>
    </xf>
    <xf numFmtId="0" fontId="16" fillId="0" borderId="7" xfId="0" applyNumberFormat="1" applyFont="1" applyBorder="1" applyAlignment="1">
      <alignment horizontal="center" vertical="center" shrinkToFit="1"/>
    </xf>
    <xf numFmtId="14" fontId="27" fillId="0" borderId="7" xfId="0" applyNumberFormat="1" applyFont="1" applyBorder="1" applyAlignment="1">
      <alignment horizontal="center" vertical="center" shrinkToFit="1"/>
    </xf>
    <xf numFmtId="0" fontId="20" fillId="0" borderId="6" xfId="0" applyFont="1" applyFill="1" applyBorder="1" applyAlignment="1">
      <alignment horizontal="center" vertical="center" shrinkToFit="1"/>
    </xf>
    <xf numFmtId="0" fontId="0" fillId="4" borderId="8" xfId="0" applyFill="1" applyBorder="1" applyAlignment="1">
      <alignment horizontal="left" vertical="center" shrinkToFit="1"/>
    </xf>
    <xf numFmtId="0" fontId="21" fillId="5" borderId="2" xfId="0" applyFont="1" applyFill="1" applyBorder="1" applyAlignment="1">
      <alignment horizontal="center" vertical="center" wrapText="1" shrinkToFit="1"/>
    </xf>
    <xf numFmtId="0" fontId="21" fillId="5" borderId="4" xfId="0" applyFont="1" applyFill="1" applyBorder="1" applyAlignment="1">
      <alignment horizontal="center" vertical="center" shrinkToFit="1"/>
    </xf>
    <xf numFmtId="0" fontId="21" fillId="5" borderId="5" xfId="0" applyFont="1" applyFill="1" applyBorder="1" applyAlignment="1">
      <alignment horizontal="center" vertical="center" shrinkToFit="1"/>
    </xf>
    <xf numFmtId="0" fontId="21" fillId="5" borderId="6" xfId="0" applyFont="1" applyFill="1" applyBorder="1" applyAlignment="1">
      <alignment horizontal="center" vertical="center" shrinkToFit="1"/>
    </xf>
    <xf numFmtId="0" fontId="21" fillId="5" borderId="2" xfId="0" applyNumberFormat="1" applyFont="1" applyFill="1" applyBorder="1" applyAlignment="1">
      <alignment horizontal="center" vertical="center" shrinkToFit="1"/>
    </xf>
    <xf numFmtId="0" fontId="28" fillId="2" borderId="10" xfId="0" applyFont="1" applyFill="1" applyBorder="1" applyAlignment="1">
      <alignment horizontal="center" vertical="center" wrapText="1" shrinkToFit="1"/>
    </xf>
    <xf numFmtId="0" fontId="29" fillId="2" borderId="10" xfId="0" applyFont="1" applyFill="1" applyBorder="1" applyAlignment="1">
      <alignment horizontal="center" vertical="center" wrapText="1" shrinkToFit="1"/>
    </xf>
    <xf numFmtId="176" fontId="30" fillId="2" borderId="10" xfId="0" applyNumberFormat="1" applyFont="1" applyFill="1" applyBorder="1" applyAlignment="1">
      <alignment horizontal="center" vertical="center" shrinkToFit="1"/>
    </xf>
    <xf numFmtId="49" fontId="23" fillId="2" borderId="10" xfId="0" applyNumberFormat="1" applyFont="1" applyFill="1" applyBorder="1" applyAlignment="1">
      <alignment horizontal="center" vertical="center" shrinkToFit="1"/>
    </xf>
    <xf numFmtId="0" fontId="23" fillId="2" borderId="10" xfId="0" applyNumberFormat="1" applyFont="1" applyFill="1" applyBorder="1" applyAlignment="1">
      <alignment horizontal="center" vertical="center" shrinkToFit="1"/>
    </xf>
    <xf numFmtId="0" fontId="0" fillId="0" borderId="7" xfId="0" applyBorder="1" applyAlignment="1">
      <alignment vertical="center" wrapText="1" shrinkToFit="1"/>
    </xf>
    <xf numFmtId="0" fontId="0" fillId="0" borderId="7" xfId="0" applyBorder="1" applyAlignment="1">
      <alignment horizontal="left" vertical="center" shrinkToFit="1"/>
    </xf>
    <xf numFmtId="0" fontId="27" fillId="0" borderId="11" xfId="0" applyFont="1" applyBorder="1" applyAlignment="1">
      <alignment vertical="center" shrinkToFit="1"/>
    </xf>
    <xf numFmtId="0" fontId="0" fillId="0" borderId="7" xfId="0" applyNumberFormat="1" applyBorder="1" applyAlignment="1">
      <alignment horizontal="center" vertical="center" shrinkToFit="1"/>
    </xf>
    <xf numFmtId="0" fontId="0" fillId="0" borderId="0" xfId="0" applyAlignment="1">
      <alignment horizontal="center" vertical="center" shrinkToFit="1"/>
    </xf>
    <xf numFmtId="0" fontId="31" fillId="0" borderId="1" xfId="0" applyFont="1" applyBorder="1" applyAlignment="1">
      <alignment horizontal="center" vertical="center" wrapText="1"/>
    </xf>
    <xf numFmtId="0" fontId="31" fillId="0" borderId="0" xfId="0" applyFont="1" applyBorder="1" applyAlignment="1">
      <alignment horizontal="center" vertical="center" wrapText="1"/>
    </xf>
    <xf numFmtId="0" fontId="8" fillId="2" borderId="2" xfId="0" applyFont="1" applyFill="1" applyBorder="1" applyAlignment="1">
      <alignment horizontal="center" vertical="center"/>
    </xf>
    <xf numFmtId="14" fontId="0" fillId="0" borderId="0" xfId="0" applyNumberFormat="1" applyAlignment="1">
      <alignment horizontal="center" vertical="center" shrinkToFit="1"/>
    </xf>
    <xf numFmtId="0" fontId="31" fillId="0" borderId="0" xfId="0" applyFont="1" applyAlignment="1">
      <alignment horizontal="center" vertical="center"/>
    </xf>
    <xf numFmtId="0" fontId="8" fillId="3" borderId="0" xfId="0" applyNumberFormat="1" applyFont="1" applyFill="1" applyAlignment="1">
      <alignment horizontal="left" vertical="center" wrapText="1"/>
    </xf>
    <xf numFmtId="0" fontId="0" fillId="0" borderId="0" xfId="0" applyAlignment="1">
      <alignment horizontal="center"/>
    </xf>
    <xf numFmtId="0" fontId="0" fillId="0" borderId="0" xfId="0" applyNumberFormat="1" applyAlignment="1">
      <alignment horizontal="left" vertical="center"/>
    </xf>
    <xf numFmtId="0" fontId="0" fillId="0" borderId="0" xfId="0" applyAlignment="1">
      <alignment horizontal="left"/>
    </xf>
    <xf numFmtId="0" fontId="0" fillId="0" borderId="0" xfId="0" applyAlignment="1"/>
    <xf numFmtId="31" fontId="0" fillId="0" borderId="0" xfId="0" applyNumberFormat="1" applyAlignment="1">
      <alignment horizontal="center"/>
    </xf>
    <xf numFmtId="0" fontId="0" fillId="0" borderId="3" xfId="0" applyBorder="1" applyAlignment="1">
      <alignment horizontal="left"/>
    </xf>
    <xf numFmtId="0" fontId="32" fillId="0" borderId="2" xfId="0" applyFont="1" applyBorder="1" applyAlignment="1">
      <alignment horizontal="center" vertical="center"/>
    </xf>
    <xf numFmtId="0" fontId="6" fillId="0" borderId="2" xfId="0" applyFont="1" applyBorder="1" applyAlignment="1">
      <alignment horizontal="center" vertical="center"/>
    </xf>
    <xf numFmtId="0" fontId="30" fillId="0" borderId="0" xfId="0" applyFont="1" applyAlignment="1">
      <alignment horizontal="center" vertical="center"/>
    </xf>
    <xf numFmtId="0" fontId="30" fillId="0" borderId="0" xfId="0" applyFont="1" applyAlignment="1">
      <alignment horizontal="center"/>
    </xf>
    <xf numFmtId="0" fontId="0" fillId="0" borderId="0" xfId="0" applyBorder="1" applyAlignment="1">
      <alignment horizontal="center" vertical="center"/>
    </xf>
    <xf numFmtId="0" fontId="33" fillId="0" borderId="0" xfId="0" applyFont="1" applyAlignment="1">
      <alignment horizontal="center" vertical="center"/>
    </xf>
    <xf numFmtId="0" fontId="4" fillId="0" borderId="0" xfId="0" applyFont="1" applyAlignment="1">
      <alignment horizontal="center" vertical="center"/>
    </xf>
    <xf numFmtId="0" fontId="0" fillId="0" borderId="0" xfId="0" applyAlignment="1">
      <alignment horizontal="left" vertical="center"/>
    </xf>
    <xf numFmtId="0" fontId="6" fillId="0" borderId="0" xfId="0" applyFont="1" applyAlignment="1">
      <alignment horizontal="center" vertical="center"/>
    </xf>
    <xf numFmtId="0" fontId="34" fillId="0" borderId="2" xfId="0" applyFont="1" applyBorder="1" applyAlignment="1">
      <alignment horizontal="center" vertical="center"/>
    </xf>
    <xf numFmtId="0" fontId="0" fillId="0" borderId="12" xfId="0" applyBorder="1" applyAlignment="1">
      <alignment horizontal="left" vertical="center"/>
    </xf>
    <xf numFmtId="0" fontId="0" fillId="0" borderId="0" xfId="0" applyAlignment="1">
      <alignment horizontal="left" vertical="center" wrapText="1"/>
    </xf>
    <xf numFmtId="14" fontId="0" fillId="0" borderId="0" xfId="0" applyNumberFormat="1" applyAlignment="1">
      <alignment horizontal="center" vertical="center"/>
    </xf>
    <xf numFmtId="14" fontId="6" fillId="0" borderId="0" xfId="0" applyNumberFormat="1" applyFont="1" applyAlignment="1">
      <alignment horizontal="center" vertical="center"/>
    </xf>
    <xf numFmtId="177" fontId="0" fillId="0" borderId="0" xfId="47" applyFont="1">
      <alignment vertical="center"/>
    </xf>
    <xf numFmtId="177" fontId="18" fillId="0" borderId="0" xfId="47" applyFont="1" applyFill="1" applyAlignment="1">
      <alignment horizontal="center" vertical="center"/>
    </xf>
    <xf numFmtId="49" fontId="35" fillId="0" borderId="4" xfId="47" applyNumberFormat="1" applyFont="1" applyBorder="1" applyAlignment="1">
      <alignment horizontal="center" vertical="center"/>
    </xf>
    <xf numFmtId="177" fontId="35" fillId="0" borderId="5" xfId="47" applyFont="1" applyBorder="1" applyAlignment="1">
      <alignment horizontal="center" vertical="center"/>
    </xf>
    <xf numFmtId="177" fontId="35" fillId="0" borderId="5" xfId="47" applyFont="1" applyBorder="1" applyAlignment="1">
      <alignment vertical="center"/>
    </xf>
    <xf numFmtId="177" fontId="35" fillId="2" borderId="4" xfId="47" applyFont="1" applyFill="1" applyBorder="1" applyAlignment="1">
      <alignment horizontal="left" vertical="center"/>
    </xf>
    <xf numFmtId="177" fontId="35" fillId="2" borderId="5" xfId="47" applyFont="1" applyFill="1" applyBorder="1" applyAlignment="1">
      <alignment horizontal="left" vertical="center"/>
    </xf>
    <xf numFmtId="49" fontId="36" fillId="0" borderId="2" xfId="47" applyNumberFormat="1" applyFont="1" applyBorder="1" applyAlignment="1">
      <alignment horizontal="center" vertical="center" wrapText="1"/>
    </xf>
    <xf numFmtId="177" fontId="36" fillId="0" borderId="2" xfId="47" applyFont="1" applyBorder="1" applyAlignment="1">
      <alignment horizontal="center" vertical="center" wrapText="1"/>
    </xf>
    <xf numFmtId="49" fontId="0" fillId="0" borderId="2" xfId="47" applyNumberFormat="1" applyFont="1" applyBorder="1" applyAlignment="1">
      <alignment horizontal="center" vertical="center"/>
    </xf>
    <xf numFmtId="177" fontId="0" fillId="0" borderId="2" xfId="47" applyFont="1" applyBorder="1" applyAlignment="1">
      <alignment horizontal="center" vertical="center"/>
    </xf>
    <xf numFmtId="177" fontId="0" fillId="0" borderId="2" xfId="47" applyFont="1" applyBorder="1">
      <alignment vertical="center"/>
    </xf>
    <xf numFmtId="177" fontId="37" fillId="6" borderId="2" xfId="47" applyFont="1" applyFill="1" applyBorder="1" applyAlignment="1">
      <alignment horizontal="left" vertical="center"/>
    </xf>
    <xf numFmtId="0" fontId="0" fillId="7" borderId="0" xfId="47" applyNumberFormat="1" applyFont="1" applyFill="1">
      <alignment vertical="center"/>
    </xf>
    <xf numFmtId="0" fontId="35" fillId="0" borderId="5" xfId="47" applyNumberFormat="1" applyFont="1" applyBorder="1" applyAlignment="1">
      <alignment vertical="center"/>
    </xf>
    <xf numFmtId="0" fontId="35" fillId="0" borderId="5" xfId="47" applyNumberFormat="1" applyFont="1" applyBorder="1" applyAlignment="1">
      <alignment horizontal="center" vertical="center"/>
    </xf>
    <xf numFmtId="14" fontId="38" fillId="0" borderId="5" xfId="47" applyNumberFormat="1" applyFont="1" applyFill="1" applyBorder="1" applyAlignment="1">
      <alignment horizontal="center" vertical="center"/>
    </xf>
    <xf numFmtId="14" fontId="38" fillId="0" borderId="6" xfId="47" applyNumberFormat="1" applyFont="1" applyFill="1" applyBorder="1" applyAlignment="1">
      <alignment horizontal="center" vertical="center"/>
    </xf>
    <xf numFmtId="177" fontId="35" fillId="2" borderId="6" xfId="47" applyFont="1" applyFill="1" applyBorder="1" applyAlignment="1">
      <alignment horizontal="left" vertical="center"/>
    </xf>
    <xf numFmtId="177" fontId="36" fillId="0" borderId="2" xfId="47" applyFont="1" applyFill="1" applyBorder="1" applyAlignment="1">
      <alignment horizontal="center" vertical="center" wrapText="1"/>
    </xf>
    <xf numFmtId="0" fontId="36" fillId="0" borderId="2" xfId="47" applyNumberFormat="1" applyFont="1" applyFill="1" applyBorder="1" applyAlignment="1">
      <alignment horizontal="center" vertical="center" wrapText="1"/>
    </xf>
    <xf numFmtId="0" fontId="36" fillId="0" borderId="2" xfId="47" applyNumberFormat="1" applyFont="1" applyBorder="1" applyAlignment="1">
      <alignment horizontal="center" vertical="center" shrinkToFit="1"/>
    </xf>
    <xf numFmtId="49" fontId="0" fillId="0" borderId="0" xfId="47" applyNumberFormat="1" applyFont="1">
      <alignment vertical="center"/>
    </xf>
    <xf numFmtId="0" fontId="0" fillId="0" borderId="0" xfId="47" applyNumberFormat="1" applyFont="1">
      <alignment vertical="center"/>
    </xf>
    <xf numFmtId="0" fontId="36" fillId="0" borderId="8" xfId="0" applyFont="1" applyBorder="1" applyAlignment="1">
      <alignment horizontal="left" vertical="center"/>
    </xf>
    <xf numFmtId="0" fontId="6" fillId="2" borderId="8" xfId="0" applyFont="1" applyFill="1" applyBorder="1" applyAlignment="1">
      <alignment horizontal="left" vertical="center"/>
    </xf>
    <xf numFmtId="0" fontId="36" fillId="0" borderId="0" xfId="0" applyFont="1" applyAlignment="1">
      <alignment horizontal="left" vertical="center"/>
    </xf>
    <xf numFmtId="0" fontId="36" fillId="7" borderId="8" xfId="0" applyFont="1" applyFill="1" applyBorder="1" applyAlignment="1">
      <alignment horizontal="left" vertical="center"/>
    </xf>
    <xf numFmtId="0" fontId="39" fillId="0" borderId="8" xfId="0" applyFont="1" applyBorder="1" applyAlignment="1">
      <alignment horizontal="left" vertical="center" shrinkToFit="1"/>
    </xf>
    <xf numFmtId="14" fontId="27" fillId="0" borderId="8" xfId="0" applyNumberFormat="1" applyFont="1" applyFill="1" applyBorder="1" applyAlignment="1">
      <alignment horizontal="left" vertical="center" shrinkToFit="1"/>
    </xf>
    <xf numFmtId="0" fontId="27" fillId="0" borderId="8" xfId="0" applyFont="1" applyFill="1" applyBorder="1" applyAlignment="1">
      <alignment horizontal="left" vertical="center" shrinkToFit="1"/>
    </xf>
    <xf numFmtId="0" fontId="16" fillId="0" borderId="8" xfId="0" applyFont="1" applyBorder="1" applyAlignment="1">
      <alignment horizontal="left" vertical="center"/>
    </xf>
    <xf numFmtId="0" fontId="40" fillId="0" borderId="8" xfId="0" applyFont="1" applyBorder="1" applyAlignment="1">
      <alignment horizontal="left" vertical="center" shrinkToFit="1"/>
    </xf>
    <xf numFmtId="0" fontId="41" fillId="2" borderId="8" xfId="0" applyFont="1" applyFill="1" applyBorder="1" applyAlignment="1">
      <alignment horizontal="left" vertical="center" shrinkToFit="1"/>
    </xf>
    <xf numFmtId="0" fontId="42" fillId="2" borderId="8" xfId="0" applyFont="1" applyFill="1" applyBorder="1" applyAlignment="1">
      <alignment horizontal="left" vertical="center" shrinkToFit="1"/>
    </xf>
    <xf numFmtId="0" fontId="43" fillId="2" borderId="8" xfId="0" applyFont="1" applyFill="1" applyBorder="1" applyAlignment="1">
      <alignment horizontal="left" vertical="center" shrinkToFit="1"/>
    </xf>
    <xf numFmtId="0" fontId="44" fillId="2" borderId="8" xfId="0" applyFont="1" applyFill="1" applyBorder="1" applyAlignment="1">
      <alignment horizontal="left" vertical="center" shrinkToFit="1"/>
    </xf>
    <xf numFmtId="0" fontId="39" fillId="0" borderId="2" xfId="0" applyNumberFormat="1" applyFont="1" applyBorder="1" applyAlignment="1">
      <alignment horizontal="left" vertical="center" shrinkToFit="1"/>
    </xf>
    <xf numFmtId="0" fontId="39" fillId="0" borderId="2" xfId="0" applyFont="1" applyBorder="1" applyAlignment="1">
      <alignment horizontal="left" vertical="center" shrinkToFit="1"/>
    </xf>
    <xf numFmtId="0" fontId="39" fillId="7" borderId="7" xfId="0" applyFont="1" applyFill="1" applyBorder="1" applyAlignment="1">
      <alignment horizontal="left" vertical="center" shrinkToFit="1"/>
    </xf>
    <xf numFmtId="0" fontId="40" fillId="7" borderId="7" xfId="0" applyFont="1" applyFill="1" applyBorder="1" applyAlignment="1">
      <alignment horizontal="left" vertical="center" shrinkToFit="1"/>
    </xf>
    <xf numFmtId="0" fontId="39" fillId="7" borderId="8" xfId="0" applyFont="1" applyFill="1" applyBorder="1" applyAlignment="1">
      <alignment horizontal="left" vertical="center" shrinkToFit="1"/>
    </xf>
    <xf numFmtId="0" fontId="40" fillId="7" borderId="8" xfId="0" applyFont="1" applyFill="1" applyBorder="1" applyAlignment="1">
      <alignment horizontal="left" vertical="center" shrinkToFit="1"/>
    </xf>
    <xf numFmtId="0" fontId="45" fillId="7" borderId="7" xfId="0" applyFont="1" applyFill="1" applyBorder="1" applyAlignment="1">
      <alignment horizontal="left" vertical="center" shrinkToFit="1"/>
    </xf>
    <xf numFmtId="0" fontId="46" fillId="0" borderId="8" xfId="0" applyFont="1" applyBorder="1" applyAlignment="1">
      <alignment horizontal="center" vertical="center"/>
    </xf>
    <xf numFmtId="0" fontId="40" fillId="0" borderId="8" xfId="0" applyFont="1" applyBorder="1" applyAlignment="1">
      <alignment horizontal="center" vertical="center" shrinkToFit="1"/>
    </xf>
    <xf numFmtId="0" fontId="16" fillId="0" borderId="8" xfId="0" applyFont="1" applyBorder="1" applyAlignment="1">
      <alignment horizontal="center" vertical="center"/>
    </xf>
    <xf numFmtId="0" fontId="43" fillId="2" borderId="8" xfId="0" applyFont="1" applyFill="1" applyBorder="1" applyAlignment="1">
      <alignment horizontal="center" vertical="center"/>
    </xf>
    <xf numFmtId="0" fontId="43" fillId="2" borderId="8" xfId="0" applyFont="1" applyFill="1" applyBorder="1" applyAlignment="1">
      <alignment horizontal="center" vertical="center" shrinkToFit="1"/>
    </xf>
    <xf numFmtId="0" fontId="43" fillId="8" borderId="8" xfId="0" applyFont="1" applyFill="1" applyBorder="1" applyAlignment="1">
      <alignment horizontal="left" vertical="center" shrinkToFit="1"/>
    </xf>
    <xf numFmtId="14" fontId="39" fillId="0" borderId="2" xfId="0" applyNumberFormat="1" applyFont="1" applyBorder="1" applyAlignment="1">
      <alignment horizontal="left" vertical="center" shrinkToFit="1"/>
    </xf>
    <xf numFmtId="0" fontId="46" fillId="7" borderId="7" xfId="0" applyFont="1" applyFill="1" applyBorder="1" applyAlignment="1">
      <alignment horizontal="center" vertical="center"/>
    </xf>
    <xf numFmtId="0" fontId="40" fillId="7" borderId="7" xfId="0" applyFont="1" applyFill="1" applyBorder="1" applyAlignment="1">
      <alignment horizontal="center" vertical="center" shrinkToFit="1"/>
    </xf>
    <xf numFmtId="0" fontId="46" fillId="7" borderId="8" xfId="0" applyFont="1" applyFill="1" applyBorder="1" applyAlignment="1">
      <alignment horizontal="center" vertical="center"/>
    </xf>
    <xf numFmtId="0" fontId="40" fillId="7" borderId="8" xfId="0" applyFont="1" applyFill="1" applyBorder="1" applyAlignment="1">
      <alignment horizontal="center" vertical="center" shrinkToFit="1"/>
    </xf>
    <xf numFmtId="0" fontId="7" fillId="2" borderId="8" xfId="0" applyFont="1" applyFill="1" applyBorder="1" applyAlignment="1">
      <alignment horizontal="left" vertical="center"/>
    </xf>
    <xf numFmtId="0" fontId="16" fillId="7" borderId="8" xfId="0" applyFont="1" applyFill="1" applyBorder="1" applyAlignment="1">
      <alignment horizontal="left" vertical="center"/>
    </xf>
    <xf numFmtId="0" fontId="47" fillId="0" borderId="2" xfId="0" applyFont="1" applyFill="1" applyBorder="1" applyAlignment="1">
      <alignment horizontal="center" vertical="center"/>
    </xf>
    <xf numFmtId="0" fontId="48" fillId="6" borderId="2" xfId="0" applyFont="1" applyFill="1" applyBorder="1" applyAlignment="1">
      <alignment horizontal="right" vertical="center"/>
    </xf>
    <xf numFmtId="0" fontId="49" fillId="0" borderId="2" xfId="0" applyFont="1" applyBorder="1" applyAlignment="1">
      <alignment horizontal="left" vertical="center" wrapText="1"/>
    </xf>
    <xf numFmtId="0" fontId="49" fillId="0" borderId="4" xfId="0" applyFont="1" applyBorder="1" applyAlignment="1">
      <alignment horizontal="left" vertical="center" wrapText="1"/>
    </xf>
    <xf numFmtId="0" fontId="49" fillId="0" borderId="6" xfId="0" applyFont="1" applyBorder="1" applyAlignment="1">
      <alignment horizontal="left" vertical="center" wrapText="1"/>
    </xf>
    <xf numFmtId="0" fontId="50" fillId="0" borderId="2" xfId="0" applyFont="1" applyBorder="1" applyAlignment="1">
      <alignment horizontal="left" vertical="center" wrapText="1"/>
    </xf>
    <xf numFmtId="0" fontId="51" fillId="0" borderId="2" xfId="0" applyFont="1" applyBorder="1" applyAlignment="1">
      <alignment horizontal="left" vertical="center" wrapText="1"/>
    </xf>
    <xf numFmtId="0" fontId="52" fillId="6" borderId="2" xfId="0" applyFont="1" applyFill="1" applyBorder="1" applyAlignment="1">
      <alignment horizontal="left" vertical="center" wrapText="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51" fillId="0" borderId="4"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2" xfId="0" applyFont="1" applyBorder="1" applyAlignment="1">
      <alignment horizontal="center" vertical="center" wrapText="1"/>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51" fillId="6" borderId="4" xfId="0" applyFont="1" applyFill="1" applyBorder="1" applyAlignment="1">
      <alignment vertical="center" wrapText="1"/>
    </xf>
    <xf numFmtId="0" fontId="51" fillId="6" borderId="5" xfId="0" applyFont="1" applyFill="1" applyBorder="1" applyAlignment="1">
      <alignment vertical="center" wrapText="1"/>
    </xf>
    <xf numFmtId="0" fontId="51" fillId="6" borderId="6" xfId="0" applyFont="1" applyFill="1" applyBorder="1" applyAlignment="1">
      <alignment vertical="center" wrapText="1"/>
    </xf>
    <xf numFmtId="0" fontId="51" fillId="6" borderId="4" xfId="0" applyFont="1" applyFill="1" applyBorder="1" applyAlignment="1">
      <alignment horizontal="left" vertical="center" wrapText="1"/>
    </xf>
    <xf numFmtId="0" fontId="51" fillId="6" borderId="2" xfId="0" applyFont="1" applyFill="1" applyBorder="1" applyAlignment="1">
      <alignment horizontal="left" vertical="center" wrapText="1"/>
    </xf>
    <xf numFmtId="0" fontId="55" fillId="6" borderId="2" xfId="0" applyFont="1" applyFill="1" applyBorder="1" applyAlignment="1">
      <alignment horizontal="left" vertical="center"/>
    </xf>
    <xf numFmtId="0" fontId="55" fillId="6" borderId="2" xfId="0" applyFont="1" applyFill="1" applyBorder="1" applyAlignment="1">
      <alignment horizontal="left" vertical="center" wrapText="1"/>
    </xf>
    <xf numFmtId="0" fontId="55" fillId="6" borderId="2" xfId="0" applyFont="1" applyFill="1" applyBorder="1" applyAlignment="1">
      <alignment horizontal="left" vertical="top"/>
    </xf>
    <xf numFmtId="0" fontId="22" fillId="3" borderId="6" xfId="0" applyFont="1" applyFill="1" applyBorder="1" applyAlignment="1">
      <alignment horizontal="left" vertical="center" wrapText="1"/>
    </xf>
    <xf numFmtId="0" fontId="54" fillId="0" borderId="2" xfId="0" applyFont="1" applyBorder="1" applyAlignment="1">
      <alignment horizontal="left" vertical="center" wrapText="1"/>
    </xf>
    <xf numFmtId="0" fontId="56" fillId="0" borderId="2" xfId="0" applyFont="1" applyFill="1" applyBorder="1" applyAlignment="1">
      <alignment horizontal="left" vertical="center" wrapText="1"/>
    </xf>
    <xf numFmtId="0" fontId="49" fillId="0" borderId="2" xfId="0" applyFont="1" applyBorder="1" applyAlignment="1">
      <alignment horizontal="center" vertical="center" wrapText="1"/>
    </xf>
    <xf numFmtId="0" fontId="4" fillId="0" borderId="2" xfId="0" applyFont="1" applyBorder="1" applyAlignment="1">
      <alignment horizontal="center" vertical="center"/>
    </xf>
    <xf numFmtId="0" fontId="51" fillId="0" borderId="5" xfId="0" applyFont="1" applyBorder="1" applyAlignment="1">
      <alignment horizontal="center" vertical="center" wrapText="1"/>
    </xf>
    <xf numFmtId="0" fontId="51" fillId="6" borderId="5" xfId="0" applyFont="1" applyFill="1" applyBorder="1" applyAlignment="1">
      <alignment horizontal="left" vertical="center" wrapText="1"/>
    </xf>
    <xf numFmtId="0" fontId="51" fillId="6" borderId="6" xfId="0" applyFont="1" applyFill="1" applyBorder="1" applyAlignment="1">
      <alignment horizontal="left" vertical="center" wrapText="1"/>
    </xf>
    <xf numFmtId="0" fontId="51" fillId="6" borderId="2" xfId="0" applyFont="1" applyFill="1" applyBorder="1" applyAlignment="1">
      <alignment horizontal="left" vertical="center"/>
    </xf>
    <xf numFmtId="0" fontId="18" fillId="0" borderId="2" xfId="0" applyFont="1" applyBorder="1" applyAlignment="1">
      <alignment horizontal="center" vertical="center"/>
    </xf>
    <xf numFmtId="0" fontId="57" fillId="0" borderId="10" xfId="0" applyFont="1" applyFill="1" applyBorder="1" applyAlignment="1">
      <alignment horizontal="center" vertical="center" wrapText="1"/>
    </xf>
    <xf numFmtId="0" fontId="58" fillId="0" borderId="2" xfId="0" applyFont="1" applyBorder="1" applyAlignment="1">
      <alignment horizontal="left" vertical="center"/>
    </xf>
    <xf numFmtId="0" fontId="58" fillId="0" borderId="2" xfId="0" applyFont="1" applyBorder="1" applyAlignment="1">
      <alignment vertical="center"/>
    </xf>
    <xf numFmtId="0" fontId="59" fillId="0" borderId="2" xfId="0" applyFont="1" applyBorder="1" applyAlignment="1">
      <alignment horizontal="center" vertical="center"/>
    </xf>
    <xf numFmtId="14" fontId="59" fillId="0" borderId="2" xfId="0" applyNumberFormat="1" applyFont="1" applyBorder="1" applyAlignment="1">
      <alignment horizontal="center" vertical="center"/>
    </xf>
    <xf numFmtId="0" fontId="60" fillId="0" borderId="2" xfId="0" applyFont="1" applyBorder="1" applyAlignment="1">
      <alignment horizontal="center" vertical="center"/>
    </xf>
    <xf numFmtId="0" fontId="58" fillId="0" borderId="2" xfId="0" applyFont="1" applyBorder="1" applyAlignment="1">
      <alignment horizontal="center" vertical="center"/>
    </xf>
    <xf numFmtId="0" fontId="61" fillId="6" borderId="2" xfId="0" applyFont="1" applyFill="1" applyBorder="1" applyAlignment="1">
      <alignment horizontal="center" vertical="center" wrapText="1"/>
    </xf>
    <xf numFmtId="0" fontId="62" fillId="6" borderId="2" xfId="0" applyFont="1" applyFill="1" applyBorder="1" applyAlignment="1">
      <alignment horizontal="center" vertical="center"/>
    </xf>
    <xf numFmtId="0" fontId="63" fillId="6" borderId="2" xfId="0" applyFont="1" applyFill="1" applyBorder="1" applyAlignment="1">
      <alignment horizontal="center" vertical="center"/>
    </xf>
    <xf numFmtId="14" fontId="59" fillId="6" borderId="2" xfId="0" applyNumberFormat="1" applyFont="1" applyFill="1" applyBorder="1" applyAlignment="1">
      <alignment horizontal="center" vertical="center"/>
    </xf>
    <xf numFmtId="0" fontId="61" fillId="2" borderId="2" xfId="0" applyFont="1" applyFill="1" applyBorder="1" applyAlignment="1">
      <alignment horizontal="center" vertical="center" wrapText="1"/>
    </xf>
    <xf numFmtId="0" fontId="63" fillId="2" borderId="2" xfId="0" applyFont="1" applyFill="1" applyBorder="1" applyAlignment="1">
      <alignment horizontal="center" vertical="center" wrapText="1"/>
    </xf>
    <xf numFmtId="14" fontId="63" fillId="2" borderId="2" xfId="0" applyNumberFormat="1" applyFont="1" applyFill="1" applyBorder="1" applyAlignment="1">
      <alignment horizontal="center" vertical="center" wrapText="1"/>
    </xf>
    <xf numFmtId="0" fontId="0" fillId="0" borderId="8" xfId="0" applyBorder="1" applyAlignment="1">
      <alignment horizontal="center" vertical="center"/>
    </xf>
    <xf numFmtId="0" fontId="16" fillId="0" borderId="8" xfId="0" applyFont="1" applyBorder="1" applyAlignment="1">
      <alignment horizontal="center" vertical="center" wrapText="1"/>
    </xf>
    <xf numFmtId="0" fontId="26" fillId="0" borderId="8" xfId="0" applyFont="1" applyBorder="1" applyAlignment="1">
      <alignment horizontal="center" vertical="center" wrapText="1"/>
    </xf>
    <xf numFmtId="14" fontId="0" fillId="0" borderId="8" xfId="0" applyNumberFormat="1" applyBorder="1" applyAlignment="1">
      <alignment horizontal="center" vertical="center"/>
    </xf>
    <xf numFmtId="0" fontId="59" fillId="0" borderId="2" xfId="0" applyFont="1" applyBorder="1" applyAlignment="1">
      <alignment horizontal="center" vertical="center" wrapText="1"/>
    </xf>
    <xf numFmtId="0" fontId="0" fillId="0" borderId="8" xfId="0" applyNumberFormat="1" applyBorder="1" applyAlignment="1">
      <alignment horizontal="center" vertical="center"/>
    </xf>
    <xf numFmtId="49" fontId="0" fillId="7" borderId="8" xfId="0" applyNumberFormat="1" applyFill="1" applyBorder="1" applyAlignment="1">
      <alignment horizontal="center" vertical="center"/>
    </xf>
    <xf numFmtId="0" fontId="0" fillId="7" borderId="8" xfId="0" applyFill="1" applyBorder="1" applyAlignment="1">
      <alignment horizontal="center" vertical="center"/>
    </xf>
    <xf numFmtId="0" fontId="0" fillId="0" borderId="8" xfId="0" applyFill="1" applyBorder="1" applyAlignment="1">
      <alignment horizontal="center" vertical="center"/>
    </xf>
    <xf numFmtId="0" fontId="0" fillId="0" borderId="0" xfId="0" applyFill="1" applyAlignment="1">
      <alignment vertical="center"/>
    </xf>
    <xf numFmtId="0" fontId="0" fillId="0" borderId="13" xfId="0" applyBorder="1" applyAlignment="1">
      <alignment horizontal="center" vertical="center"/>
    </xf>
    <xf numFmtId="0" fontId="0" fillId="0" borderId="7" xfId="0" applyBorder="1" applyAlignment="1">
      <alignment horizontal="center" vertical="center"/>
    </xf>
    <xf numFmtId="0" fontId="64" fillId="0" borderId="2" xfId="0" applyFont="1" applyFill="1" applyBorder="1" applyAlignment="1">
      <alignment horizontal="center" vertical="center" shrinkToFit="1"/>
    </xf>
    <xf numFmtId="49" fontId="58" fillId="2" borderId="2" xfId="0" applyNumberFormat="1" applyFont="1" applyFill="1" applyBorder="1" applyAlignment="1">
      <alignment horizontal="center" vertical="center" shrinkToFit="1"/>
    </xf>
    <xf numFmtId="0" fontId="58" fillId="2" borderId="2" xfId="0" applyFont="1" applyFill="1" applyBorder="1" applyAlignment="1">
      <alignment horizontal="center" vertical="center" shrinkToFit="1"/>
    </xf>
    <xf numFmtId="0" fontId="58" fillId="3" borderId="2" xfId="0" applyNumberFormat="1" applyFont="1" applyFill="1" applyBorder="1" applyAlignment="1">
      <alignment horizontal="center" vertical="center" shrinkToFit="1"/>
    </xf>
    <xf numFmtId="14" fontId="58" fillId="2" borderId="2" xfId="0" applyNumberFormat="1" applyFont="1" applyFill="1" applyBorder="1" applyAlignment="1">
      <alignment horizontal="center" vertical="center" shrinkToFit="1"/>
    </xf>
    <xf numFmtId="14" fontId="0" fillId="0" borderId="2" xfId="0" applyNumberFormat="1" applyBorder="1" applyAlignment="1">
      <alignment horizontal="center" vertical="center"/>
    </xf>
    <xf numFmtId="49" fontId="0" fillId="0" borderId="2" xfId="0" applyNumberFormat="1" applyBorder="1" applyAlignment="1">
      <alignment horizontal="center" vertical="center"/>
    </xf>
    <xf numFmtId="0" fontId="0" fillId="0" borderId="8" xfId="0" applyBorder="1" applyAlignment="1">
      <alignment vertical="center"/>
    </xf>
    <xf numFmtId="0" fontId="4" fillId="2" borderId="2" xfId="0" applyFont="1" applyFill="1" applyBorder="1" applyAlignment="1">
      <alignment horizontal="center" vertical="center" wrapText="1" shrinkToFit="1"/>
    </xf>
    <xf numFmtId="49" fontId="4" fillId="2" borderId="2" xfId="0" applyNumberFormat="1" applyFont="1" applyFill="1" applyBorder="1" applyAlignment="1">
      <alignment horizontal="center" vertical="center" wrapText="1" shrinkToFit="1"/>
    </xf>
    <xf numFmtId="0" fontId="17" fillId="0" borderId="8" xfId="0" applyFont="1" applyBorder="1" applyAlignment="1">
      <alignment horizontal="center" vertical="center" wrapText="1"/>
    </xf>
    <xf numFmtId="0" fontId="17" fillId="0" borderId="8" xfId="0" applyNumberFormat="1" applyFont="1" applyBorder="1" applyAlignment="1">
      <alignment horizontal="center" vertical="center" wrapText="1"/>
    </xf>
    <xf numFmtId="0" fontId="0" fillId="7" borderId="8" xfId="0" applyFill="1" applyBorder="1" applyAlignment="1">
      <alignment vertical="center" wrapText="1"/>
    </xf>
    <xf numFmtId="0" fontId="0" fillId="7" borderId="8" xfId="0" applyFill="1" applyBorder="1" applyAlignment="1">
      <alignment vertical="center"/>
    </xf>
    <xf numFmtId="0" fontId="0" fillId="6" borderId="8" xfId="0" applyFill="1" applyBorder="1" applyAlignment="1">
      <alignment horizontal="center" vertical="center"/>
    </xf>
    <xf numFmtId="0" fontId="0" fillId="0" borderId="8" xfId="0" applyBorder="1" applyAlignment="1">
      <alignment horizontal="center" vertical="center" wrapText="1"/>
    </xf>
    <xf numFmtId="14" fontId="15" fillId="0" borderId="8" xfId="0" applyNumberFormat="1" applyFont="1" applyBorder="1" applyAlignment="1">
      <alignment horizontal="center" vertical="center" wrapText="1"/>
    </xf>
    <xf numFmtId="0" fontId="5" fillId="0" borderId="14" xfId="0" applyFont="1" applyFill="1" applyBorder="1" applyAlignment="1">
      <alignment horizontal="center" vertical="center" wrapText="1"/>
    </xf>
    <xf numFmtId="0" fontId="5" fillId="0" borderId="15" xfId="0" applyFont="1" applyFill="1" applyBorder="1" applyAlignment="1">
      <alignment horizontal="center" vertical="center" wrapText="1"/>
    </xf>
    <xf numFmtId="0" fontId="6" fillId="2" borderId="8" xfId="0" applyFont="1" applyFill="1" applyBorder="1" applyAlignment="1">
      <alignment horizontal="center" vertical="center" wrapText="1" shrinkToFit="1"/>
    </xf>
    <xf numFmtId="49" fontId="6" fillId="2" borderId="8" xfId="0" applyNumberFormat="1" applyFont="1" applyFill="1" applyBorder="1" applyAlignment="1">
      <alignment horizontal="center" vertical="center" wrapText="1" shrinkToFit="1"/>
    </xf>
    <xf numFmtId="0" fontId="7" fillId="2" borderId="8" xfId="0" applyFont="1" applyFill="1" applyBorder="1" applyAlignment="1">
      <alignment horizontal="center" vertical="center" wrapText="1" shrinkToFit="1"/>
    </xf>
    <xf numFmtId="0" fontId="0" fillId="0" borderId="8" xfId="0" applyBorder="1" applyAlignment="1">
      <alignment horizontal="center" vertical="center" shrinkToFit="1"/>
    </xf>
    <xf numFmtId="0" fontId="5" fillId="0" borderId="16" xfId="0" applyFont="1" applyFill="1" applyBorder="1" applyAlignment="1">
      <alignment vertical="center" wrapText="1"/>
    </xf>
    <xf numFmtId="0" fontId="0" fillId="9" borderId="8" xfId="0" applyFill="1" applyBorder="1" applyAlignment="1">
      <alignment horizontal="center" vertical="center" wrapText="1"/>
    </xf>
    <xf numFmtId="0" fontId="6" fillId="3" borderId="8" xfId="0" applyFont="1" applyFill="1" applyBorder="1" applyAlignment="1">
      <alignment horizontal="center" vertical="center" wrapText="1" shrinkToFit="1"/>
    </xf>
    <xf numFmtId="0" fontId="0" fillId="7" borderId="8" xfId="0" applyFill="1" applyBorder="1" applyAlignment="1">
      <alignment horizontal="center" vertical="center" wrapText="1"/>
    </xf>
    <xf numFmtId="0" fontId="6" fillId="3" borderId="2" xfId="0" applyFont="1" applyFill="1" applyBorder="1" applyAlignment="1">
      <alignment horizontal="center" vertical="center" wrapText="1" shrinkToFit="1"/>
    </xf>
    <xf numFmtId="0" fontId="0" fillId="7" borderId="0" xfId="0" applyFill="1" applyAlignment="1">
      <alignment horizontal="center" vertical="center" wrapText="1"/>
    </xf>
    <xf numFmtId="0" fontId="0" fillId="7" borderId="0" xfId="0" applyFill="1" applyAlignment="1">
      <alignment vertical="center"/>
    </xf>
    <xf numFmtId="0" fontId="15" fillId="0" borderId="7" xfId="0" applyNumberFormat="1" applyFont="1" applyFill="1" applyBorder="1" applyAlignment="1">
      <alignment horizontal="center" vertical="center" wrapText="1"/>
    </xf>
    <xf numFmtId="0" fontId="16" fillId="0" borderId="7" xfId="0" applyFont="1" applyBorder="1" applyAlignment="1">
      <alignment horizontal="center" vertical="center" wrapText="1"/>
    </xf>
    <xf numFmtId="0" fontId="0" fillId="0" borderId="0" xfId="0" applyAlignment="1">
      <alignment horizontal="center" vertical="center" wrapText="1"/>
    </xf>
    <xf numFmtId="0" fontId="30" fillId="0" borderId="0" xfId="0" applyFont="1" applyAlignment="1">
      <alignment horizontal="center" vertical="center" wrapText="1"/>
    </xf>
    <xf numFmtId="0" fontId="65" fillId="0" borderId="4" xfId="0" applyFont="1" applyBorder="1" applyAlignment="1">
      <alignment horizontal="center" vertical="center" wrapText="1"/>
    </xf>
    <xf numFmtId="0" fontId="65" fillId="0" borderId="5" xfId="0" applyFont="1" applyBorder="1" applyAlignment="1">
      <alignment horizontal="center" vertical="center" wrapText="1"/>
    </xf>
    <xf numFmtId="0" fontId="66" fillId="2" borderId="2" xfId="0" applyFont="1" applyFill="1" applyBorder="1" applyAlignment="1">
      <alignment horizontal="center" vertical="center" wrapText="1"/>
    </xf>
    <xf numFmtId="0" fontId="65" fillId="0" borderId="6" xfId="0" applyFont="1" applyBorder="1" applyAlignment="1">
      <alignment horizontal="center" vertical="center" wrapText="1"/>
    </xf>
    <xf numFmtId="0" fontId="66" fillId="2" borderId="2" xfId="0" applyNumberFormat="1" applyFont="1" applyFill="1" applyBorder="1" applyAlignment="1">
      <alignment horizontal="center" vertical="center" wrapText="1"/>
    </xf>
    <xf numFmtId="0" fontId="66" fillId="3" borderId="0" xfId="0" applyFont="1" applyFill="1" applyAlignment="1">
      <alignment horizontal="center" vertical="center" wrapText="1"/>
    </xf>
    <xf numFmtId="0" fontId="67" fillId="0" borderId="4" xfId="0" applyFont="1" applyFill="1" applyBorder="1" applyAlignment="1">
      <alignment horizontal="center" vertical="center" shrinkToFit="1"/>
    </xf>
    <xf numFmtId="0" fontId="67" fillId="0" borderId="5" xfId="0" applyFont="1" applyFill="1" applyBorder="1" applyAlignment="1">
      <alignment horizontal="center" vertical="center" shrinkToFit="1"/>
    </xf>
    <xf numFmtId="49" fontId="11" fillId="2" borderId="2" xfId="0" applyNumberFormat="1" applyFont="1" applyFill="1" applyBorder="1" applyAlignment="1">
      <alignment horizontal="center" vertical="center" shrinkToFit="1"/>
    </xf>
    <xf numFmtId="0" fontId="11" fillId="3" borderId="2" xfId="0" applyNumberFormat="1" applyFont="1" applyFill="1" applyBorder="1" applyAlignment="1">
      <alignment horizontal="center" vertical="center" shrinkToFit="1"/>
    </xf>
    <xf numFmtId="0" fontId="67" fillId="0" borderId="6" xfId="0" applyFont="1" applyFill="1" applyBorder="1" applyAlignment="1">
      <alignment horizontal="center" vertical="center" shrinkToFit="1"/>
    </xf>
    <xf numFmtId="0" fontId="68" fillId="3" borderId="2" xfId="0" applyFont="1" applyFill="1" applyBorder="1" applyAlignment="1">
      <alignment horizontal="center" vertical="center" wrapText="1" shrinkToFit="1"/>
    </xf>
    <xf numFmtId="14" fontId="11" fillId="2" borderId="2" xfId="0" applyNumberFormat="1" applyFont="1" applyFill="1" applyBorder="1" applyAlignment="1">
      <alignment horizontal="center" vertical="center" shrinkToFit="1"/>
    </xf>
    <xf numFmtId="0" fontId="69" fillId="0" borderId="2" xfId="0" applyFont="1" applyBorder="1" applyAlignment="1">
      <alignment horizontal="center" vertical="center" shrinkToFit="1"/>
    </xf>
    <xf numFmtId="0" fontId="70" fillId="0" borderId="2" xfId="0" applyFont="1" applyBorder="1" applyAlignment="1">
      <alignment horizontal="center" vertical="center" shrinkToFit="1"/>
    </xf>
    <xf numFmtId="0" fontId="5" fillId="0" borderId="17" xfId="0" applyFont="1" applyFill="1" applyBorder="1" applyAlignment="1">
      <alignment horizontal="center" vertical="center" wrapText="1"/>
    </xf>
    <xf numFmtId="0" fontId="71" fillId="0" borderId="8" xfId="0" applyFont="1" applyBorder="1" applyAlignment="1">
      <alignment vertical="center"/>
    </xf>
    <xf numFmtId="0" fontId="0" fillId="0" borderId="16" xfId="0" applyBorder="1" applyAlignment="1">
      <alignment vertical="center"/>
    </xf>
    <xf numFmtId="0" fontId="0" fillId="7" borderId="2" xfId="0" applyFill="1" applyBorder="1" applyAlignment="1">
      <alignment horizontal="center" vertical="center"/>
    </xf>
    <xf numFmtId="0" fontId="0" fillId="3" borderId="2" xfId="0" applyFill="1" applyBorder="1" applyAlignment="1">
      <alignment horizontal="center" vertical="center" wrapText="1"/>
    </xf>
    <xf numFmtId="49" fontId="6" fillId="2" borderId="10" xfId="0" applyNumberFormat="1" applyFont="1" applyFill="1" applyBorder="1" applyAlignment="1">
      <alignment horizontal="center" vertical="center" wrapText="1" shrinkToFit="1"/>
    </xf>
    <xf numFmtId="0" fontId="30" fillId="2" borderId="0" xfId="0" applyFont="1" applyFill="1" applyAlignment="1">
      <alignment horizontal="center" vertical="center" shrinkToFit="1"/>
    </xf>
    <xf numFmtId="0" fontId="72" fillId="0" borderId="8" xfId="0" applyFont="1" applyBorder="1" applyAlignment="1">
      <alignment horizontal="center"/>
    </xf>
    <xf numFmtId="0" fontId="73" fillId="0" borderId="8" xfId="0" applyFont="1" applyBorder="1" applyAlignment="1">
      <alignment horizontal="left"/>
    </xf>
    <xf numFmtId="0" fontId="36" fillId="2" borderId="8" xfId="0" applyFont="1" applyFill="1" applyBorder="1" applyAlignment="1">
      <alignment horizontal="center" vertical="center" shrinkToFit="1"/>
    </xf>
    <xf numFmtId="0" fontId="36" fillId="2" borderId="8" xfId="0" applyNumberFormat="1" applyFont="1" applyFill="1" applyBorder="1" applyAlignment="1">
      <alignment horizontal="center" vertical="center" shrinkToFit="1"/>
    </xf>
    <xf numFmtId="0" fontId="16" fillId="6" borderId="8" xfId="0" applyFont="1" applyFill="1" applyBorder="1" applyAlignment="1">
      <alignment horizontal="center" vertical="center" wrapText="1"/>
    </xf>
    <xf numFmtId="0" fontId="0" fillId="6" borderId="8" xfId="0" applyNumberFormat="1" applyFill="1" applyBorder="1" applyAlignment="1">
      <alignment horizontal="center" vertical="center" shrinkToFit="1"/>
    </xf>
    <xf numFmtId="0" fontId="0" fillId="6" borderId="8" xfId="0" applyFill="1" applyBorder="1" applyAlignment="1">
      <alignment horizontal="center" vertical="center" shrinkToFit="1"/>
    </xf>
    <xf numFmtId="0" fontId="1" fillId="0" borderId="14" xfId="0" applyFont="1" applyBorder="1" applyAlignment="1">
      <alignment horizontal="center" vertical="center"/>
    </xf>
    <xf numFmtId="0" fontId="1" fillId="0" borderId="15" xfId="0" applyFont="1" applyBorder="1" applyAlignment="1">
      <alignment horizontal="center" vertical="center"/>
    </xf>
    <xf numFmtId="49" fontId="36" fillId="2" borderId="8" xfId="0" applyNumberFormat="1" applyFont="1" applyFill="1" applyBorder="1" applyAlignment="1">
      <alignment horizontal="center" vertical="center" wrapText="1" shrinkToFit="1"/>
    </xf>
    <xf numFmtId="49" fontId="36" fillId="2" borderId="8" xfId="0" applyNumberFormat="1" applyFont="1" applyFill="1" applyBorder="1" applyAlignment="1">
      <alignment horizontal="center" vertical="center" shrinkToFit="1"/>
    </xf>
    <xf numFmtId="0" fontId="0" fillId="6" borderId="8" xfId="0" applyNumberFormat="1" applyFill="1" applyBorder="1" applyAlignment="1">
      <alignment horizontal="center" vertical="center" wrapText="1" shrinkToFit="1"/>
    </xf>
    <xf numFmtId="0" fontId="0" fillId="7" borderId="16" xfId="0" applyFill="1" applyBorder="1" applyAlignment="1">
      <alignment horizontal="center" vertical="center"/>
    </xf>
    <xf numFmtId="0" fontId="0" fillId="7" borderId="8" xfId="0" applyFill="1" applyBorder="1"/>
    <xf numFmtId="176" fontId="4" fillId="2" borderId="8" xfId="0" applyNumberFormat="1" applyFont="1" applyFill="1" applyBorder="1" applyAlignment="1">
      <alignment vertical="center" shrinkToFit="1"/>
    </xf>
    <xf numFmtId="0" fontId="0" fillId="7" borderId="16" xfId="0" applyNumberFormat="1" applyFill="1" applyBorder="1" applyAlignment="1">
      <alignment vertical="center"/>
    </xf>
    <xf numFmtId="0" fontId="0" fillId="7" borderId="8" xfId="0" applyNumberFormat="1" applyFill="1" applyBorder="1" applyAlignment="1">
      <alignment vertical="center"/>
    </xf>
    <xf numFmtId="0" fontId="30" fillId="7" borderId="8" xfId="0" applyFont="1" applyFill="1" applyBorder="1" applyAlignment="1">
      <alignment horizontal="center" vertical="center" shrinkToFit="1"/>
    </xf>
    <xf numFmtId="0" fontId="0" fillId="0" borderId="8" xfId="0" applyBorder="1"/>
    <xf numFmtId="0" fontId="0" fillId="7" borderId="16" xfId="0" applyNumberFormat="1" applyFill="1" applyBorder="1" applyAlignment="1">
      <alignment vertical="center" shrinkToFit="1"/>
    </xf>
    <xf numFmtId="0" fontId="1" fillId="0" borderId="16" xfId="0" applyFont="1" applyBorder="1" applyAlignment="1">
      <alignment horizontal="center" vertical="center"/>
    </xf>
    <xf numFmtId="0" fontId="74" fillId="0" borderId="0" xfId="0" applyFont="1" applyFill="1" applyBorder="1" applyAlignment="1">
      <alignment horizontal="center" vertical="center" wrapText="1"/>
    </xf>
    <xf numFmtId="0" fontId="75" fillId="0" borderId="0" xfId="0" applyFont="1" applyFill="1" applyBorder="1" applyAlignment="1">
      <alignment horizontal="center" vertical="center" wrapText="1"/>
    </xf>
    <xf numFmtId="0" fontId="6" fillId="2" borderId="2" xfId="0" applyFont="1" applyFill="1" applyBorder="1" applyAlignment="1">
      <alignment horizontal="center" vertical="center" wrapText="1"/>
    </xf>
    <xf numFmtId="178" fontId="6" fillId="2" borderId="2" xfId="0" applyNumberFormat="1" applyFont="1" applyFill="1" applyBorder="1" applyAlignment="1">
      <alignment horizontal="center" vertical="center" wrapText="1"/>
    </xf>
    <xf numFmtId="0" fontId="36" fillId="0" borderId="2" xfId="0" applyFont="1" applyBorder="1" applyAlignment="1">
      <alignment horizontal="center" vertical="center" wrapText="1"/>
    </xf>
    <xf numFmtId="0" fontId="36" fillId="0" borderId="2" xfId="0" applyFont="1" applyBorder="1" applyAlignment="1">
      <alignment horizontal="center" vertical="center" shrinkToFit="1"/>
    </xf>
    <xf numFmtId="0" fontId="27" fillId="0" borderId="2" xfId="0" applyFont="1" applyBorder="1" applyAlignment="1">
      <alignment horizontal="center" vertical="center" shrinkToFit="1"/>
    </xf>
    <xf numFmtId="0" fontId="36" fillId="0" borderId="0" xfId="0" applyFont="1" applyBorder="1" applyAlignment="1">
      <alignment horizontal="center" vertical="center" shrinkToFit="1"/>
    </xf>
    <xf numFmtId="0" fontId="36" fillId="0" borderId="0" xfId="0" applyFont="1" applyAlignment="1">
      <alignment vertical="center"/>
    </xf>
    <xf numFmtId="0" fontId="32" fillId="0" borderId="0" xfId="0" applyFont="1" applyFill="1" applyBorder="1" applyAlignment="1">
      <alignment horizontal="right" vertical="center" wrapText="1"/>
    </xf>
    <xf numFmtId="14" fontId="32" fillId="0" borderId="0" xfId="0" applyNumberFormat="1" applyFont="1" applyFill="1" applyBorder="1" applyAlignment="1">
      <alignment horizontal="left" vertical="center" wrapText="1"/>
    </xf>
    <xf numFmtId="49" fontId="6" fillId="2" borderId="2" xfId="0" applyNumberFormat="1" applyFont="1" applyFill="1" applyBorder="1" applyAlignment="1">
      <alignment horizontal="center" vertical="center" wrapText="1"/>
    </xf>
    <xf numFmtId="0" fontId="6" fillId="2" borderId="2" xfId="0" applyNumberFormat="1" applyFont="1" applyFill="1" applyBorder="1" applyAlignment="1">
      <alignment horizontal="center" vertical="center" wrapText="1"/>
    </xf>
    <xf numFmtId="0" fontId="36" fillId="0" borderId="2" xfId="0" applyNumberFormat="1" applyFont="1" applyBorder="1" applyAlignment="1">
      <alignment horizontal="center" vertical="center" shrinkToFit="1"/>
    </xf>
    <xf numFmtId="0" fontId="36" fillId="0" borderId="4" xfId="0" applyFont="1" applyBorder="1" applyAlignment="1">
      <alignment horizontal="center" vertical="center" shrinkToFit="1"/>
    </xf>
    <xf numFmtId="0" fontId="36" fillId="0" borderId="6" xfId="0" applyFont="1" applyBorder="1" applyAlignment="1">
      <alignment horizontal="center" vertical="center" shrinkToFit="1"/>
    </xf>
    <xf numFmtId="0" fontId="31" fillId="0" borderId="2" xfId="0" applyFont="1" applyFill="1" applyBorder="1" applyAlignment="1">
      <alignment horizontal="center" vertical="center" shrinkToFit="1"/>
    </xf>
    <xf numFmtId="0" fontId="32" fillId="0" borderId="2" xfId="0" applyFont="1" applyBorder="1" applyAlignment="1">
      <alignment horizontal="center" vertical="center" shrinkToFit="1"/>
    </xf>
    <xf numFmtId="14" fontId="6" fillId="0" borderId="2" xfId="0" applyNumberFormat="1" applyFont="1" applyBorder="1" applyAlignment="1">
      <alignment horizontal="center" vertical="center" shrinkToFit="1"/>
    </xf>
    <xf numFmtId="0" fontId="34" fillId="0" borderId="2" xfId="0" applyFont="1" applyBorder="1" applyAlignment="1">
      <alignment horizontal="center" vertical="center" shrinkToFit="1"/>
    </xf>
    <xf numFmtId="0" fontId="6" fillId="2" borderId="2" xfId="0" applyNumberFormat="1" applyFont="1" applyFill="1" applyBorder="1" applyAlignment="1">
      <alignment horizontal="center" vertical="center" shrinkToFit="1"/>
    </xf>
    <xf numFmtId="14" fontId="8" fillId="2" borderId="2" xfId="0" applyNumberFormat="1" applyFont="1" applyFill="1" applyBorder="1" applyAlignment="1">
      <alignment horizontal="center" vertical="center" shrinkToFit="1"/>
    </xf>
    <xf numFmtId="0" fontId="6" fillId="2" borderId="2" xfId="0" applyFont="1" applyFill="1" applyBorder="1" applyAlignment="1">
      <alignment horizontal="center" vertical="center" shrinkToFit="1"/>
    </xf>
    <xf numFmtId="0" fontId="8" fillId="2" borderId="2" xfId="0" applyFont="1" applyFill="1" applyBorder="1" applyAlignment="1">
      <alignment horizontal="center" vertical="center" shrinkToFit="1"/>
    </xf>
    <xf numFmtId="178" fontId="6" fillId="2" borderId="2" xfId="0" applyNumberFormat="1" applyFont="1" applyFill="1" applyBorder="1" applyAlignment="1">
      <alignment horizontal="center" vertical="center" wrapText="1" shrinkToFit="1"/>
    </xf>
    <xf numFmtId="178" fontId="8" fillId="2" borderId="2" xfId="0" applyNumberFormat="1" applyFont="1" applyFill="1" applyBorder="1" applyAlignment="1">
      <alignment horizontal="center" vertical="center" wrapText="1" shrinkToFit="1"/>
    </xf>
    <xf numFmtId="14" fontId="4" fillId="0" borderId="2" xfId="0" applyNumberFormat="1" applyFont="1" applyBorder="1" applyAlignment="1">
      <alignment horizontal="center" vertical="center" shrinkToFit="1"/>
    </xf>
    <xf numFmtId="0" fontId="27" fillId="0" borderId="2" xfId="0" applyNumberFormat="1" applyFont="1" applyFill="1" applyBorder="1" applyAlignment="1">
      <alignment horizontal="center" vertical="center" shrinkToFit="1"/>
    </xf>
    <xf numFmtId="0" fontId="0" fillId="0" borderId="0" xfId="0" applyBorder="1" applyAlignment="1">
      <alignment horizontal="center" vertical="center" shrinkToFit="1"/>
    </xf>
    <xf numFmtId="0" fontId="1" fillId="0" borderId="2" xfId="0" applyFont="1" applyBorder="1" applyAlignment="1">
      <alignment horizontal="center" vertical="center" shrinkToFit="1"/>
    </xf>
    <xf numFmtId="14" fontId="6" fillId="2" borderId="2" xfId="0" applyNumberFormat="1" applyFont="1" applyFill="1" applyBorder="1" applyAlignment="1">
      <alignment horizontal="center" vertical="center" shrinkToFit="1"/>
    </xf>
    <xf numFmtId="49" fontId="6" fillId="2" borderId="2" xfId="0" applyNumberFormat="1" applyFont="1" applyFill="1" applyBorder="1" applyAlignment="1">
      <alignment horizontal="center" vertical="center" shrinkToFit="1"/>
    </xf>
    <xf numFmtId="0" fontId="76" fillId="2" borderId="2" xfId="0" applyFont="1" applyFill="1" applyBorder="1" applyAlignment="1">
      <alignment horizontal="center" vertical="center" wrapText="1" shrinkToFit="1"/>
    </xf>
    <xf numFmtId="0" fontId="0" fillId="0" borderId="2" xfId="0" applyBorder="1" applyAlignment="1">
      <alignment horizontal="center" vertical="center" wrapText="1" shrinkToFit="1"/>
    </xf>
    <xf numFmtId="0" fontId="36" fillId="2" borderId="2" xfId="0" applyFont="1" applyFill="1" applyBorder="1" applyAlignment="1">
      <alignment horizontal="center" vertical="center" shrinkToFit="1"/>
    </xf>
    <xf numFmtId="0" fontId="0" fillId="7" borderId="0" xfId="0" applyFill="1" applyAlignment="1">
      <alignment vertical="center" shrinkToFit="1"/>
    </xf>
    <xf numFmtId="0" fontId="0" fillId="7" borderId="0" xfId="0" applyFill="1" applyAlignment="1">
      <alignment horizontal="left" vertical="center"/>
    </xf>
    <xf numFmtId="49" fontId="36" fillId="2" borderId="2" xfId="0" applyNumberFormat="1" applyFont="1" applyFill="1" applyBorder="1" applyAlignment="1">
      <alignment horizontal="center" vertical="center" shrinkToFit="1"/>
    </xf>
    <xf numFmtId="14" fontId="36" fillId="2" borderId="2" xfId="0" applyNumberFormat="1" applyFont="1" applyFill="1" applyBorder="1" applyAlignment="1">
      <alignment horizontal="center" vertical="center" shrinkToFit="1"/>
    </xf>
    <xf numFmtId="0" fontId="0" fillId="0" borderId="2" xfId="0" applyBorder="1" applyAlignment="1">
      <alignment vertical="center" shrinkToFit="1"/>
    </xf>
    <xf numFmtId="0" fontId="5" fillId="0" borderId="4" xfId="0" applyFont="1" applyFill="1" applyBorder="1" applyAlignment="1">
      <alignment horizontal="center" vertical="center" shrinkToFit="1"/>
    </xf>
    <xf numFmtId="0" fontId="5" fillId="0" borderId="5" xfId="0" applyFont="1" applyFill="1" applyBorder="1" applyAlignment="1">
      <alignment horizontal="center" vertical="center" shrinkToFit="1"/>
    </xf>
    <xf numFmtId="0" fontId="5" fillId="0" borderId="6" xfId="0" applyFont="1" applyFill="1" applyBorder="1" applyAlignment="1">
      <alignment horizontal="center" vertical="center" shrinkToFit="1"/>
    </xf>
    <xf numFmtId="177" fontId="65" fillId="0" borderId="7" xfId="0" applyNumberFormat="1" applyFont="1" applyFill="1" applyBorder="1" applyAlignment="1">
      <alignment horizontal="center" vertical="center"/>
    </xf>
    <xf numFmtId="177" fontId="65" fillId="0" borderId="8" xfId="0" applyNumberFormat="1" applyFont="1" applyFill="1" applyBorder="1" applyAlignment="1">
      <alignment horizontal="center" vertical="center"/>
    </xf>
    <xf numFmtId="0" fontId="6" fillId="2" borderId="17" xfId="0" applyNumberFormat="1" applyFont="1" applyFill="1" applyBorder="1" applyAlignment="1">
      <alignment horizontal="center" vertical="center"/>
    </xf>
    <xf numFmtId="177" fontId="6" fillId="2" borderId="17" xfId="0" applyNumberFormat="1" applyFont="1" applyFill="1" applyBorder="1" applyAlignment="1">
      <alignment horizontal="center" vertical="center" shrinkToFit="1"/>
    </xf>
    <xf numFmtId="177" fontId="6" fillId="2" borderId="17" xfId="0" applyNumberFormat="1" applyFont="1" applyFill="1" applyBorder="1" applyAlignment="1">
      <alignment horizontal="center" vertical="center" wrapText="1"/>
    </xf>
    <xf numFmtId="0" fontId="6" fillId="2" borderId="17" xfId="0" applyNumberFormat="1" applyFont="1" applyFill="1" applyBorder="1" applyAlignment="1">
      <alignment horizontal="center" vertical="center" wrapText="1"/>
    </xf>
    <xf numFmtId="49" fontId="6" fillId="2" borderId="17" xfId="0" applyNumberFormat="1" applyFont="1" applyFill="1" applyBorder="1" applyAlignment="1">
      <alignment horizontal="center" vertical="center"/>
    </xf>
    <xf numFmtId="14" fontId="6" fillId="2" borderId="17" xfId="0" applyNumberFormat="1" applyFont="1" applyFill="1" applyBorder="1" applyAlignment="1">
      <alignment horizontal="center" vertical="center"/>
    </xf>
    <xf numFmtId="14" fontId="6" fillId="2" borderId="17" xfId="0" applyNumberFormat="1" applyFont="1" applyFill="1" applyBorder="1" applyAlignment="1">
      <alignment horizontal="center" vertical="center" wrapText="1"/>
    </xf>
    <xf numFmtId="0" fontId="77" fillId="0" borderId="4" xfId="0" applyFont="1" applyFill="1" applyBorder="1" applyAlignment="1">
      <alignment horizontal="center" vertical="center"/>
    </xf>
    <xf numFmtId="0" fontId="77" fillId="0" borderId="5" xfId="0" applyFont="1" applyFill="1" applyBorder="1" applyAlignment="1">
      <alignment horizontal="center" vertical="center"/>
    </xf>
    <xf numFmtId="0" fontId="30" fillId="2" borderId="2" xfId="0" applyFont="1" applyFill="1" applyBorder="1" applyAlignment="1">
      <alignment horizontal="center" vertical="center" wrapText="1"/>
    </xf>
    <xf numFmtId="0" fontId="6" fillId="2" borderId="6" xfId="0" applyFont="1" applyFill="1" applyBorder="1" applyAlignment="1">
      <alignment horizontal="center" vertical="center"/>
    </xf>
    <xf numFmtId="14" fontId="6" fillId="2" borderId="2" xfId="0" applyNumberFormat="1" applyFont="1" applyFill="1" applyBorder="1" applyAlignment="1">
      <alignment horizontal="center" vertical="center"/>
    </xf>
    <xf numFmtId="0" fontId="6" fillId="2"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0" fillId="0" borderId="6" xfId="0" applyBorder="1" applyAlignment="1">
      <alignment horizontal="center" vertical="center"/>
    </xf>
    <xf numFmtId="14" fontId="16" fillId="0" borderId="2" xfId="0" applyNumberFormat="1" applyFont="1" applyBorder="1" applyAlignment="1">
      <alignment horizontal="center" vertical="center"/>
    </xf>
    <xf numFmtId="0" fontId="77" fillId="0" borderId="6" xfId="0" applyFont="1" applyFill="1" applyBorder="1" applyAlignment="1">
      <alignment horizontal="center" vertical="center"/>
    </xf>
    <xf numFmtId="0" fontId="6" fillId="7" borderId="2" xfId="0" applyFont="1" applyFill="1" applyBorder="1" applyAlignment="1">
      <alignment horizontal="center" vertical="center" shrinkToFit="1"/>
    </xf>
    <xf numFmtId="0" fontId="0" fillId="10" borderId="0" xfId="0" applyFill="1" applyAlignment="1">
      <alignment horizontal="left" vertical="center" shrinkToFit="1"/>
    </xf>
    <xf numFmtId="0" fontId="27" fillId="0" borderId="18" xfId="0" applyNumberFormat="1" applyFont="1" applyBorder="1" applyAlignment="1">
      <alignment horizontal="center" vertical="center" shrinkToFit="1"/>
    </xf>
    <xf numFmtId="0" fontId="27" fillId="0" borderId="8" xfId="0" applyNumberFormat="1" applyFont="1" applyBorder="1" applyAlignment="1">
      <alignment horizontal="center" vertical="center" shrinkToFit="1"/>
    </xf>
    <xf numFmtId="0" fontId="78" fillId="0" borderId="2" xfId="0" applyFont="1" applyBorder="1" applyAlignment="1">
      <alignment horizontal="left" vertical="center" wrapText="1"/>
    </xf>
    <xf numFmtId="0" fontId="79" fillId="0" borderId="2" xfId="0" applyFont="1" applyBorder="1" applyAlignment="1">
      <alignment horizontal="left" vertical="center" wrapText="1"/>
    </xf>
    <xf numFmtId="0" fontId="80" fillId="0" borderId="2" xfId="0" applyFont="1" applyBorder="1" applyAlignment="1">
      <alignment horizontal="justify" vertical="center" wrapText="1"/>
    </xf>
    <xf numFmtId="0" fontId="81" fillId="0" borderId="2" xfId="0" applyFont="1" applyBorder="1" applyAlignment="1">
      <alignment horizontal="justify" vertical="center" wrapText="1"/>
    </xf>
    <xf numFmtId="0" fontId="82" fillId="0" borderId="2" xfId="0" applyFont="1" applyBorder="1" applyAlignment="1">
      <alignment horizontal="center" vertical="center" wrapText="1"/>
    </xf>
    <xf numFmtId="0" fontId="83" fillId="0" borderId="2" xfId="0" applyFont="1" applyBorder="1" applyAlignment="1">
      <alignment horizontal="center" vertical="center" wrapText="1"/>
    </xf>
    <xf numFmtId="0" fontId="84" fillId="0" borderId="2" xfId="0" applyFont="1" applyBorder="1" applyAlignment="1">
      <alignment horizontal="center" vertical="center" wrapText="1"/>
    </xf>
    <xf numFmtId="0" fontId="85" fillId="0" borderId="2" xfId="0" applyFont="1" applyBorder="1" applyAlignment="1">
      <alignment horizontal="center" vertical="center" wrapText="1"/>
    </xf>
    <xf numFmtId="0" fontId="86" fillId="0" borderId="2" xfId="0" applyFont="1" applyBorder="1" applyAlignment="1">
      <alignment horizontal="center" vertical="center" wrapText="1"/>
    </xf>
    <xf numFmtId="0" fontId="65" fillId="0" borderId="2" xfId="0" applyNumberFormat="1" applyFont="1" applyFill="1" applyBorder="1" applyAlignment="1">
      <alignment horizontal="center" vertical="center"/>
    </xf>
    <xf numFmtId="0" fontId="87" fillId="2" borderId="2" xfId="0" applyNumberFormat="1" applyFont="1" applyFill="1" applyBorder="1" applyAlignment="1">
      <alignment horizontal="center" vertical="center"/>
    </xf>
    <xf numFmtId="0" fontId="8" fillId="2" borderId="2" xfId="0" applyNumberFormat="1" applyFont="1" applyFill="1" applyBorder="1" applyAlignment="1">
      <alignment horizontal="center" vertical="center" shrinkToFit="1"/>
    </xf>
    <xf numFmtId="0" fontId="87" fillId="2" borderId="2" xfId="0" applyNumberFormat="1" applyFont="1" applyFill="1" applyBorder="1" applyAlignment="1">
      <alignment horizontal="center" vertical="center" shrinkToFit="1"/>
    </xf>
    <xf numFmtId="0" fontId="88" fillId="2" borderId="2" xfId="0" applyNumberFormat="1" applyFont="1" applyFill="1" applyBorder="1" applyAlignment="1">
      <alignment horizontal="center" vertical="center" wrapText="1"/>
    </xf>
    <xf numFmtId="0" fontId="88" fillId="2" borderId="2" xfId="0" applyNumberFormat="1" applyFont="1" applyFill="1" applyBorder="1" applyAlignment="1">
      <alignment horizontal="center" vertical="center" shrinkToFit="1"/>
    </xf>
    <xf numFmtId="0" fontId="87" fillId="11" borderId="2" xfId="0" applyNumberFormat="1" applyFont="1" applyFill="1" applyBorder="1" applyAlignment="1">
      <alignment horizontal="center" vertical="center" shrinkToFit="1"/>
    </xf>
    <xf numFmtId="0" fontId="89" fillId="0" borderId="13" xfId="0" applyNumberFormat="1" applyFont="1" applyBorder="1" applyAlignment="1">
      <alignment horizontal="center" vertical="center" shrinkToFit="1"/>
    </xf>
    <xf numFmtId="0" fontId="27" fillId="0" borderId="7" xfId="0" applyNumberFormat="1" applyFont="1" applyBorder="1" applyAlignment="1">
      <alignment horizontal="center" vertical="center" shrinkToFit="1"/>
    </xf>
    <xf numFmtId="0" fontId="89" fillId="0" borderId="7" xfId="0" applyNumberFormat="1" applyFont="1" applyBorder="1" applyAlignment="1">
      <alignment horizontal="center" vertical="center" shrinkToFit="1"/>
    </xf>
    <xf numFmtId="0" fontId="0" fillId="0" borderId="7" xfId="0" applyNumberFormat="1" applyFill="1" applyBorder="1" applyAlignment="1">
      <alignment horizontal="center" vertical="center" shrinkToFit="1"/>
    </xf>
    <xf numFmtId="0" fontId="89" fillId="0" borderId="8" xfId="0" applyNumberFormat="1" applyFont="1" applyBorder="1" applyAlignment="1">
      <alignment horizontal="center" vertical="center" shrinkToFit="1"/>
    </xf>
    <xf numFmtId="0" fontId="90" fillId="3" borderId="1" xfId="0" applyFont="1" applyFill="1" applyBorder="1" applyAlignment="1">
      <alignment horizontal="center" vertical="center"/>
    </xf>
    <xf numFmtId="0" fontId="91" fillId="3" borderId="1" xfId="0" applyFont="1" applyFill="1" applyBorder="1" applyAlignment="1">
      <alignment horizontal="center" vertical="center"/>
    </xf>
    <xf numFmtId="0" fontId="0" fillId="7" borderId="19" xfId="0" applyNumberFormat="1" applyFill="1" applyBorder="1" applyAlignment="1">
      <alignment horizontal="center" vertical="center"/>
    </xf>
    <xf numFmtId="49" fontId="0" fillId="7" borderId="18" xfId="0" applyNumberFormat="1" applyFill="1" applyBorder="1" applyAlignment="1">
      <alignment horizontal="center" vertical="center"/>
    </xf>
    <xf numFmtId="0" fontId="27" fillId="4" borderId="18" xfId="0" applyNumberFormat="1" applyFont="1" applyFill="1" applyBorder="1" applyAlignment="1">
      <alignment horizontal="center" vertical="center" shrinkToFit="1"/>
    </xf>
    <xf numFmtId="49" fontId="87" fillId="2" borderId="2" xfId="0" applyNumberFormat="1" applyFont="1" applyFill="1" applyBorder="1" applyAlignment="1">
      <alignment horizontal="center" vertical="center" shrinkToFit="1"/>
    </xf>
    <xf numFmtId="14" fontId="87" fillId="2" borderId="2" xfId="0" applyNumberFormat="1" applyFont="1" applyFill="1" applyBorder="1" applyAlignment="1">
      <alignment horizontal="center" vertical="center" shrinkToFit="1"/>
    </xf>
    <xf numFmtId="0" fontId="27" fillId="0" borderId="19" xfId="0" applyNumberFormat="1" applyFont="1" applyBorder="1" applyAlignment="1">
      <alignment horizontal="center" vertical="center" shrinkToFit="1"/>
    </xf>
    <xf numFmtId="49" fontId="27" fillId="0" borderId="18" xfId="0" applyNumberFormat="1" applyFont="1" applyBorder="1" applyAlignment="1">
      <alignment horizontal="center" vertical="center" shrinkToFit="1"/>
    </xf>
    <xf numFmtId="49" fontId="89" fillId="0" borderId="7" xfId="0" applyNumberFormat="1" applyFont="1" applyBorder="1" applyAlignment="1">
      <alignment horizontal="center" vertical="center" shrinkToFit="1"/>
    </xf>
    <xf numFmtId="14" fontId="89" fillId="0" borderId="7" xfId="0" applyNumberFormat="1" applyFont="1" applyBorder="1" applyAlignment="1">
      <alignment horizontal="center" vertical="center" shrinkToFit="1"/>
    </xf>
    <xf numFmtId="49" fontId="89" fillId="0" borderId="8" xfId="0" applyNumberFormat="1" applyFont="1" applyBorder="1" applyAlignment="1">
      <alignment horizontal="center" vertical="center" shrinkToFit="1"/>
    </xf>
    <xf numFmtId="14" fontId="89" fillId="0" borderId="8" xfId="0" applyNumberFormat="1" applyFont="1" applyBorder="1" applyAlignment="1">
      <alignment horizontal="center" vertical="center" shrinkToFit="1"/>
    </xf>
    <xf numFmtId="0" fontId="27" fillId="0" borderId="8" xfId="0" applyNumberFormat="1" applyFont="1" applyBorder="1" applyAlignment="1">
      <alignment horizontal="left" vertical="center" shrinkToFit="1"/>
    </xf>
    <xf numFmtId="179" fontId="34" fillId="0" borderId="2" xfId="0" applyNumberFormat="1" applyFont="1" applyFill="1" applyBorder="1" applyAlignment="1">
      <alignment horizontal="center" vertical="center" shrinkToFit="1"/>
    </xf>
    <xf numFmtId="179" fontId="92" fillId="2" borderId="2" xfId="0" applyNumberFormat="1" applyFont="1" applyFill="1" applyBorder="1" applyAlignment="1">
      <alignment horizontal="center" vertical="center" shrinkToFit="1"/>
    </xf>
    <xf numFmtId="14" fontId="32" fillId="2" borderId="2" xfId="0" applyNumberFormat="1" applyFont="1" applyFill="1" applyBorder="1" applyAlignment="1">
      <alignment horizontal="center" vertical="center" shrinkToFit="1"/>
    </xf>
    <xf numFmtId="179" fontId="32" fillId="2" borderId="2" xfId="0" applyNumberFormat="1" applyFont="1" applyFill="1" applyBorder="1" applyAlignment="1">
      <alignment horizontal="center" vertical="center" wrapText="1" shrinkToFit="1"/>
    </xf>
    <xf numFmtId="179" fontId="32" fillId="2" borderId="2" xfId="0" applyNumberFormat="1" applyFont="1" applyFill="1" applyBorder="1" applyAlignment="1">
      <alignment horizontal="center" vertical="center" shrinkToFit="1"/>
    </xf>
    <xf numFmtId="0" fontId="27" fillId="0" borderId="8" xfId="0" applyFont="1" applyBorder="1" applyAlignment="1">
      <alignment horizontal="center" vertical="center" shrinkToFit="1"/>
    </xf>
    <xf numFmtId="14" fontId="0" fillId="0" borderId="8" xfId="0" applyNumberFormat="1" applyBorder="1" applyAlignment="1">
      <alignment horizontal="center" vertical="center" shrinkToFit="1"/>
    </xf>
    <xf numFmtId="179" fontId="15" fillId="0" borderId="8" xfId="0" applyNumberFormat="1" applyFont="1" applyBorder="1" applyAlignment="1">
      <alignment horizontal="center" vertical="center" wrapText="1" shrinkToFit="1"/>
    </xf>
    <xf numFmtId="179" fontId="0" fillId="0" borderId="8" xfId="0" applyNumberFormat="1" applyBorder="1" applyAlignment="1">
      <alignment horizontal="center" vertical="center" shrinkToFit="1"/>
    </xf>
    <xf numFmtId="179" fontId="0" fillId="7" borderId="16" xfId="0" applyNumberFormat="1" applyFill="1" applyBorder="1" applyAlignment="1">
      <alignment horizontal="left" vertical="center" shrinkToFit="1"/>
    </xf>
    <xf numFmtId="179" fontId="92" fillId="2" borderId="2" xfId="0" applyNumberFormat="1" applyFont="1" applyFill="1" applyBorder="1" applyAlignment="1">
      <alignment horizontal="center" vertical="center" wrapText="1" shrinkToFit="1"/>
    </xf>
    <xf numFmtId="49" fontId="32" fillId="2" borderId="2" xfId="0" applyNumberFormat="1" applyFont="1" applyFill="1" applyBorder="1" applyAlignment="1">
      <alignment horizontal="center" vertical="center" shrinkToFit="1"/>
    </xf>
    <xf numFmtId="179" fontId="0" fillId="7" borderId="8" xfId="0" applyNumberFormat="1" applyFill="1" applyBorder="1" applyAlignment="1">
      <alignment horizontal="left" vertical="center" shrinkToFit="1"/>
    </xf>
    <xf numFmtId="179" fontId="26" fillId="6" borderId="8" xfId="0" applyNumberFormat="1" applyFont="1" applyFill="1" applyBorder="1" applyAlignment="1">
      <alignment horizontal="center" vertical="center" shrinkToFit="1"/>
    </xf>
    <xf numFmtId="49" fontId="0" fillId="0" borderId="8" xfId="0" applyNumberFormat="1" applyBorder="1" applyAlignment="1">
      <alignment vertical="center" shrinkToFit="1"/>
    </xf>
    <xf numFmtId="0" fontId="36" fillId="0" borderId="0" xfId="0" applyFont="1" applyAlignment="1">
      <alignment shrinkToFit="1"/>
    </xf>
    <xf numFmtId="0" fontId="65" fillId="0" borderId="2" xfId="0" applyFont="1" applyFill="1" applyBorder="1" applyAlignment="1">
      <alignment horizontal="center" vertical="center" shrinkToFit="1"/>
    </xf>
    <xf numFmtId="0" fontId="5" fillId="0" borderId="2" xfId="0" applyFont="1" applyBorder="1" applyAlignment="1">
      <alignment horizontal="center" vertical="center" shrinkToFit="1"/>
    </xf>
    <xf numFmtId="0" fontId="6" fillId="0" borderId="2" xfId="0" applyFont="1" applyBorder="1" applyAlignment="1">
      <alignment horizontal="center" vertical="center" shrinkToFit="1"/>
    </xf>
    <xf numFmtId="0" fontId="36" fillId="7" borderId="0" xfId="0" applyFont="1" applyFill="1" applyAlignment="1">
      <alignment shrinkToFit="1"/>
    </xf>
    <xf numFmtId="0" fontId="36" fillId="7" borderId="0" xfId="0" applyFont="1" applyFill="1" applyAlignment="1">
      <alignment horizontal="left" shrinkToFit="1"/>
    </xf>
    <xf numFmtId="0" fontId="36" fillId="0" borderId="2" xfId="0" applyFont="1" applyBorder="1" applyAlignment="1">
      <alignment shrinkToFit="1"/>
    </xf>
    <xf numFmtId="0" fontId="0" fillId="0" borderId="20" xfId="0" applyBorder="1" applyAlignment="1">
      <alignment horizontal="center" vertical="center"/>
    </xf>
    <xf numFmtId="0" fontId="67" fillId="0" borderId="2" xfId="0" applyFont="1" applyFill="1" applyBorder="1" applyAlignment="1">
      <alignment horizontal="center" vertical="center" shrinkToFit="1"/>
    </xf>
    <xf numFmtId="0" fontId="58" fillId="0" borderId="2" xfId="0" applyFont="1" applyFill="1" applyBorder="1" applyAlignment="1">
      <alignment horizontal="center" vertical="center" shrinkToFit="1"/>
    </xf>
    <xf numFmtId="0" fontId="59" fillId="0" borderId="2" xfId="0" applyFont="1" applyFill="1" applyBorder="1" applyAlignment="1">
      <alignment horizontal="center" vertical="center" shrinkToFit="1"/>
    </xf>
    <xf numFmtId="0" fontId="0" fillId="0" borderId="20" xfId="0" applyNumberFormat="1" applyBorder="1" applyAlignment="1">
      <alignment horizontal="center" vertical="center" shrinkToFit="1"/>
    </xf>
    <xf numFmtId="0" fontId="0" fillId="0" borderId="20" xfId="0" applyNumberFormat="1" applyFill="1" applyBorder="1" applyAlignment="1">
      <alignment horizontal="center" vertical="center" shrinkToFit="1"/>
    </xf>
    <xf numFmtId="0" fontId="70" fillId="0" borderId="20" xfId="0" applyFont="1" applyFill="1" applyBorder="1" applyAlignment="1">
      <alignment horizontal="center" vertical="center" shrinkToFit="1"/>
    </xf>
    <xf numFmtId="0" fontId="93" fillId="0" borderId="2" xfId="0" applyFont="1" applyFill="1" applyBorder="1" applyAlignment="1">
      <alignment horizontal="center" vertical="center" shrinkToFit="1"/>
    </xf>
    <xf numFmtId="0" fontId="0" fillId="7" borderId="21" xfId="0" applyFill="1" applyBorder="1" applyAlignment="1">
      <alignment horizontal="center" vertical="center"/>
    </xf>
    <xf numFmtId="0" fontId="0" fillId="7" borderId="20" xfId="0" applyFill="1" applyBorder="1" applyAlignment="1">
      <alignment horizontal="center" vertical="center"/>
    </xf>
    <xf numFmtId="0" fontId="58" fillId="0" borderId="2" xfId="0" applyNumberFormat="1" applyFont="1" applyFill="1" applyBorder="1" applyAlignment="1">
      <alignment horizontal="center" vertical="center" shrinkToFit="1"/>
    </xf>
    <xf numFmtId="0" fontId="58" fillId="0" borderId="2" xfId="0" applyFont="1" applyFill="1" applyBorder="1" applyAlignment="1">
      <alignment horizontal="center" vertical="center"/>
    </xf>
    <xf numFmtId="4" fontId="11" fillId="2" borderId="2" xfId="0" applyNumberFormat="1" applyFont="1" applyFill="1" applyBorder="1" applyAlignment="1">
      <alignment horizontal="center" vertical="center" shrinkToFit="1"/>
    </xf>
    <xf numFmtId="0" fontId="94" fillId="2" borderId="2" xfId="0" applyFont="1" applyFill="1" applyBorder="1" applyAlignment="1">
      <alignment horizontal="center" vertical="center" shrinkToFit="1"/>
    </xf>
    <xf numFmtId="0" fontId="11" fillId="2" borderId="2" xfId="0" applyFont="1" applyFill="1" applyBorder="1" applyAlignment="1">
      <alignment horizontal="center" vertical="center"/>
    </xf>
    <xf numFmtId="0" fontId="0" fillId="0" borderId="20" xfId="0" applyBorder="1" applyAlignment="1">
      <alignment horizontal="center" vertical="center" shrinkToFit="1"/>
    </xf>
    <xf numFmtId="0" fontId="95" fillId="0" borderId="20" xfId="0" applyFont="1" applyBorder="1" applyAlignment="1">
      <alignment horizontal="center" vertical="center" shrinkToFit="1"/>
    </xf>
    <xf numFmtId="0" fontId="65" fillId="0" borderId="5" xfId="0" applyFont="1" applyFill="1" applyBorder="1" applyAlignment="1">
      <alignment horizontal="center" vertical="center"/>
    </xf>
    <xf numFmtId="0" fontId="49" fillId="0" borderId="2" xfId="0" applyFont="1" applyFill="1" applyBorder="1" applyAlignment="1">
      <alignment horizontal="center" vertical="center" wrapText="1"/>
    </xf>
    <xf numFmtId="0" fontId="49" fillId="0" borderId="2" xfId="0" applyFont="1" applyFill="1" applyBorder="1" applyAlignment="1">
      <alignment horizontal="center" vertical="center"/>
    </xf>
    <xf numFmtId="0" fontId="59" fillId="0" borderId="2" xfId="0" applyFont="1" applyFill="1" applyBorder="1" applyAlignment="1">
      <alignment horizontal="center" vertical="center"/>
    </xf>
    <xf numFmtId="0" fontId="0" fillId="0" borderId="22" xfId="0" applyFill="1" applyBorder="1" applyAlignment="1">
      <alignment horizontal="center" vertical="center"/>
    </xf>
    <xf numFmtId="180" fontId="86" fillId="0" borderId="2" xfId="0" applyNumberFormat="1" applyFont="1" applyFill="1" applyBorder="1" applyAlignment="1">
      <alignment horizontal="center" vertical="center"/>
    </xf>
    <xf numFmtId="180" fontId="49" fillId="0" borderId="2" xfId="0" applyNumberFormat="1" applyFont="1" applyFill="1" applyBorder="1" applyAlignment="1">
      <alignment horizontal="center" vertical="center" wrapText="1"/>
    </xf>
    <xf numFmtId="0" fontId="86" fillId="0" borderId="2" xfId="0" applyNumberFormat="1" applyFont="1" applyFill="1" applyBorder="1" applyAlignment="1">
      <alignment horizontal="center" vertical="center"/>
    </xf>
    <xf numFmtId="14" fontId="86" fillId="0" borderId="2" xfId="0" applyNumberFormat="1" applyFont="1" applyFill="1" applyBorder="1" applyAlignment="1">
      <alignment horizontal="center" vertical="center"/>
    </xf>
    <xf numFmtId="180" fontId="0" fillId="0" borderId="2" xfId="0" applyNumberFormat="1" applyBorder="1" applyAlignment="1">
      <alignment horizontal="center" vertical="center" shrinkToFit="1"/>
    </xf>
    <xf numFmtId="180" fontId="36" fillId="0" borderId="2" xfId="0" applyNumberFormat="1" applyFont="1" applyBorder="1" applyAlignment="1">
      <alignment horizontal="center" vertical="center" wrapText="1" shrinkToFit="1"/>
    </xf>
    <xf numFmtId="14" fontId="36" fillId="0" borderId="2" xfId="0" applyNumberFormat="1" applyFont="1" applyBorder="1" applyAlignment="1">
      <alignment horizontal="center" vertical="center" shrinkToFit="1"/>
    </xf>
    <xf numFmtId="0" fontId="27" fillId="0" borderId="0" xfId="0" applyFont="1" applyAlignment="1">
      <alignment horizontal="center" vertical="center" shrinkToFit="1"/>
    </xf>
    <xf numFmtId="0" fontId="96" fillId="0" borderId="2" xfId="0" applyFont="1" applyBorder="1" applyAlignment="1">
      <alignment horizontal="center" vertical="center" shrinkToFit="1"/>
    </xf>
    <xf numFmtId="0" fontId="97" fillId="0" borderId="4" xfId="0" applyFont="1" applyFill="1" applyBorder="1" applyAlignment="1">
      <alignment horizontal="center" vertical="center"/>
    </xf>
    <xf numFmtId="0" fontId="97" fillId="0" borderId="5" xfId="0" applyFont="1" applyFill="1" applyBorder="1" applyAlignment="1">
      <alignment horizontal="center" vertical="center"/>
    </xf>
    <xf numFmtId="177" fontId="98" fillId="0" borderId="4" xfId="0" applyNumberFormat="1" applyFont="1" applyFill="1" applyBorder="1" applyAlignment="1">
      <alignment horizontal="center" vertical="center"/>
    </xf>
    <xf numFmtId="177" fontId="98" fillId="0" borderId="5" xfId="0" applyNumberFormat="1" applyFont="1" applyFill="1" applyBorder="1" applyAlignment="1">
      <alignment horizontal="center" vertical="center"/>
    </xf>
    <xf numFmtId="0" fontId="99" fillId="2" borderId="2" xfId="0" applyFont="1" applyFill="1" applyBorder="1" applyAlignment="1">
      <alignment horizontal="center" vertical="center" wrapText="1" shrinkToFit="1"/>
    </xf>
    <xf numFmtId="0" fontId="99" fillId="2" borderId="2" xfId="0" applyFont="1" applyFill="1" applyBorder="1" applyAlignment="1">
      <alignment horizontal="center" vertical="center" shrinkToFit="1"/>
    </xf>
    <xf numFmtId="0" fontId="13" fillId="2" borderId="2" xfId="0" applyFont="1" applyFill="1" applyBorder="1" applyAlignment="1">
      <alignment horizontal="center" vertical="center" wrapText="1" shrinkToFit="1"/>
    </xf>
    <xf numFmtId="0" fontId="96" fillId="0" borderId="2" xfId="0" applyFont="1" applyFill="1" applyBorder="1" applyAlignment="1">
      <alignment horizontal="center" vertical="center" shrinkToFit="1"/>
    </xf>
    <xf numFmtId="0" fontId="97" fillId="0" borderId="6" xfId="0" applyFont="1" applyFill="1" applyBorder="1" applyAlignment="1">
      <alignment horizontal="center" vertical="center"/>
    </xf>
    <xf numFmtId="49" fontId="96" fillId="0" borderId="2" xfId="0" applyNumberFormat="1" applyFont="1" applyBorder="1" applyAlignment="1">
      <alignment horizontal="center" vertical="center" shrinkToFit="1"/>
    </xf>
    <xf numFmtId="14" fontId="96" fillId="0" borderId="2" xfId="0" applyNumberFormat="1" applyFont="1" applyBorder="1" applyAlignment="1">
      <alignment horizontal="center" vertical="center" shrinkToFit="1"/>
    </xf>
    <xf numFmtId="177" fontId="98" fillId="0" borderId="6" xfId="0" applyNumberFormat="1" applyFont="1" applyFill="1" applyBorder="1" applyAlignment="1">
      <alignment horizontal="center" vertical="center"/>
    </xf>
    <xf numFmtId="177" fontId="99" fillId="0" borderId="2" xfId="0" applyNumberFormat="1" applyFont="1" applyFill="1" applyBorder="1" applyAlignment="1">
      <alignment horizontal="center" vertical="center"/>
    </xf>
    <xf numFmtId="177" fontId="8" fillId="0" borderId="2" xfId="0" applyNumberFormat="1" applyFont="1" applyFill="1" applyBorder="1" applyAlignment="1">
      <alignment horizontal="center" vertical="center"/>
    </xf>
    <xf numFmtId="49" fontId="99" fillId="2" borderId="2" xfId="0" applyNumberFormat="1" applyFont="1" applyFill="1" applyBorder="1" applyAlignment="1">
      <alignment horizontal="center" vertical="center" shrinkToFi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常规 10" xfId="47"/>
    <cellStyle name="40% - 强调文字颜色 6" xfId="48" builtinId="51"/>
    <cellStyle name="60% - 强调文字颜色 6" xfId="49" builtinId="52"/>
    <cellStyle name="常规 4" xfId="50"/>
  </cellStyles>
  <dxfs count="4">
    <dxf>
      <font>
        <color rgb="FF9C0006"/>
      </font>
      <fill>
        <patternFill patternType="solid">
          <bgColor rgb="FFFFC7CE"/>
        </patternFill>
      </fill>
    </dxf>
    <dxf>
      <fill>
        <patternFill patternType="solid">
          <bgColor rgb="FFFFFF00"/>
        </patternFill>
      </fill>
    </dxf>
    <dxf>
      <font>
        <b val="0"/>
        <i val="0"/>
        <color rgb="FF9C0006"/>
      </font>
      <fill>
        <patternFill patternType="solid">
          <bgColor rgb="FFFFC7CE"/>
        </patternFill>
      </fill>
    </dxf>
    <dxf>
      <font>
        <color rgb="FF9C0006"/>
      </font>
      <fill>
        <patternFill patternType="solid">
          <bgColor rgb="FFFFC7CE"/>
        </patternFill>
      </fill>
    </dxf>
  </dxfs>
  <tableStyles count="0" defaultTableStyle="TableStyleMedium2"/>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2" Type="http://schemas.openxmlformats.org/officeDocument/2006/relationships/sharedStrings" Target="sharedStrings.xml"/><Relationship Id="rId51" Type="http://schemas.openxmlformats.org/officeDocument/2006/relationships/styles" Target="styles.xml"/><Relationship Id="rId50" Type="http://schemas.openxmlformats.org/officeDocument/2006/relationships/theme" Target="theme/theme1.xml"/><Relationship Id="rId5" Type="http://schemas.openxmlformats.org/officeDocument/2006/relationships/worksheet" Target="worksheets/sheet5.xml"/><Relationship Id="rId49" Type="http://schemas.openxmlformats.org/officeDocument/2006/relationships/externalLink" Target="externalLinks/externalLink11.xml"/><Relationship Id="rId48" Type="http://schemas.openxmlformats.org/officeDocument/2006/relationships/externalLink" Target="externalLinks/externalLink10.xml"/><Relationship Id="rId47" Type="http://schemas.openxmlformats.org/officeDocument/2006/relationships/externalLink" Target="externalLinks/externalLink9.xml"/><Relationship Id="rId46" Type="http://schemas.openxmlformats.org/officeDocument/2006/relationships/externalLink" Target="externalLinks/externalLink8.xml"/><Relationship Id="rId45" Type="http://schemas.openxmlformats.org/officeDocument/2006/relationships/externalLink" Target="externalLinks/externalLink7.xml"/><Relationship Id="rId44" Type="http://schemas.openxmlformats.org/officeDocument/2006/relationships/externalLink" Target="externalLinks/externalLink6.xml"/><Relationship Id="rId43" Type="http://schemas.openxmlformats.org/officeDocument/2006/relationships/externalLink" Target="externalLinks/externalLink5.xml"/><Relationship Id="rId42" Type="http://schemas.openxmlformats.org/officeDocument/2006/relationships/externalLink" Target="externalLinks/externalLink4.xml"/><Relationship Id="rId41" Type="http://schemas.openxmlformats.org/officeDocument/2006/relationships/externalLink" Target="externalLinks/externalLink3.xml"/><Relationship Id="rId40" Type="http://schemas.openxmlformats.org/officeDocument/2006/relationships/externalLink" Target="externalLinks/externalLink2.xml"/><Relationship Id="rId4" Type="http://schemas.openxmlformats.org/officeDocument/2006/relationships/worksheet" Target="worksheets/sheet4.xml"/><Relationship Id="rId39" Type="http://schemas.openxmlformats.org/officeDocument/2006/relationships/externalLink" Target="externalLinks/externalLink1.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11</xdr:col>
      <xdr:colOff>17584</xdr:colOff>
      <xdr:row>0</xdr:row>
      <xdr:rowOff>11723</xdr:rowOff>
    </xdr:from>
    <xdr:ext cx="984739" cy="982798"/>
    <xdr:pic>
      <xdr:nvPicPr>
        <xdr:cNvPr id="2" name="Picture 1"/>
        <xdr:cNvPicPr>
          <a:picLocks noChangeAspect="1" noChangeArrowheads="1"/>
        </xdr:cNvPicPr>
      </xdr:nvPicPr>
      <xdr:blipFill>
        <a:blip r:embed="rId1"/>
        <a:srcRect/>
        <a:stretch>
          <a:fillRect/>
        </a:stretch>
      </xdr:blipFill>
      <xdr:spPr>
        <a:xfrm>
          <a:off x="7560945" y="11430"/>
          <a:ext cx="984885" cy="982980"/>
        </a:xfrm>
        <a:prstGeom prst="rect">
          <a:avLst/>
        </a:prstGeom>
        <a:noFill/>
        <a:ln w="1">
          <a:noFill/>
          <a:miter lim="800000"/>
          <a:headEnd/>
          <a:tailEnd type="none" w="med" len="med"/>
        </a:ln>
        <a:effectLst/>
      </xdr:spPr>
    </xdr:pic>
    <xdr:clientData/>
  </xdr:oneCellAnchor>
  <xdr:oneCellAnchor>
    <xdr:from>
      <xdr:col>11</xdr:col>
      <xdr:colOff>0</xdr:colOff>
      <xdr:row>0</xdr:row>
      <xdr:rowOff>0</xdr:rowOff>
    </xdr:from>
    <xdr:ext cx="984739" cy="982798"/>
    <xdr:pic>
      <xdr:nvPicPr>
        <xdr:cNvPr id="3" name="Picture 4"/>
        <xdr:cNvPicPr>
          <a:picLocks noChangeAspect="1" noChangeArrowheads="1"/>
        </xdr:cNvPicPr>
      </xdr:nvPicPr>
      <xdr:blipFill>
        <a:blip r:embed="rId2"/>
        <a:srcRect/>
        <a:stretch>
          <a:fillRect/>
        </a:stretch>
      </xdr:blipFill>
      <xdr:spPr>
        <a:xfrm>
          <a:off x="7543800" y="0"/>
          <a:ext cx="984250" cy="982345"/>
        </a:xfrm>
        <a:prstGeom prst="rect">
          <a:avLst/>
        </a:prstGeom>
        <a:noFill/>
        <a:ln w="1">
          <a:noFill/>
          <a:miter lim="800000"/>
          <a:headEnd/>
          <a:tailEnd type="none" w="med" len="med"/>
        </a:ln>
        <a:effectLst/>
      </xdr:spPr>
    </xdr:pic>
    <xdr:clientData/>
  </xdr:oneCellAnchor>
  <xdr:oneCellAnchor>
    <xdr:from>
      <xdr:col>11</xdr:col>
      <xdr:colOff>1</xdr:colOff>
      <xdr:row>0</xdr:row>
      <xdr:rowOff>0</xdr:rowOff>
    </xdr:from>
    <xdr:ext cx="996462" cy="994498"/>
    <xdr:pic>
      <xdr:nvPicPr>
        <xdr:cNvPr id="4" name="Picture 2"/>
        <xdr:cNvPicPr>
          <a:picLocks noChangeAspect="1" noChangeArrowheads="1"/>
        </xdr:cNvPicPr>
      </xdr:nvPicPr>
      <xdr:blipFill>
        <a:blip r:embed="rId3"/>
        <a:srcRect/>
        <a:stretch>
          <a:fillRect/>
        </a:stretch>
      </xdr:blipFill>
      <xdr:spPr>
        <a:xfrm>
          <a:off x="7543800" y="0"/>
          <a:ext cx="996315" cy="994410"/>
        </a:xfrm>
        <a:prstGeom prst="rect">
          <a:avLst/>
        </a:prstGeom>
        <a:noFill/>
        <a:ln w="1">
          <a:noFill/>
          <a:miter lim="800000"/>
          <a:headEnd/>
          <a:tailEnd type="none" w="med" len="med"/>
        </a:ln>
        <a:effectLst/>
      </xdr:spPr>
    </xdr:pic>
    <xdr:clientData/>
  </xdr:oneCellAnchor>
  <xdr:oneCellAnchor>
    <xdr:from>
      <xdr:col>11</xdr:col>
      <xdr:colOff>0</xdr:colOff>
      <xdr:row>0</xdr:row>
      <xdr:rowOff>0</xdr:rowOff>
    </xdr:from>
    <xdr:ext cx="984739" cy="982798"/>
    <xdr:pic>
      <xdr:nvPicPr>
        <xdr:cNvPr id="5" name="Picture 1"/>
        <xdr:cNvPicPr>
          <a:picLocks noChangeAspect="1" noChangeArrowheads="1"/>
        </xdr:cNvPicPr>
      </xdr:nvPicPr>
      <xdr:blipFill>
        <a:blip r:embed="rId4"/>
        <a:srcRect/>
        <a:stretch>
          <a:fillRect/>
        </a:stretch>
      </xdr:blipFill>
      <xdr:spPr>
        <a:xfrm>
          <a:off x="7543800" y="0"/>
          <a:ext cx="984250" cy="982345"/>
        </a:xfrm>
        <a:prstGeom prst="rect">
          <a:avLst/>
        </a:prstGeom>
        <a:noFill/>
        <a:ln w="1">
          <a:noFill/>
          <a:miter lim="800000"/>
          <a:headEnd/>
          <a:tailEnd type="none" w="med" len="med"/>
        </a:ln>
        <a:effectLst/>
      </xdr:spPr>
    </xdr:pic>
    <xdr:clientData/>
  </xdr:oneCellAnchor>
  <xdr:oneCellAnchor>
    <xdr:from>
      <xdr:col>11</xdr:col>
      <xdr:colOff>1</xdr:colOff>
      <xdr:row>0</xdr:row>
      <xdr:rowOff>0</xdr:rowOff>
    </xdr:from>
    <xdr:ext cx="1002322" cy="1000347"/>
    <xdr:pic>
      <xdr:nvPicPr>
        <xdr:cNvPr id="6" name="Picture 4"/>
        <xdr:cNvPicPr>
          <a:picLocks noChangeAspect="1" noChangeArrowheads="1"/>
        </xdr:cNvPicPr>
      </xdr:nvPicPr>
      <xdr:blipFill>
        <a:blip r:embed="rId5"/>
        <a:srcRect/>
        <a:stretch>
          <a:fillRect/>
        </a:stretch>
      </xdr:blipFill>
      <xdr:spPr>
        <a:xfrm>
          <a:off x="7543800" y="0"/>
          <a:ext cx="1002030" cy="1000125"/>
        </a:xfrm>
        <a:prstGeom prst="rect">
          <a:avLst/>
        </a:prstGeom>
        <a:noFill/>
        <a:ln w="1">
          <a:noFill/>
          <a:miter lim="800000"/>
          <a:headEnd/>
          <a:tailEnd type="none" w="med" len="med"/>
        </a:ln>
        <a:effectLst/>
      </xdr:spPr>
    </xdr:pic>
    <xdr:clientData/>
  </xdr:oneCellAnchor>
  <xdr:oneCellAnchor>
    <xdr:from>
      <xdr:col>11</xdr:col>
      <xdr:colOff>0</xdr:colOff>
      <xdr:row>0</xdr:row>
      <xdr:rowOff>1</xdr:rowOff>
    </xdr:from>
    <xdr:ext cx="1002323" cy="999031"/>
    <xdr:pic>
      <xdr:nvPicPr>
        <xdr:cNvPr id="7" name="Picture 6"/>
        <xdr:cNvPicPr>
          <a:picLocks noChangeAspect="1" noChangeArrowheads="1"/>
        </xdr:cNvPicPr>
      </xdr:nvPicPr>
      <xdr:blipFill>
        <a:blip r:embed="rId6"/>
        <a:srcRect/>
        <a:stretch>
          <a:fillRect/>
        </a:stretch>
      </xdr:blipFill>
      <xdr:spPr>
        <a:xfrm>
          <a:off x="7543800" y="0"/>
          <a:ext cx="1002030" cy="998855"/>
        </a:xfrm>
        <a:prstGeom prst="rect">
          <a:avLst/>
        </a:prstGeom>
        <a:noFill/>
        <a:ln w="1">
          <a:noFill/>
          <a:miter lim="800000"/>
          <a:headEnd/>
          <a:tailEnd type="none" w="med" len="med"/>
        </a:ln>
        <a:effectLst/>
      </xdr:spPr>
    </xdr:pic>
    <xdr:clientData/>
  </xdr:oneCellAnchor>
  <xdr:twoCellAnchor editAs="oneCell">
    <xdr:from>
      <xdr:col>11</xdr:col>
      <xdr:colOff>58616</xdr:colOff>
      <xdr:row>3</xdr:row>
      <xdr:rowOff>46892</xdr:rowOff>
    </xdr:from>
    <xdr:to>
      <xdr:col>12</xdr:col>
      <xdr:colOff>281355</xdr:colOff>
      <xdr:row>8</xdr:row>
      <xdr:rowOff>98181</xdr:rowOff>
    </xdr:to>
    <xdr:pic>
      <xdr:nvPicPr>
        <xdr:cNvPr id="8" name="图片 7"/>
        <xdr:cNvPicPr>
          <a:picLocks noChangeAspect="1"/>
        </xdr:cNvPicPr>
      </xdr:nvPicPr>
      <xdr:blipFill>
        <a:blip r:embed="rId7"/>
        <a:stretch>
          <a:fillRect/>
        </a:stretch>
      </xdr:blipFill>
      <xdr:spPr>
        <a:xfrm>
          <a:off x="7602220" y="2030730"/>
          <a:ext cx="908685" cy="17138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F:\&#21525;&#23045;&#30007;&#35013;&#31665;&#21333;(&#25171;&#21360;&#35013;&#31665;&#21333;&#30340;&#21508;&#20301;&#21516;&#20107;&#19981;&#28165;&#26970;&#35831;&#38543;&#26102;&#39578;&#25200;&#25105;  &#26377;&#29305;&#27530;&#35201;&#27714;&#37117;&#26377;&#22791;&#27880;)\132&#25104;&#37117;  XTJ&#26368;&#26032;&#35013;&#31665;&#21333; .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F:\&#21525;&#23045;&#30007;&#35013;&#31665;&#21333;(&#25171;&#21360;&#35013;&#31665;&#21333;&#30340;&#21508;&#20301;&#21516;&#20107;&#19981;&#28165;&#26970;&#35831;&#38543;&#26102;&#39578;&#25200;&#25105;  &#26377;&#29305;&#27530;&#35201;&#27714;&#37117;&#26377;&#22791;&#27880;)\132&#25104;&#37117;&#39134;&#26426; CGB&#26368;&#26032;&#35013;&#31665;&#21333;&#21457;&#36135;&#28165;&#21333;&#27169;&#26495;.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F:\&#21525;&#23045;&#30007;&#35013;&#31665;&#21333;(&#25171;&#21360;&#35013;&#31665;&#21333;&#30340;&#21508;&#20301;&#21516;&#20107;&#19981;&#28165;&#26970;&#35831;&#38543;&#26102;&#39578;&#25200;&#25105;  &#26377;&#29305;&#27530;&#35201;&#27714;&#37117;&#26377;&#22791;&#27880;)\182&#21378;&#35013;&#31665;&#21333;(&#38485;&#35199;&#39134;&#26426;).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F:\&#21525;&#23045;&#30007;&#35013;&#31665;&#21333;(&#25171;&#21360;&#35013;&#31665;&#21333;&#30340;&#21508;&#20301;&#21516;&#20107;&#19981;&#28165;&#26970;&#35831;&#38543;&#26102;&#39578;&#25200;&#25105;  &#26377;&#29305;&#27530;&#35201;&#27714;&#37117;&#26377;&#22791;&#27880;)\420&#26368;&#26032;&#35013;&#31665;&#21333;&#65288;2024.9.1&#21551;&#29992;&#65289;.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F:\&#21525;&#23045;&#30007;&#35013;&#31665;&#21333;(&#25171;&#21360;&#35013;&#31665;&#21333;&#30340;&#21508;&#20301;&#21516;&#20107;&#19981;&#28165;&#26970;&#35831;&#38543;&#26102;&#39578;&#25200;&#25105;  &#26377;&#29305;&#27530;&#35201;&#27714;&#37117;&#26377;&#22791;&#27880;)\430&#26368;&#26032;&#35013;&#31665;&#21333;&#20013;&#22269;&#33322;&#21457;&#21160;&#21147;&#32929;&#20221;&#26377;&#38480;&#20844;&#21496;(2025.4.11&#21551;&#21160;).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C:\Users\gzuser178\AppData\Roaming\E-Mobile\Downloads\&#21103;&#26412;5720&#21378;&#21457;&#36135;&#28165;&#21333;&#27169;&#26495;&#65288;&#22269;&#33829;&#33436;&#28246;&#65289;.xlsx"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F:\&#21525;&#23045;&#30007;&#35013;&#31665;&#21333;(&#25171;&#21360;&#35013;&#31665;&#21333;&#30340;&#21508;&#20301;&#21516;&#20107;&#19981;&#28165;&#26970;&#35831;&#38543;&#26102;&#39578;&#25200;&#25105;  &#26377;&#29305;&#27530;&#35201;&#27714;&#37117;&#26377;&#22791;&#27880;)\&#19977;&#38498;&#29289;&#36164;&#37096;&#65288;&#21271;&#20140;&#39134;&#33322;&#25463;&#36805;&#65289;.xlsx"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C:\Users\GZUSER~1\AppData\Local\Temp\Rar$DIa2044.10389\&#21103;&#26412;&#19977;&#38498;&#29289;&#36164;&#37096;&#65288;&#21271;&#20140;&#39134;&#33322;&#25463;&#36805;&#65289;.xlsx"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F:\&#21525;&#23045;&#30007;&#35013;&#31665;&#21333;(&#25171;&#21360;&#35013;&#31665;&#21333;&#30340;&#21508;&#20301;&#21516;&#20107;&#19981;&#28165;&#26970;&#35831;&#38543;&#26102;&#39578;&#25200;&#25105;  &#26377;&#29305;&#27530;&#35201;&#27714;&#37117;&#26377;&#22791;&#27880;)\&#35199;&#23433;&#33713;&#29305;&#35013;&#31665;&#21333;.xlsx"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F:\&#21525;&#23045;&#30007;&#35013;&#31665;&#21333;(&#25171;&#21360;&#35013;&#31665;&#21333;&#30340;&#21508;&#20301;&#21516;&#20107;&#19981;&#28165;&#26970;&#35831;&#38543;&#26102;&#39578;&#25200;&#25105;  &#26377;&#29305;&#27530;&#35201;&#27714;&#37117;&#26377;&#22791;&#27880;)\&#35199;&#39134;&#21457;&#36135;&#27719;&#24635;&#21333;&#65288;2021&#65289;.xlsx"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F:\&#21525;&#23045;&#30007;&#35013;&#31665;&#21333;(&#25171;&#21360;&#35013;&#31665;&#21333;&#30340;&#21508;&#20301;&#21516;&#20107;&#19981;&#28165;&#26970;&#35831;&#38543;&#26102;&#39578;&#25200;&#25105;  &#26377;&#29305;&#27530;&#35201;&#27714;&#37117;&#26377;&#22791;&#27880;)\&#38271;&#27801;&#36215;&#33853;&#26550;&#12289;&#37325;&#24198;&#32418;&#23431;&#12289;5702&#12289;771&#12289;&#19996;&#23433;&#23454;&#19994;.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卫尚兰Q"/>
      <sheetName val="刘璐HB件"/>
      <sheetName val="官江琦"/>
      <sheetName val="匹配"/>
      <sheetName val="交付期日"/>
    </sheetNames>
    <sheetDataSet>
      <sheetData sheetId="0" refreshError="1"/>
      <sheetData sheetId="1" refreshError="1"/>
      <sheetData sheetId="2" refreshError="1"/>
      <sheetData sheetId="3">
        <row r="1">
          <cell r="B1" t="str">
            <v>提货单号</v>
          </cell>
          <cell r="C1" t="str">
            <v>批号</v>
          </cell>
          <cell r="D1" t="str">
            <v>物料编号</v>
          </cell>
          <cell r="E1" t="str">
            <v>物品名称</v>
          </cell>
          <cell r="F1" t="str">
            <v>采用标准</v>
          </cell>
          <cell r="G1" t="str">
            <v>规格</v>
          </cell>
          <cell r="H1" t="str">
            <v>性能等级</v>
          </cell>
          <cell r="I1" t="str">
            <v>表面处理</v>
          </cell>
          <cell r="J1" t="str">
            <v>材质</v>
          </cell>
          <cell r="K1" t="str">
            <v>已提货数量</v>
          </cell>
          <cell r="L1" t="str">
            <v>提货创建日期</v>
          </cell>
          <cell r="M1" t="str">
            <v>提货单状态</v>
          </cell>
          <cell r="N1" t="str">
            <v>运单回填日期</v>
          </cell>
          <cell r="O1" t="str">
            <v>运单回填时间</v>
          </cell>
          <cell r="P1" t="str">
            <v>售达方描述</v>
          </cell>
          <cell r="Q1" t="str">
            <v>销售凭证项目</v>
          </cell>
          <cell r="R1" t="str">
            <v>检验日期</v>
          </cell>
          <cell r="S1" t="str">
            <v>包装日期</v>
          </cell>
          <cell r="T1" t="str">
            <v>过帐日期</v>
          </cell>
          <cell r="U1" t="str">
            <v>生产订单</v>
          </cell>
          <cell r="V1" t="str">
            <v>配货人</v>
          </cell>
          <cell r="W1" t="str">
            <v>取消原因</v>
          </cell>
          <cell r="X1" t="str">
            <v>货位号</v>
          </cell>
          <cell r="Y1" t="str">
            <v>包装人</v>
          </cell>
          <cell r="Z1" t="str">
            <v>销售办公室</v>
          </cell>
          <cell r="AA1" t="str">
            <v>销售凭证</v>
          </cell>
          <cell r="AB1" t="str">
            <v>订单数量</v>
          </cell>
          <cell r="AC1" t="str">
            <v>调度令号码</v>
          </cell>
          <cell r="AD1" t="str">
            <v>价格</v>
          </cell>
          <cell r="AE1" t="str">
            <v>客户采购订单编号</v>
          </cell>
          <cell r="AF1" t="str">
            <v>销售订单行</v>
          </cell>
        </row>
        <row r="2">
          <cell r="B2" t="str">
            <v>7101039069</v>
          </cell>
          <cell r="C2" t="str">
            <v>G2508-0402</v>
          </cell>
          <cell r="D2" t="str">
            <v>000042944000143728</v>
          </cell>
          <cell r="E2" t="str">
            <v>17-7PH带垫P型卡箍</v>
          </cell>
          <cell r="F2" t="str">
            <v>Q/611S538-2017</v>
          </cell>
          <cell r="G2" t="str">
            <v>J38B</v>
          </cell>
          <cell r="H2" t="str">
            <v/>
          </cell>
          <cell r="I2" t="str">
            <v/>
          </cell>
          <cell r="J2" t="str">
            <v>组件(国产材料)</v>
          </cell>
          <cell r="K2">
            <v>17</v>
          </cell>
          <cell r="L2">
            <v>45982</v>
          </cell>
          <cell r="M2" t="str">
            <v>3-配货完成</v>
          </cell>
        </row>
        <row r="2">
          <cell r="O2">
            <v>0</v>
          </cell>
          <cell r="P2" t="str">
            <v>成都飞机工业（集团）有限责任公司</v>
          </cell>
          <cell r="Q2" t="str">
            <v>40</v>
          </cell>
        </row>
        <row r="2">
          <cell r="U2" t="str">
            <v>010000852547</v>
          </cell>
          <cell r="V2" t="str">
            <v>PANMINGTAO</v>
          </cell>
          <cell r="W2" t="str">
            <v/>
          </cell>
          <cell r="X2" t="str">
            <v>XC-31-1-4</v>
          </cell>
          <cell r="Y2" t="str">
            <v/>
          </cell>
          <cell r="Z2" t="str">
            <v>1902</v>
          </cell>
          <cell r="AA2" t="str">
            <v>1100139857</v>
          </cell>
          <cell r="AB2">
            <v>180</v>
          </cell>
          <cell r="AC2" t="str">
            <v/>
          </cell>
          <cell r="AD2">
            <v>80.76</v>
          </cell>
          <cell r="AE2" t="str">
            <v>G-100015632-250106-0002</v>
          </cell>
          <cell r="AF2" t="str">
            <v>1100139857/40</v>
          </cell>
        </row>
        <row r="3">
          <cell r="B3" t="str">
            <v>7101039070</v>
          </cell>
          <cell r="C3" t="str">
            <v>G2508-0402</v>
          </cell>
          <cell r="D3" t="str">
            <v>000042944000143728</v>
          </cell>
          <cell r="E3" t="str">
            <v>17-7PH带垫P型卡箍</v>
          </cell>
          <cell r="F3" t="str">
            <v>Q/611S538-2017</v>
          </cell>
          <cell r="G3" t="str">
            <v>J38B</v>
          </cell>
          <cell r="H3" t="str">
            <v/>
          </cell>
          <cell r="I3" t="str">
            <v/>
          </cell>
          <cell r="J3" t="str">
            <v>组件(国产材料)</v>
          </cell>
          <cell r="K3">
            <v>200</v>
          </cell>
          <cell r="L3">
            <v>45982</v>
          </cell>
          <cell r="M3" t="str">
            <v>3-配货完成</v>
          </cell>
        </row>
        <row r="3">
          <cell r="O3">
            <v>0</v>
          </cell>
          <cell r="P3" t="str">
            <v>成都飞机工业（集团）有限责任公司</v>
          </cell>
          <cell r="Q3" t="str">
            <v>280</v>
          </cell>
        </row>
        <row r="3">
          <cell r="U3" t="str">
            <v>010000852547</v>
          </cell>
          <cell r="V3" t="str">
            <v>PANMINGTAO</v>
          </cell>
          <cell r="W3" t="str">
            <v/>
          </cell>
          <cell r="X3" t="str">
            <v>XC-31-1-4</v>
          </cell>
          <cell r="Y3" t="str">
            <v/>
          </cell>
          <cell r="Z3" t="str">
            <v>1902</v>
          </cell>
          <cell r="AA3" t="str">
            <v>1100151302</v>
          </cell>
          <cell r="AB3">
            <v>200</v>
          </cell>
          <cell r="AC3" t="str">
            <v/>
          </cell>
          <cell r="AD3">
            <v>72.88</v>
          </cell>
          <cell r="AE3" t="str">
            <v>G-100015632-250811-0202</v>
          </cell>
          <cell r="AF3" t="str">
            <v>1100151302/280</v>
          </cell>
        </row>
        <row r="4">
          <cell r="B4" t="str">
            <v>7101050566</v>
          </cell>
          <cell r="C4" t="str">
            <v>G2510-0506</v>
          </cell>
          <cell r="D4" t="str">
            <v>000042944000154834</v>
          </cell>
          <cell r="E4" t="str">
            <v>17-7PH带垫P型卡箍</v>
          </cell>
          <cell r="F4" t="str">
            <v>Q/611S538-2017</v>
          </cell>
          <cell r="G4" t="str">
            <v>J6B</v>
          </cell>
          <cell r="H4" t="str">
            <v/>
          </cell>
          <cell r="I4" t="str">
            <v/>
          </cell>
          <cell r="J4" t="str">
            <v>组件(国产材料)</v>
          </cell>
          <cell r="K4">
            <v>10</v>
          </cell>
          <cell r="L4">
            <v>46007</v>
          </cell>
          <cell r="M4" t="str">
            <v>3-配货完成</v>
          </cell>
        </row>
        <row r="4">
          <cell r="O4">
            <v>0</v>
          </cell>
          <cell r="P4" t="str">
            <v>成都飞机工业（集团）有限责任公司</v>
          </cell>
          <cell r="Q4" t="str">
            <v>320</v>
          </cell>
        </row>
        <row r="4">
          <cell r="U4" t="str">
            <v>010000872712</v>
          </cell>
          <cell r="V4" t="str">
            <v>PANMINGTAO</v>
          </cell>
          <cell r="W4" t="str">
            <v/>
          </cell>
          <cell r="X4" t="str">
            <v>XC-31-1-2</v>
          </cell>
          <cell r="Y4" t="str">
            <v/>
          </cell>
          <cell r="Z4" t="str">
            <v>1902</v>
          </cell>
          <cell r="AA4" t="str">
            <v>1100153602</v>
          </cell>
          <cell r="AB4">
            <v>30</v>
          </cell>
          <cell r="AC4" t="str">
            <v/>
          </cell>
          <cell r="AD4">
            <v>39.58</v>
          </cell>
          <cell r="AE4" t="str">
            <v>G-100015632-250928-0249</v>
          </cell>
          <cell r="AF4" t="str">
            <v>1100153602/320</v>
          </cell>
        </row>
        <row r="5">
          <cell r="B5" t="str">
            <v>7101050569</v>
          </cell>
          <cell r="C5" t="str">
            <v>G2511-1844</v>
          </cell>
          <cell r="D5" t="str">
            <v>000042944000143860</v>
          </cell>
          <cell r="E5" t="str">
            <v>带垫P型卡箍</v>
          </cell>
          <cell r="F5" t="str">
            <v>Q/611S422-2017</v>
          </cell>
          <cell r="G5" t="str">
            <v>LBF22B</v>
          </cell>
          <cell r="H5" t="str">
            <v/>
          </cell>
          <cell r="I5" t="str">
            <v/>
          </cell>
          <cell r="J5" t="str">
            <v>组件(国产材料)</v>
          </cell>
          <cell r="K5">
            <v>10</v>
          </cell>
          <cell r="L5">
            <v>46007</v>
          </cell>
          <cell r="M5" t="str">
            <v>3-配货完成</v>
          </cell>
        </row>
        <row r="5">
          <cell r="O5">
            <v>0</v>
          </cell>
          <cell r="P5" t="str">
            <v>成都飞机工业（集团）有限责任公司</v>
          </cell>
          <cell r="Q5" t="str">
            <v>100</v>
          </cell>
        </row>
        <row r="5">
          <cell r="U5" t="str">
            <v>010000888642</v>
          </cell>
          <cell r="V5" t="str">
            <v>PANMINGTAO</v>
          </cell>
          <cell r="W5" t="str">
            <v/>
          </cell>
          <cell r="X5" t="str">
            <v>XC-30-1-2</v>
          </cell>
          <cell r="Y5" t="str">
            <v/>
          </cell>
          <cell r="Z5" t="str">
            <v>1902</v>
          </cell>
          <cell r="AA5" t="str">
            <v>1100152032</v>
          </cell>
          <cell r="AB5">
            <v>850</v>
          </cell>
          <cell r="AC5" t="str">
            <v/>
          </cell>
          <cell r="AD5">
            <v>75</v>
          </cell>
          <cell r="AE5" t="str">
            <v>G-100015632-250827-0222</v>
          </cell>
          <cell r="AF5" t="str">
            <v>1100152032/100</v>
          </cell>
        </row>
        <row r="6">
          <cell r="B6" t="str">
            <v>7101052862</v>
          </cell>
          <cell r="C6" t="str">
            <v>G2510-1742</v>
          </cell>
          <cell r="D6" t="str">
            <v>000042944000143223</v>
          </cell>
          <cell r="E6" t="str">
            <v>长圆型单面固定带垫卡箍</v>
          </cell>
          <cell r="F6" t="str">
            <v>Q/611S475-2023</v>
          </cell>
          <cell r="G6" t="str">
            <v>FDF16</v>
          </cell>
          <cell r="H6" t="str">
            <v/>
          </cell>
          <cell r="I6" t="str">
            <v/>
          </cell>
          <cell r="J6" t="str">
            <v>组件(国产材料)</v>
          </cell>
          <cell r="K6">
            <v>2</v>
          </cell>
          <cell r="L6">
            <v>46012</v>
          </cell>
          <cell r="M6" t="str">
            <v>3-配货完成</v>
          </cell>
        </row>
        <row r="6">
          <cell r="O6">
            <v>0</v>
          </cell>
          <cell r="P6" t="str">
            <v>成都飞机工业（集团）有限责任公司</v>
          </cell>
          <cell r="Q6" t="str">
            <v>160</v>
          </cell>
        </row>
        <row r="6">
          <cell r="U6" t="str">
            <v>010000878164</v>
          </cell>
          <cell r="V6" t="str">
            <v>PANMINGTAO</v>
          </cell>
          <cell r="W6" t="str">
            <v/>
          </cell>
          <cell r="X6" t="str">
            <v>XC-33-1-1-5</v>
          </cell>
          <cell r="Y6" t="str">
            <v/>
          </cell>
          <cell r="Z6" t="str">
            <v>1902</v>
          </cell>
          <cell r="AA6" t="str">
            <v>1100153602</v>
          </cell>
          <cell r="AB6">
            <v>70</v>
          </cell>
          <cell r="AC6" t="str">
            <v/>
          </cell>
          <cell r="AD6">
            <v>79.76</v>
          </cell>
          <cell r="AE6" t="str">
            <v>G-100015632-250928-0249</v>
          </cell>
          <cell r="AF6" t="str">
            <v>1100153602/160</v>
          </cell>
        </row>
        <row r="7">
          <cell r="B7" t="str">
            <v>7101052863</v>
          </cell>
          <cell r="C7" t="str">
            <v>G2503-3170</v>
          </cell>
          <cell r="D7" t="str">
            <v>000042944000138769</v>
          </cell>
          <cell r="E7" t="str">
            <v>带鞍座双面固定带垫卡箍</v>
          </cell>
          <cell r="F7" t="str">
            <v>Q/611S433-2023</v>
          </cell>
          <cell r="G7" t="str">
            <v>FDF16</v>
          </cell>
          <cell r="H7" t="str">
            <v/>
          </cell>
          <cell r="I7" t="str">
            <v/>
          </cell>
          <cell r="J7" t="str">
            <v>组件(国产材料)</v>
          </cell>
          <cell r="K7">
            <v>400</v>
          </cell>
          <cell r="L7">
            <v>46012</v>
          </cell>
          <cell r="M7" t="str">
            <v>3-配货完成</v>
          </cell>
        </row>
        <row r="7">
          <cell r="O7">
            <v>0</v>
          </cell>
          <cell r="P7" t="str">
            <v>成都飞机工业（集团）有限责任公司</v>
          </cell>
          <cell r="Q7" t="str">
            <v>10</v>
          </cell>
        </row>
        <row r="7">
          <cell r="U7" t="str">
            <v>010000803637</v>
          </cell>
          <cell r="V7" t="str">
            <v>PANMINGTAO</v>
          </cell>
          <cell r="W7" t="str">
            <v/>
          </cell>
          <cell r="X7" t="str">
            <v>XC-28-1-2-5</v>
          </cell>
          <cell r="Y7" t="str">
            <v/>
          </cell>
          <cell r="Z7" t="str">
            <v>1902</v>
          </cell>
          <cell r="AA7" t="str">
            <v>1100155478</v>
          </cell>
          <cell r="AB7">
            <v>400</v>
          </cell>
          <cell r="AC7" t="str">
            <v/>
          </cell>
          <cell r="AD7">
            <v>85</v>
          </cell>
          <cell r="AE7" t="str">
            <v>G-100015632-251107-0283</v>
          </cell>
          <cell r="AF7" t="str">
            <v>1100155478/10</v>
          </cell>
        </row>
        <row r="8">
          <cell r="B8" t="str">
            <v>7101052908</v>
          </cell>
          <cell r="C8" t="str">
            <v>G2510-1743</v>
          </cell>
          <cell r="D8" t="str">
            <v>000042944000156716</v>
          </cell>
          <cell r="E8" t="str">
            <v>17-7PH带垫P型卡箍</v>
          </cell>
          <cell r="F8" t="str">
            <v>Q/611S538-2017</v>
          </cell>
          <cell r="G8" t="str">
            <v>J24B</v>
          </cell>
          <cell r="H8" t="str">
            <v/>
          </cell>
          <cell r="I8" t="str">
            <v/>
          </cell>
          <cell r="J8" t="str">
            <v>组件(国产材料)</v>
          </cell>
          <cell r="K8">
            <v>6</v>
          </cell>
          <cell r="L8">
            <v>46012</v>
          </cell>
          <cell r="M8" t="str">
            <v>3-配货完成</v>
          </cell>
        </row>
        <row r="8">
          <cell r="O8">
            <v>0</v>
          </cell>
          <cell r="P8" t="str">
            <v>成都飞机工业（集团）有限责任公司</v>
          </cell>
          <cell r="Q8" t="str">
            <v>290</v>
          </cell>
        </row>
        <row r="8">
          <cell r="U8" t="str">
            <v>010000878165</v>
          </cell>
          <cell r="V8" t="str">
            <v>PANMINGTAO</v>
          </cell>
          <cell r="W8" t="str">
            <v/>
          </cell>
          <cell r="X8" t="str">
            <v>XC-33-1-1-1</v>
          </cell>
          <cell r="Y8" t="str">
            <v/>
          </cell>
          <cell r="Z8" t="str">
            <v>1902</v>
          </cell>
          <cell r="AA8" t="str">
            <v>1100153602</v>
          </cell>
          <cell r="AB8">
            <v>90</v>
          </cell>
          <cell r="AC8" t="str">
            <v/>
          </cell>
          <cell r="AD8">
            <v>65.04</v>
          </cell>
          <cell r="AE8" t="str">
            <v>G-100015632-250928-0249</v>
          </cell>
          <cell r="AF8" t="str">
            <v>1100153602/290</v>
          </cell>
        </row>
        <row r="9">
          <cell r="B9" t="str">
            <v>7101054457</v>
          </cell>
          <cell r="C9" t="str">
            <v>G2511-1846</v>
          </cell>
          <cell r="D9" t="str">
            <v>000042944000156716</v>
          </cell>
          <cell r="E9" t="str">
            <v>17-7PH带垫P型卡箍</v>
          </cell>
          <cell r="F9" t="str">
            <v>Q/611S538-2017</v>
          </cell>
          <cell r="G9" t="str">
            <v>J24B</v>
          </cell>
          <cell r="H9" t="str">
            <v/>
          </cell>
          <cell r="I9" t="str">
            <v/>
          </cell>
          <cell r="J9" t="str">
            <v>组件(国产材料)</v>
          </cell>
          <cell r="K9">
            <v>14</v>
          </cell>
          <cell r="L9">
            <v>46016</v>
          </cell>
          <cell r="M9" t="str">
            <v>3-配货完成</v>
          </cell>
        </row>
        <row r="9">
          <cell r="O9">
            <v>0</v>
          </cell>
          <cell r="P9" t="str">
            <v>成都飞机工业（集团）有限责任公司</v>
          </cell>
          <cell r="Q9" t="str">
            <v>290</v>
          </cell>
        </row>
        <row r="9">
          <cell r="U9" t="str">
            <v>010000888693</v>
          </cell>
          <cell r="V9" t="str">
            <v>PANMINGTAO</v>
          </cell>
          <cell r="W9" t="str">
            <v/>
          </cell>
          <cell r="X9" t="str">
            <v>XC31-1-1-5</v>
          </cell>
          <cell r="Y9" t="str">
            <v/>
          </cell>
          <cell r="Z9" t="str">
            <v>1902</v>
          </cell>
          <cell r="AA9" t="str">
            <v>1100153602</v>
          </cell>
          <cell r="AB9">
            <v>90</v>
          </cell>
          <cell r="AC9" t="str">
            <v/>
          </cell>
          <cell r="AD9">
            <v>65.04</v>
          </cell>
          <cell r="AE9" t="str">
            <v>G-100015632-250928-0249</v>
          </cell>
          <cell r="AF9" t="str">
            <v>1100153602/290</v>
          </cell>
        </row>
        <row r="10">
          <cell r="B10" t="str">
            <v>7101056468</v>
          </cell>
          <cell r="C10" t="str">
            <v>G2511-1779</v>
          </cell>
          <cell r="D10" t="str">
            <v>000042944000141126</v>
          </cell>
          <cell r="E10" t="str">
            <v>带鞍座双面固定带垫卡箍</v>
          </cell>
          <cell r="F10" t="str">
            <v>Q/611S433-2023</v>
          </cell>
          <cell r="G10" t="str">
            <v>FDF38B</v>
          </cell>
          <cell r="H10" t="str">
            <v/>
          </cell>
          <cell r="I10" t="str">
            <v/>
          </cell>
          <cell r="J10" t="str">
            <v>组件(国产材料)</v>
          </cell>
          <cell r="K10">
            <v>57</v>
          </cell>
          <cell r="L10">
            <v>46022</v>
          </cell>
          <cell r="M10" t="str">
            <v>3-配货完成</v>
          </cell>
        </row>
        <row r="10">
          <cell r="O10">
            <v>0</v>
          </cell>
          <cell r="P10" t="str">
            <v>成都飞机工业（集团）有限责任公司</v>
          </cell>
          <cell r="Q10" t="str">
            <v>10</v>
          </cell>
        </row>
        <row r="10">
          <cell r="U10" t="str">
            <v>010000888123</v>
          </cell>
          <cell r="V10" t="str">
            <v>PANMINGTAO</v>
          </cell>
          <cell r="W10" t="str">
            <v/>
          </cell>
          <cell r="X10" t="str">
            <v>XC-31-1-3</v>
          </cell>
          <cell r="Y10" t="str">
            <v/>
          </cell>
          <cell r="Z10" t="str">
            <v>1902</v>
          </cell>
          <cell r="AA10" t="str">
            <v>1100156342</v>
          </cell>
          <cell r="AB10">
            <v>60</v>
          </cell>
          <cell r="AC10" t="str">
            <v/>
          </cell>
          <cell r="AD10">
            <v>114.46</v>
          </cell>
          <cell r="AE10" t="str">
            <v>G-100015632-251124-0307</v>
          </cell>
          <cell r="AF10" t="str">
            <v>1100156342/10</v>
          </cell>
        </row>
        <row r="11">
          <cell r="B11" t="str">
            <v>7101062986</v>
          </cell>
          <cell r="C11" t="str">
            <v>G2512-2044</v>
          </cell>
          <cell r="D11" t="str">
            <v>000042944000143211</v>
          </cell>
          <cell r="E11" t="str">
            <v>带鞍座双面固定带垫卡箍</v>
          </cell>
          <cell r="F11" t="str">
            <v>Q/611S433-2023</v>
          </cell>
          <cell r="G11" t="str">
            <v>FDF55B</v>
          </cell>
          <cell r="H11" t="str">
            <v/>
          </cell>
          <cell r="I11" t="str">
            <v/>
          </cell>
          <cell r="J11" t="str">
            <v>组件(国产材料)</v>
          </cell>
          <cell r="K11">
            <v>53</v>
          </cell>
          <cell r="L11">
            <v>46036</v>
          </cell>
          <cell r="M11" t="str">
            <v>3-配货完成</v>
          </cell>
        </row>
        <row r="11">
          <cell r="O11">
            <v>0</v>
          </cell>
          <cell r="P11" t="str">
            <v>成都飞机工业（集团）有限责任公司</v>
          </cell>
          <cell r="Q11" t="str">
            <v>80</v>
          </cell>
        </row>
        <row r="11">
          <cell r="U11" t="str">
            <v>010000898494</v>
          </cell>
          <cell r="V11" t="str">
            <v>PANMINGTAO</v>
          </cell>
          <cell r="W11" t="str">
            <v/>
          </cell>
          <cell r="X11" t="str">
            <v>XC-31-1-4</v>
          </cell>
          <cell r="Y11" t="str">
            <v/>
          </cell>
          <cell r="Z11" t="str">
            <v>1902</v>
          </cell>
          <cell r="AA11" t="str">
            <v>1100153602</v>
          </cell>
          <cell r="AB11">
            <v>220</v>
          </cell>
          <cell r="AC11" t="str">
            <v/>
          </cell>
          <cell r="AD11">
            <v>133.57</v>
          </cell>
          <cell r="AE11" t="str">
            <v>G-100015632-250928-0249</v>
          </cell>
          <cell r="AF11" t="str">
            <v>1100153602/80</v>
          </cell>
        </row>
        <row r="12">
          <cell r="B12" t="str">
            <v>7101064380</v>
          </cell>
          <cell r="C12" t="str">
            <v>G2509-2605</v>
          </cell>
          <cell r="D12" t="str">
            <v>000042944320011358</v>
          </cell>
          <cell r="E12" t="str">
            <v>平圆头钛铌铆钉</v>
          </cell>
          <cell r="F12" t="str">
            <v>Q/611S310-2010</v>
          </cell>
          <cell r="G12" t="str">
            <v>30W-8</v>
          </cell>
          <cell r="H12" t="str">
            <v>τ=345-410MPa</v>
          </cell>
          <cell r="I12" t="str">
            <v>蓝色阳极化</v>
          </cell>
          <cell r="J12" t="str">
            <v>Ti45Nb</v>
          </cell>
          <cell r="K12">
            <v>700</v>
          </cell>
          <cell r="L12">
            <v>46038</v>
          </cell>
          <cell r="M12" t="str">
            <v>4-检验完成</v>
          </cell>
        </row>
        <row r="12">
          <cell r="O12">
            <v>0</v>
          </cell>
          <cell r="P12" t="str">
            <v>成都飞机工业（集团）有限责任公司</v>
          </cell>
          <cell r="Q12" t="str">
            <v>40</v>
          </cell>
          <cell r="R12">
            <v>46048</v>
          </cell>
        </row>
        <row r="12">
          <cell r="U12" t="str">
            <v>010000867602</v>
          </cell>
          <cell r="V12" t="str">
            <v>BIAOQIAN4</v>
          </cell>
          <cell r="W12" t="str">
            <v/>
          </cell>
          <cell r="X12" t="str">
            <v>CP-108-A</v>
          </cell>
          <cell r="Y12" t="str">
            <v/>
          </cell>
          <cell r="Z12" t="str">
            <v>1902</v>
          </cell>
          <cell r="AA12" t="str">
            <v>1100158465</v>
          </cell>
          <cell r="AB12">
            <v>700</v>
          </cell>
          <cell r="AC12" t="str">
            <v/>
          </cell>
          <cell r="AD12">
            <v>4.7</v>
          </cell>
          <cell r="AE12" t="str">
            <v>G-100015632-260107-0015</v>
          </cell>
          <cell r="AF12" t="str">
            <v>1100158465/40</v>
          </cell>
        </row>
        <row r="13">
          <cell r="B13" t="str">
            <v>7101066492</v>
          </cell>
          <cell r="C13" t="str">
            <v>G2601-0866</v>
          </cell>
          <cell r="D13" t="str">
            <v>000042944000141286</v>
          </cell>
          <cell r="E13" t="str">
            <v>长圆型单面固定带垫卡箍</v>
          </cell>
          <cell r="F13" t="str">
            <v>Q/611S475-2023</v>
          </cell>
          <cell r="G13" t="str">
            <v>FDF12</v>
          </cell>
          <cell r="H13" t="str">
            <v/>
          </cell>
          <cell r="I13" t="str">
            <v/>
          </cell>
          <cell r="J13" t="str">
            <v>组件(国产材料)</v>
          </cell>
          <cell r="K13">
            <v>66</v>
          </cell>
          <cell r="L13">
            <v>46043</v>
          </cell>
          <cell r="M13" t="str">
            <v>3-配货完成</v>
          </cell>
        </row>
        <row r="13">
          <cell r="O13">
            <v>0</v>
          </cell>
          <cell r="P13" t="str">
            <v>成都飞机工业（集团）有限责任公司</v>
          </cell>
          <cell r="Q13" t="str">
            <v>70</v>
          </cell>
        </row>
        <row r="13">
          <cell r="U13" t="str">
            <v>010000902085</v>
          </cell>
          <cell r="V13" t="str">
            <v>PANMINGTAO</v>
          </cell>
          <cell r="W13" t="str">
            <v/>
          </cell>
          <cell r="X13" t="str">
            <v>XC-31-1-3</v>
          </cell>
          <cell r="Y13" t="str">
            <v/>
          </cell>
          <cell r="Z13" t="str">
            <v>1902</v>
          </cell>
          <cell r="AA13" t="str">
            <v>1100158449</v>
          </cell>
          <cell r="AB13">
            <v>80</v>
          </cell>
          <cell r="AC13" t="str">
            <v/>
          </cell>
          <cell r="AD13">
            <v>57.12</v>
          </cell>
          <cell r="AE13" t="str">
            <v>G-100015632-260107-0012</v>
          </cell>
          <cell r="AF13" t="str">
            <v>1100158449/70</v>
          </cell>
        </row>
        <row r="14">
          <cell r="B14" t="str">
            <v>7101068338</v>
          </cell>
          <cell r="C14" t="str">
            <v>G2512-2408</v>
          </cell>
          <cell r="D14" t="str">
            <v>000042944000142074</v>
          </cell>
          <cell r="E14" t="str">
            <v>带垫P型卡箍</v>
          </cell>
          <cell r="F14" t="str">
            <v>Q/611S422-2017</v>
          </cell>
          <cell r="G14" t="str">
            <v>LBF10B</v>
          </cell>
          <cell r="H14" t="str">
            <v/>
          </cell>
          <cell r="I14" t="str">
            <v/>
          </cell>
          <cell r="J14" t="str">
            <v>组件(国产材料)</v>
          </cell>
          <cell r="K14">
            <v>25</v>
          </cell>
          <cell r="L14">
            <v>46046</v>
          </cell>
          <cell r="M14" t="str">
            <v>3-配货完成</v>
          </cell>
        </row>
        <row r="14">
          <cell r="O14">
            <v>0</v>
          </cell>
          <cell r="P14" t="str">
            <v>成都飞机工业（集团）有限责任公司</v>
          </cell>
          <cell r="Q14" t="str">
            <v>40</v>
          </cell>
        </row>
        <row r="14">
          <cell r="U14" t="str">
            <v>010000899391</v>
          </cell>
          <cell r="V14" t="str">
            <v>PANMINGTAO</v>
          </cell>
          <cell r="W14" t="str">
            <v/>
          </cell>
          <cell r="X14" t="str">
            <v>XC-31-1-3</v>
          </cell>
          <cell r="Y14" t="str">
            <v/>
          </cell>
          <cell r="Z14" t="str">
            <v>1902</v>
          </cell>
          <cell r="AA14" t="str">
            <v>1100155478</v>
          </cell>
          <cell r="AB14">
            <v>850</v>
          </cell>
          <cell r="AC14" t="str">
            <v/>
          </cell>
          <cell r="AD14">
            <v>54</v>
          </cell>
          <cell r="AE14" t="str">
            <v>G-100015632-251107-0283</v>
          </cell>
          <cell r="AF14" t="str">
            <v>1100155478/40</v>
          </cell>
        </row>
        <row r="15">
          <cell r="B15" t="str">
            <v>7101068620</v>
          </cell>
          <cell r="C15" t="str">
            <v>G2601-0863</v>
          </cell>
          <cell r="D15" t="str">
            <v>000042944000139029</v>
          </cell>
          <cell r="E15" t="str">
            <v>长圆型单面固定带垫卡箍</v>
          </cell>
          <cell r="F15" t="str">
            <v>Q/611S475-2023</v>
          </cell>
          <cell r="G15" t="str">
            <v>FDF20</v>
          </cell>
          <cell r="H15" t="str">
            <v/>
          </cell>
          <cell r="I15" t="str">
            <v/>
          </cell>
          <cell r="J15" t="str">
            <v>组件(国产材料)</v>
          </cell>
          <cell r="K15">
            <v>200</v>
          </cell>
          <cell r="L15">
            <v>46046</v>
          </cell>
          <cell r="M15" t="str">
            <v>3-配货完成</v>
          </cell>
        </row>
        <row r="15">
          <cell r="O15">
            <v>0</v>
          </cell>
          <cell r="P15" t="str">
            <v>成都飞机工业（集团）有限责任公司</v>
          </cell>
          <cell r="Q15" t="str">
            <v>80</v>
          </cell>
        </row>
        <row r="15">
          <cell r="U15" t="str">
            <v>010000902079</v>
          </cell>
          <cell r="V15" t="str">
            <v>PANMINGTAO</v>
          </cell>
          <cell r="W15" t="str">
            <v/>
          </cell>
          <cell r="X15" t="str">
            <v>XC-30-1-2</v>
          </cell>
          <cell r="Y15" t="str">
            <v/>
          </cell>
          <cell r="Z15" t="str">
            <v>1902</v>
          </cell>
          <cell r="AA15" t="str">
            <v>1100158449</v>
          </cell>
          <cell r="AB15">
            <v>200</v>
          </cell>
          <cell r="AC15" t="str">
            <v/>
          </cell>
          <cell r="AD15">
            <v>83.08</v>
          </cell>
          <cell r="AE15" t="str">
            <v>G-100015632-260107-0012</v>
          </cell>
          <cell r="AF15" t="str">
            <v>1100158449/80</v>
          </cell>
        </row>
        <row r="16">
          <cell r="B16" t="str">
            <v>7101070702</v>
          </cell>
          <cell r="C16" t="str">
            <v>G2509-3414</v>
          </cell>
          <cell r="D16" t="str">
            <v>000042944320154905</v>
          </cell>
          <cell r="E16" t="str">
            <v>平圆头钛铌铆钉</v>
          </cell>
          <cell r="F16" t="str">
            <v>Q/611S310-2010</v>
          </cell>
          <cell r="G16" t="str">
            <v>30E-8</v>
          </cell>
          <cell r="H16" t="str">
            <v>退火</v>
          </cell>
          <cell r="I16" t="str">
            <v>镀铝</v>
          </cell>
          <cell r="J16" t="str">
            <v>Ti45Nb</v>
          </cell>
          <cell r="K16">
            <v>1537</v>
          </cell>
          <cell r="L16">
            <v>46051</v>
          </cell>
          <cell r="M16" t="str">
            <v>4-检验完成</v>
          </cell>
        </row>
        <row r="16">
          <cell r="O16">
            <v>0</v>
          </cell>
          <cell r="P16" t="str">
            <v>成都飞机工业（集团）有限责任公司</v>
          </cell>
          <cell r="Q16" t="str">
            <v>50</v>
          </cell>
          <cell r="R16">
            <v>46056</v>
          </cell>
        </row>
        <row r="16">
          <cell r="U16" t="str">
            <v>010000870131</v>
          </cell>
          <cell r="V16" t="str">
            <v>BIAOQIAN2</v>
          </cell>
          <cell r="W16" t="str">
            <v/>
          </cell>
          <cell r="X16" t="str">
            <v>CP-108-A</v>
          </cell>
          <cell r="Y16" t="str">
            <v/>
          </cell>
          <cell r="Z16" t="str">
            <v>1902</v>
          </cell>
          <cell r="AA16" t="str">
            <v>1100153638</v>
          </cell>
          <cell r="AB16">
            <v>1600</v>
          </cell>
          <cell r="AC16" t="str">
            <v/>
          </cell>
          <cell r="AD16">
            <v>4.46</v>
          </cell>
          <cell r="AE16" t="str">
            <v>G-100015632-250928-0248</v>
          </cell>
          <cell r="AF16" t="str">
            <v>1100153638/50</v>
          </cell>
        </row>
        <row r="17">
          <cell r="B17" t="str">
            <v>7101071412</v>
          </cell>
          <cell r="C17" t="str">
            <v>G2509-1188</v>
          </cell>
          <cell r="D17" t="str">
            <v>000042944000143864</v>
          </cell>
          <cell r="E17" t="str">
            <v>带垫P型卡箍</v>
          </cell>
          <cell r="F17" t="str">
            <v>Q/611S422-2017</v>
          </cell>
          <cell r="G17" t="str">
            <v>LBF32B</v>
          </cell>
          <cell r="H17" t="str">
            <v/>
          </cell>
          <cell r="I17" t="str">
            <v/>
          </cell>
          <cell r="J17" t="str">
            <v>组件(国产材料)</v>
          </cell>
          <cell r="K17">
            <v>67</v>
          </cell>
          <cell r="L17">
            <v>46053</v>
          </cell>
          <cell r="M17" t="str">
            <v>3-配货完成</v>
          </cell>
        </row>
        <row r="17">
          <cell r="O17">
            <v>0</v>
          </cell>
          <cell r="P17" t="str">
            <v>成都飞机工业（集团）有限责任公司</v>
          </cell>
          <cell r="Q17" t="str">
            <v>180</v>
          </cell>
        </row>
        <row r="17">
          <cell r="U17" t="str">
            <v>010000863272</v>
          </cell>
          <cell r="V17" t="str">
            <v>PANMINGTAO</v>
          </cell>
          <cell r="W17" t="str">
            <v/>
          </cell>
          <cell r="X17" t="str">
            <v>XC-32-1-1-3</v>
          </cell>
          <cell r="Y17" t="str">
            <v/>
          </cell>
          <cell r="Z17" t="str">
            <v>1902</v>
          </cell>
          <cell r="AA17" t="str">
            <v>1100153602</v>
          </cell>
          <cell r="AB17">
            <v>630</v>
          </cell>
          <cell r="AC17" t="str">
            <v/>
          </cell>
          <cell r="AD17">
            <v>80.85</v>
          </cell>
          <cell r="AE17" t="str">
            <v>G-100015632-250928-0249</v>
          </cell>
          <cell r="AF17" t="str">
            <v>1100153602/180</v>
          </cell>
        </row>
        <row r="18">
          <cell r="B18" t="str">
            <v>7101074590</v>
          </cell>
          <cell r="C18" t="str">
            <v>G2507-1026</v>
          </cell>
          <cell r="D18" t="str">
            <v>000042944000142073</v>
          </cell>
          <cell r="E18" t="str">
            <v>带垫P型卡箍</v>
          </cell>
          <cell r="F18" t="str">
            <v>Q/611S422-2017</v>
          </cell>
          <cell r="G18" t="str">
            <v>FDF50B</v>
          </cell>
          <cell r="H18" t="str">
            <v/>
          </cell>
          <cell r="I18" t="str">
            <v/>
          </cell>
          <cell r="J18" t="str">
            <v>组件(国产材料)</v>
          </cell>
          <cell r="K18">
            <v>240</v>
          </cell>
          <cell r="L18">
            <v>46059</v>
          </cell>
          <cell r="M18" t="str">
            <v>3-配货完成</v>
          </cell>
        </row>
        <row r="18">
          <cell r="O18">
            <v>0</v>
          </cell>
          <cell r="P18" t="str">
            <v>成都飞机工业（集团）有限责任公司</v>
          </cell>
          <cell r="Q18" t="str">
            <v>30</v>
          </cell>
        </row>
        <row r="18">
          <cell r="U18" t="str">
            <v>010000844690</v>
          </cell>
          <cell r="V18" t="str">
            <v>PANMINGTAO</v>
          </cell>
          <cell r="W18" t="str">
            <v/>
          </cell>
          <cell r="X18" t="str">
            <v>XC-33-1-5</v>
          </cell>
          <cell r="Y18" t="str">
            <v/>
          </cell>
          <cell r="Z18" t="str">
            <v>1902</v>
          </cell>
          <cell r="AA18" t="str">
            <v>1100160253</v>
          </cell>
          <cell r="AB18">
            <v>240</v>
          </cell>
          <cell r="AC18" t="str">
            <v/>
          </cell>
          <cell r="AD18">
            <v>77</v>
          </cell>
          <cell r="AE18" t="str">
            <v>G-100015632-260205-0075XH</v>
          </cell>
          <cell r="AF18" t="str">
            <v>1100160253/30</v>
          </cell>
        </row>
        <row r="19">
          <cell r="B19" t="str">
            <v>7101074754</v>
          </cell>
          <cell r="C19" t="str">
            <v>G2511-1844</v>
          </cell>
          <cell r="D19" t="str">
            <v>000042944000143860</v>
          </cell>
          <cell r="E19" t="str">
            <v>带垫P型卡箍</v>
          </cell>
          <cell r="F19" t="str">
            <v>Q/611S422-2017</v>
          </cell>
          <cell r="G19" t="str">
            <v>LBF22B</v>
          </cell>
          <cell r="H19" t="str">
            <v/>
          </cell>
          <cell r="I19" t="str">
            <v/>
          </cell>
          <cell r="J19" t="str">
            <v>组件(国产材料)</v>
          </cell>
          <cell r="K19">
            <v>7</v>
          </cell>
          <cell r="L19">
            <v>46059</v>
          </cell>
          <cell r="M19" t="str">
            <v>3-配货完成</v>
          </cell>
        </row>
        <row r="19">
          <cell r="O19">
            <v>0</v>
          </cell>
          <cell r="P19" t="str">
            <v>成都飞机工业（集团）有限责任公司</v>
          </cell>
          <cell r="Q19" t="str">
            <v>280</v>
          </cell>
        </row>
        <row r="19">
          <cell r="U19" t="str">
            <v>010000888642</v>
          </cell>
          <cell r="V19" t="str">
            <v>PANMINGTAO</v>
          </cell>
          <cell r="W19" t="str">
            <v/>
          </cell>
          <cell r="X19" t="str">
            <v>XC-33-1-1-5</v>
          </cell>
          <cell r="Y19" t="str">
            <v/>
          </cell>
          <cell r="Z19" t="str">
            <v>1902</v>
          </cell>
          <cell r="AA19" t="str">
            <v>1100160269</v>
          </cell>
          <cell r="AB19">
            <v>360</v>
          </cell>
          <cell r="AC19" t="str">
            <v/>
          </cell>
          <cell r="AD19">
            <v>75</v>
          </cell>
          <cell r="AE19" t="str">
            <v>G-100015632-260205-0074</v>
          </cell>
          <cell r="AF19" t="str">
            <v>1100160269/280</v>
          </cell>
        </row>
        <row r="20">
          <cell r="B20" t="str">
            <v>7101076007</v>
          </cell>
          <cell r="C20" t="str">
            <v>G2509-1123</v>
          </cell>
          <cell r="D20" t="str">
            <v>000042944320011318</v>
          </cell>
          <cell r="E20" t="str">
            <v>100°沉头钛铌铆钉</v>
          </cell>
          <cell r="F20" t="str">
            <v>Q/611S309-2010</v>
          </cell>
          <cell r="G20" t="str">
            <v>40W-8</v>
          </cell>
          <cell r="H20" t="str">
            <v>τ=345-410MPa</v>
          </cell>
          <cell r="I20" t="str">
            <v>蓝色阳极化</v>
          </cell>
          <cell r="J20" t="str">
            <v>Ti45Nb</v>
          </cell>
          <cell r="K20">
            <v>5196</v>
          </cell>
          <cell r="L20">
            <v>46063</v>
          </cell>
          <cell r="M20" t="str">
            <v>4-检验完成</v>
          </cell>
        </row>
        <row r="20">
          <cell r="O20">
            <v>0</v>
          </cell>
          <cell r="P20" t="str">
            <v>成都飞机工业（集团）有限责任公司</v>
          </cell>
          <cell r="Q20" t="str">
            <v>40</v>
          </cell>
          <cell r="R20">
            <v>46078</v>
          </cell>
        </row>
        <row r="20">
          <cell r="U20" t="str">
            <v>010000862876</v>
          </cell>
          <cell r="V20" t="str">
            <v>BIAOQIAN3</v>
          </cell>
          <cell r="W20" t="str">
            <v/>
          </cell>
          <cell r="X20" t="str">
            <v>CP-108-A</v>
          </cell>
          <cell r="Y20" t="str">
            <v/>
          </cell>
          <cell r="Z20" t="str">
            <v>1902</v>
          </cell>
          <cell r="AA20" t="str">
            <v>1100147965</v>
          </cell>
          <cell r="AB20">
            <v>11680</v>
          </cell>
          <cell r="AC20" t="str">
            <v/>
          </cell>
          <cell r="AD20">
            <v>4.7</v>
          </cell>
          <cell r="AE20" t="str">
            <v>G-100015632-250530-0116</v>
          </cell>
          <cell r="AF20" t="str">
            <v>1100147965/40</v>
          </cell>
        </row>
        <row r="21">
          <cell r="B21" t="str">
            <v>7101077208</v>
          </cell>
          <cell r="C21" t="str">
            <v>G2509-3480</v>
          </cell>
          <cell r="D21" t="str">
            <v>000042944000143858</v>
          </cell>
          <cell r="E21" t="str">
            <v>带垫P型卡箍</v>
          </cell>
          <cell r="F21" t="str">
            <v>Q/611S422-2017</v>
          </cell>
          <cell r="G21" t="str">
            <v>LBF16B</v>
          </cell>
          <cell r="H21" t="str">
            <v/>
          </cell>
          <cell r="I21" t="str">
            <v/>
          </cell>
          <cell r="J21" t="str">
            <v>组件(国产材料)</v>
          </cell>
          <cell r="K21">
            <v>669</v>
          </cell>
          <cell r="L21">
            <v>46065</v>
          </cell>
          <cell r="M21" t="str">
            <v>3-配货完成</v>
          </cell>
        </row>
        <row r="21">
          <cell r="O21">
            <v>0</v>
          </cell>
          <cell r="P21" t="str">
            <v>成都飞机工业（集团）有限责任公司</v>
          </cell>
          <cell r="Q21" t="str">
            <v>170</v>
          </cell>
        </row>
        <row r="21">
          <cell r="U21" t="str">
            <v>010000870280</v>
          </cell>
          <cell r="V21" t="str">
            <v>PANMINGTAO</v>
          </cell>
          <cell r="W21" t="str">
            <v/>
          </cell>
          <cell r="X21" t="str">
            <v>XC-30-1-2</v>
          </cell>
          <cell r="Y21" t="str">
            <v/>
          </cell>
          <cell r="Z21" t="str">
            <v>1902</v>
          </cell>
          <cell r="AA21" t="str">
            <v>1100153602</v>
          </cell>
          <cell r="AB21">
            <v>1060</v>
          </cell>
          <cell r="AC21" t="str">
            <v/>
          </cell>
          <cell r="AD21">
            <v>51.3</v>
          </cell>
          <cell r="AE21" t="str">
            <v>G-100015632-250928-0249</v>
          </cell>
          <cell r="AF21" t="str">
            <v>1100153602/170</v>
          </cell>
        </row>
        <row r="22">
          <cell r="B22" t="str">
            <v>7101079923</v>
          </cell>
          <cell r="C22" t="str">
            <v>G2602-0818</v>
          </cell>
          <cell r="D22" t="str">
            <v>000042944000141905</v>
          </cell>
          <cell r="E22" t="str">
            <v>带垫P型卡箍</v>
          </cell>
          <cell r="F22" t="str">
            <v>Q/611S422-2017</v>
          </cell>
          <cell r="G22" t="str">
            <v>LBF12B</v>
          </cell>
          <cell r="H22" t="str">
            <v/>
          </cell>
          <cell r="I22" t="str">
            <v/>
          </cell>
          <cell r="J22" t="str">
            <v>组件(国产材料)</v>
          </cell>
          <cell r="K22">
            <v>2000</v>
          </cell>
          <cell r="L22">
            <v>46079</v>
          </cell>
          <cell r="M22" t="str">
            <v>3-配货完成</v>
          </cell>
        </row>
        <row r="22">
          <cell r="O22">
            <v>0</v>
          </cell>
          <cell r="P22" t="str">
            <v>成都飞机工业（集团）有限责任公司</v>
          </cell>
          <cell r="Q22" t="str">
            <v>330</v>
          </cell>
        </row>
        <row r="22">
          <cell r="U22" t="str">
            <v>010000913842</v>
          </cell>
          <cell r="V22" t="str">
            <v>PANMINGTAO</v>
          </cell>
          <cell r="W22" t="str">
            <v/>
          </cell>
          <cell r="X22" t="str">
            <v>XC-32-1-5</v>
          </cell>
          <cell r="Y22" t="str">
            <v/>
          </cell>
          <cell r="Z22" t="str">
            <v>1902</v>
          </cell>
          <cell r="AA22" t="str">
            <v>1100160269</v>
          </cell>
          <cell r="AB22">
            <v>2000</v>
          </cell>
          <cell r="AC22" t="str">
            <v/>
          </cell>
          <cell r="AD22">
            <v>51.3</v>
          </cell>
          <cell r="AE22" t="str">
            <v>G-100015632-260205-0074</v>
          </cell>
          <cell r="AF22" t="str">
            <v>1100160269/330</v>
          </cell>
        </row>
        <row r="23">
          <cell r="B23" t="str">
            <v>7101079938</v>
          </cell>
          <cell r="C23" t="str">
            <v>G2601-2549</v>
          </cell>
          <cell r="D23" t="str">
            <v>000042944000138770</v>
          </cell>
          <cell r="E23" t="str">
            <v>带鞍座双面固定带垫卡箍</v>
          </cell>
          <cell r="F23" t="str">
            <v>Q/611S433-2023</v>
          </cell>
          <cell r="G23" t="str">
            <v>FDF22</v>
          </cell>
          <cell r="H23" t="str">
            <v/>
          </cell>
          <cell r="I23" t="str">
            <v/>
          </cell>
          <cell r="J23" t="str">
            <v>组件(国产材料)</v>
          </cell>
          <cell r="K23">
            <v>8</v>
          </cell>
          <cell r="L23">
            <v>46079</v>
          </cell>
          <cell r="M23" t="str">
            <v>3-配货完成</v>
          </cell>
        </row>
        <row r="23">
          <cell r="O23">
            <v>0</v>
          </cell>
          <cell r="P23" t="str">
            <v>成都飞机工业（集团）有限责任公司</v>
          </cell>
          <cell r="Q23" t="str">
            <v>20</v>
          </cell>
        </row>
        <row r="23">
          <cell r="U23" t="str">
            <v>010000909564</v>
          </cell>
          <cell r="V23" t="str">
            <v>PANMINGTAO</v>
          </cell>
          <cell r="W23" t="str">
            <v/>
          </cell>
          <cell r="X23" t="str">
            <v>XC-33-1-2</v>
          </cell>
          <cell r="Y23" t="str">
            <v/>
          </cell>
          <cell r="Z23" t="str">
            <v>1902</v>
          </cell>
          <cell r="AA23" t="str">
            <v>1100156274</v>
          </cell>
          <cell r="AB23">
            <v>280</v>
          </cell>
          <cell r="AC23" t="str">
            <v/>
          </cell>
          <cell r="AD23">
            <v>98.59</v>
          </cell>
          <cell r="AE23" t="str">
            <v>G-100015632-251124-0306</v>
          </cell>
          <cell r="AF23" t="str">
            <v>1100156274/20</v>
          </cell>
        </row>
        <row r="24">
          <cell r="B24" t="str">
            <v>7101079944</v>
          </cell>
          <cell r="C24" t="str">
            <v>G2602-0823</v>
          </cell>
          <cell r="D24" t="str">
            <v>000042944000143210</v>
          </cell>
          <cell r="E24" t="str">
            <v>带鞍座双面固定带垫卡箍</v>
          </cell>
          <cell r="F24" t="str">
            <v>Q/611S433-2023</v>
          </cell>
          <cell r="G24" t="str">
            <v>FDF50B</v>
          </cell>
          <cell r="H24" t="str">
            <v/>
          </cell>
          <cell r="I24" t="str">
            <v/>
          </cell>
          <cell r="J24" t="str">
            <v>组件(国产材料)</v>
          </cell>
          <cell r="K24">
            <v>44</v>
          </cell>
          <cell r="L24">
            <v>46079</v>
          </cell>
          <cell r="M24" t="str">
            <v>3-配货完成</v>
          </cell>
        </row>
        <row r="24">
          <cell r="O24">
            <v>0</v>
          </cell>
          <cell r="P24" t="str">
            <v>成都飞机工业（集团）有限责任公司</v>
          </cell>
          <cell r="Q24" t="str">
            <v>90</v>
          </cell>
        </row>
        <row r="24">
          <cell r="U24" t="str">
            <v>010000913847</v>
          </cell>
          <cell r="V24" t="str">
            <v>PANMINGTAO</v>
          </cell>
          <cell r="W24" t="str">
            <v/>
          </cell>
          <cell r="X24" t="str">
            <v>XC-33-1-3</v>
          </cell>
          <cell r="Y24" t="str">
            <v/>
          </cell>
          <cell r="Z24" t="str">
            <v>1902</v>
          </cell>
          <cell r="AA24" t="str">
            <v>1100160269</v>
          </cell>
          <cell r="AB24">
            <v>50</v>
          </cell>
          <cell r="AC24" t="str">
            <v/>
          </cell>
          <cell r="AD24">
            <v>114.46</v>
          </cell>
          <cell r="AE24" t="str">
            <v>G-100015632-260205-0074</v>
          </cell>
          <cell r="AF24" t="str">
            <v>1100160269/90</v>
          </cell>
        </row>
        <row r="25">
          <cell r="B25" t="str">
            <v>7101079950</v>
          </cell>
          <cell r="C25" t="str">
            <v>G2602-0807</v>
          </cell>
          <cell r="D25" t="str">
            <v>000036200000145122</v>
          </cell>
          <cell r="E25" t="str">
            <v>带垫P型卡箍</v>
          </cell>
          <cell r="F25" t="str">
            <v>Q/611S422-2017</v>
          </cell>
          <cell r="G25" t="str">
            <v>LBF36B</v>
          </cell>
          <cell r="H25" t="str">
            <v/>
          </cell>
          <cell r="I25" t="str">
            <v/>
          </cell>
          <cell r="J25" t="str">
            <v>组件(国产材料)</v>
          </cell>
          <cell r="K25">
            <v>427</v>
          </cell>
          <cell r="L25">
            <v>46079</v>
          </cell>
          <cell r="M25" t="str">
            <v>3-配货完成</v>
          </cell>
        </row>
        <row r="25">
          <cell r="O25">
            <v>0</v>
          </cell>
          <cell r="P25" t="str">
            <v>成都飞机工业（集团）有限责任公司</v>
          </cell>
          <cell r="Q25" t="str">
            <v>340</v>
          </cell>
        </row>
        <row r="25">
          <cell r="U25" t="str">
            <v>010000913831</v>
          </cell>
          <cell r="V25" t="str">
            <v>PANMINGTAO</v>
          </cell>
          <cell r="W25" t="str">
            <v/>
          </cell>
          <cell r="X25" t="str">
            <v>XC-33-1-3</v>
          </cell>
          <cell r="Y25" t="str">
            <v/>
          </cell>
          <cell r="Z25" t="str">
            <v>1902</v>
          </cell>
          <cell r="AA25" t="str">
            <v>1100160269</v>
          </cell>
          <cell r="AB25">
            <v>450</v>
          </cell>
          <cell r="AC25" t="str">
            <v/>
          </cell>
          <cell r="AD25">
            <v>80.85</v>
          </cell>
          <cell r="AE25" t="str">
            <v>G-100015632-260205-0074</v>
          </cell>
          <cell r="AF25" t="str">
            <v>1100160269/340</v>
          </cell>
        </row>
        <row r="26">
          <cell r="B26" t="str">
            <v>7101079953</v>
          </cell>
          <cell r="C26" t="str">
            <v>G2602-0813</v>
          </cell>
          <cell r="D26" t="str">
            <v>000042944000139014</v>
          </cell>
          <cell r="E26" t="str">
            <v>带鞍座双面固定带垫卡箍</v>
          </cell>
          <cell r="F26" t="str">
            <v>Q/611S433-2023</v>
          </cell>
          <cell r="G26" t="str">
            <v>FDF22B</v>
          </cell>
          <cell r="H26" t="str">
            <v/>
          </cell>
          <cell r="I26" t="str">
            <v/>
          </cell>
          <cell r="J26" t="str">
            <v>组件(国产材料)</v>
          </cell>
          <cell r="K26">
            <v>38</v>
          </cell>
          <cell r="L26">
            <v>46079</v>
          </cell>
          <cell r="M26" t="str">
            <v>3-配货完成</v>
          </cell>
        </row>
        <row r="26">
          <cell r="O26">
            <v>0</v>
          </cell>
          <cell r="P26" t="str">
            <v>成都飞机工业（集团）有限责任公司</v>
          </cell>
          <cell r="Q26" t="str">
            <v>360</v>
          </cell>
        </row>
        <row r="26">
          <cell r="U26" t="str">
            <v>010000913837</v>
          </cell>
          <cell r="V26" t="str">
            <v>PANMINGTAO</v>
          </cell>
          <cell r="W26" t="str">
            <v/>
          </cell>
          <cell r="X26" t="str">
            <v>XC-33-1-2</v>
          </cell>
          <cell r="Y26" t="str">
            <v/>
          </cell>
          <cell r="Z26" t="str">
            <v>1902</v>
          </cell>
          <cell r="AA26" t="str">
            <v>1100160269</v>
          </cell>
          <cell r="AB26">
            <v>50</v>
          </cell>
          <cell r="AC26" t="str">
            <v/>
          </cell>
          <cell r="AD26">
            <v>90.7</v>
          </cell>
          <cell r="AE26" t="str">
            <v>G-100015632-260205-0074</v>
          </cell>
          <cell r="AF26" t="str">
            <v>1100160269/360</v>
          </cell>
        </row>
        <row r="27">
          <cell r="B27" t="str">
            <v>7101082097</v>
          </cell>
          <cell r="C27" t="str">
            <v>G2507-1026</v>
          </cell>
          <cell r="D27" t="str">
            <v>000042944000142073</v>
          </cell>
          <cell r="E27" t="str">
            <v>带垫P型卡箍</v>
          </cell>
          <cell r="F27" t="str">
            <v>Q/611S422-2017</v>
          </cell>
          <cell r="G27" t="str">
            <v>FDF50B</v>
          </cell>
          <cell r="H27" t="str">
            <v/>
          </cell>
          <cell r="I27" t="str">
            <v/>
          </cell>
          <cell r="J27" t="str">
            <v>组件(国产材料)</v>
          </cell>
          <cell r="K27">
            <v>170</v>
          </cell>
          <cell r="L27">
            <v>46084</v>
          </cell>
          <cell r="M27" t="str">
            <v>3-配货完成</v>
          </cell>
        </row>
        <row r="27">
          <cell r="O27">
            <v>0</v>
          </cell>
          <cell r="P27" t="str">
            <v>成都飞机工业（集团）有限责任公司</v>
          </cell>
          <cell r="Q27" t="str">
            <v>30</v>
          </cell>
        </row>
        <row r="27">
          <cell r="U27" t="str">
            <v>010000844690</v>
          </cell>
          <cell r="V27" t="str">
            <v>PANMINGTAO</v>
          </cell>
          <cell r="W27" t="str">
            <v/>
          </cell>
          <cell r="X27" t="str">
            <v>XC-33-1-5</v>
          </cell>
          <cell r="Y27" t="str">
            <v/>
          </cell>
          <cell r="Z27" t="str">
            <v>1902</v>
          </cell>
          <cell r="AA27" t="str">
            <v>1100160865</v>
          </cell>
          <cell r="AB27">
            <v>170</v>
          </cell>
          <cell r="AC27" t="str">
            <v/>
          </cell>
          <cell r="AD27">
            <v>77</v>
          </cell>
          <cell r="AE27" t="str">
            <v>G-100015632-260227-0090XH</v>
          </cell>
          <cell r="AF27" t="str">
            <v>1100160865/30</v>
          </cell>
        </row>
        <row r="28">
          <cell r="B28" t="str">
            <v>7101083566</v>
          </cell>
          <cell r="C28" t="str">
            <v>G2602-1171</v>
          </cell>
          <cell r="D28" t="str">
            <v>000036200000136261</v>
          </cell>
          <cell r="E28" t="str">
            <v>带垫P型卡箍</v>
          </cell>
          <cell r="F28" t="str">
            <v>Q/611S422-2017</v>
          </cell>
          <cell r="G28" t="str">
            <v>LBF20B</v>
          </cell>
          <cell r="H28" t="str">
            <v/>
          </cell>
          <cell r="I28" t="str">
            <v/>
          </cell>
          <cell r="J28" t="str">
            <v>组件(国产材料)</v>
          </cell>
          <cell r="K28">
            <v>7</v>
          </cell>
          <cell r="L28">
            <v>46087</v>
          </cell>
          <cell r="M28" t="str">
            <v>3-配货完成</v>
          </cell>
        </row>
        <row r="28">
          <cell r="O28">
            <v>0</v>
          </cell>
          <cell r="P28" t="str">
            <v>成都飞机工业（集团）有限责任公司</v>
          </cell>
          <cell r="Q28" t="str">
            <v>150</v>
          </cell>
        </row>
        <row r="28">
          <cell r="U28" t="str">
            <v>010000915794</v>
          </cell>
          <cell r="V28" t="str">
            <v>PANMINGTAO</v>
          </cell>
          <cell r="W28" t="str">
            <v/>
          </cell>
          <cell r="X28" t="str">
            <v>XC-33-1-5</v>
          </cell>
          <cell r="Y28" t="str">
            <v/>
          </cell>
          <cell r="Z28" t="str">
            <v>1902</v>
          </cell>
          <cell r="AA28" t="str">
            <v>1100160905</v>
          </cell>
          <cell r="AB28">
            <v>1180</v>
          </cell>
          <cell r="AC28" t="str">
            <v/>
          </cell>
          <cell r="AD28">
            <v>77.78</v>
          </cell>
          <cell r="AE28" t="str">
            <v>G-100015632-260227-0091</v>
          </cell>
          <cell r="AF28" t="str">
            <v>1100160905/150</v>
          </cell>
        </row>
        <row r="29">
          <cell r="B29" t="str">
            <v>7101084529</v>
          </cell>
          <cell r="C29" t="str">
            <v>G2504-0842</v>
          </cell>
          <cell r="D29" t="str">
            <v>000042944000003188</v>
          </cell>
          <cell r="E29" t="str">
            <v>卡箍</v>
          </cell>
          <cell r="F29" t="str">
            <v>Q/3A3-24GD-1(XTJ)</v>
          </cell>
          <cell r="G29" t="str">
            <v>-</v>
          </cell>
          <cell r="H29" t="str">
            <v/>
          </cell>
          <cell r="I29" t="str">
            <v>镀锌钝化</v>
          </cell>
          <cell r="J29" t="str">
            <v>组件(20)</v>
          </cell>
          <cell r="K29">
            <v>4</v>
          </cell>
          <cell r="L29">
            <v>46088</v>
          </cell>
          <cell r="M29" t="str">
            <v>4-检验完成</v>
          </cell>
        </row>
        <row r="29">
          <cell r="O29">
            <v>0</v>
          </cell>
          <cell r="P29" t="str">
            <v>成都飞机工业（集团）有限责任公司</v>
          </cell>
          <cell r="Q29" t="str">
            <v>10</v>
          </cell>
          <cell r="R29">
            <v>46128</v>
          </cell>
        </row>
        <row r="29">
          <cell r="U29" t="str">
            <v>010000806807</v>
          </cell>
          <cell r="V29" t="str">
            <v>BIAOQIAN2</v>
          </cell>
          <cell r="W29" t="str">
            <v/>
          </cell>
          <cell r="X29" t="str">
            <v>CP-4-2-3-2</v>
          </cell>
          <cell r="Y29" t="str">
            <v/>
          </cell>
          <cell r="Z29" t="str">
            <v>1902</v>
          </cell>
          <cell r="AA29" t="str">
            <v>1100160907</v>
          </cell>
          <cell r="AB29">
            <v>30</v>
          </cell>
          <cell r="AC29" t="str">
            <v/>
          </cell>
          <cell r="AD29">
            <v>22.41</v>
          </cell>
          <cell r="AE29" t="str">
            <v>G-100015632-260227-0087</v>
          </cell>
          <cell r="AF29" t="str">
            <v>1100160907/10</v>
          </cell>
        </row>
        <row r="30">
          <cell r="B30" t="str">
            <v>7101084529</v>
          </cell>
          <cell r="C30" t="str">
            <v>G2603-0106</v>
          </cell>
          <cell r="D30" t="str">
            <v>000042944000003188</v>
          </cell>
          <cell r="E30" t="str">
            <v>卡箍</v>
          </cell>
          <cell r="F30" t="str">
            <v>Q/3A3-24GD-1(XTJ)</v>
          </cell>
          <cell r="G30" t="str">
            <v>-</v>
          </cell>
          <cell r="H30" t="str">
            <v/>
          </cell>
          <cell r="I30" t="str">
            <v>镀锌钝化</v>
          </cell>
          <cell r="J30" t="str">
            <v>组件(20)</v>
          </cell>
          <cell r="K30">
            <v>26</v>
          </cell>
          <cell r="L30">
            <v>46088</v>
          </cell>
          <cell r="M30" t="str">
            <v>4-检验完成</v>
          </cell>
        </row>
        <row r="30">
          <cell r="O30">
            <v>0</v>
          </cell>
          <cell r="P30" t="str">
            <v>成都飞机工业（集团）有限责任公司</v>
          </cell>
          <cell r="Q30" t="str">
            <v>10</v>
          </cell>
          <cell r="R30">
            <v>46128</v>
          </cell>
        </row>
        <row r="30">
          <cell r="U30" t="str">
            <v>010000919994</v>
          </cell>
          <cell r="V30" t="str">
            <v>BIAOQIAN2</v>
          </cell>
          <cell r="W30" t="str">
            <v/>
          </cell>
          <cell r="X30" t="str">
            <v>CP-108-A</v>
          </cell>
          <cell r="Y30" t="str">
            <v/>
          </cell>
          <cell r="Z30" t="str">
            <v>1902</v>
          </cell>
          <cell r="AA30" t="str">
            <v>1100160907</v>
          </cell>
          <cell r="AB30">
            <v>30</v>
          </cell>
          <cell r="AC30" t="str">
            <v/>
          </cell>
          <cell r="AD30">
            <v>22.41</v>
          </cell>
          <cell r="AE30" t="str">
            <v>G-100015632-260227-0087</v>
          </cell>
          <cell r="AF30" t="str">
            <v>1100160907/10</v>
          </cell>
        </row>
        <row r="31">
          <cell r="B31" t="str">
            <v>7101085526</v>
          </cell>
          <cell r="C31" t="str">
            <v>G2602-0818</v>
          </cell>
          <cell r="D31" t="str">
            <v>000042944000141905</v>
          </cell>
          <cell r="E31" t="str">
            <v>带垫P型卡箍</v>
          </cell>
          <cell r="F31" t="str">
            <v>Q/611S422-2017</v>
          </cell>
          <cell r="G31" t="str">
            <v>LBF12B</v>
          </cell>
          <cell r="H31" t="str">
            <v/>
          </cell>
          <cell r="I31" t="str">
            <v/>
          </cell>
          <cell r="J31" t="str">
            <v>组件(国产材料)</v>
          </cell>
          <cell r="K31">
            <v>240</v>
          </cell>
          <cell r="L31">
            <v>46091</v>
          </cell>
          <cell r="M31" t="str">
            <v>3-配货完成</v>
          </cell>
        </row>
        <row r="31">
          <cell r="O31">
            <v>0</v>
          </cell>
          <cell r="P31" t="str">
            <v>成都飞机工业（集团）有限责任公司</v>
          </cell>
          <cell r="Q31" t="str">
            <v>40</v>
          </cell>
        </row>
        <row r="31">
          <cell r="U31" t="str">
            <v>010000913842</v>
          </cell>
          <cell r="V31" t="str">
            <v>PANMINGTAO</v>
          </cell>
          <cell r="W31" t="str">
            <v/>
          </cell>
          <cell r="X31" t="str">
            <v>XC-32-1-5</v>
          </cell>
          <cell r="Y31" t="str">
            <v/>
          </cell>
          <cell r="Z31" t="str">
            <v>1902</v>
          </cell>
          <cell r="AA31" t="str">
            <v>1100160269</v>
          </cell>
          <cell r="AB31">
            <v>650</v>
          </cell>
          <cell r="AC31" t="str">
            <v/>
          </cell>
          <cell r="AD31">
            <v>54</v>
          </cell>
          <cell r="AE31" t="str">
            <v>G-100015632-260205-0074</v>
          </cell>
          <cell r="AF31" t="str">
            <v>1100160269/40</v>
          </cell>
        </row>
        <row r="32">
          <cell r="B32" t="str">
            <v>7101088290</v>
          </cell>
          <cell r="C32" t="str">
            <v>G2509-3480</v>
          </cell>
          <cell r="D32" t="str">
            <v>000042944000143858</v>
          </cell>
          <cell r="E32" t="str">
            <v>带垫P型卡箍</v>
          </cell>
          <cell r="F32" t="str">
            <v>Q/611S422-2017</v>
          </cell>
          <cell r="G32" t="str">
            <v>LBF16B</v>
          </cell>
          <cell r="H32" t="str">
            <v/>
          </cell>
          <cell r="I32" t="str">
            <v/>
          </cell>
          <cell r="J32" t="str">
            <v>组件(国产材料)</v>
          </cell>
          <cell r="K32">
            <v>34</v>
          </cell>
          <cell r="L32">
            <v>46098</v>
          </cell>
          <cell r="M32" t="str">
            <v>3-配货完成</v>
          </cell>
        </row>
        <row r="32">
          <cell r="O32">
            <v>0</v>
          </cell>
          <cell r="P32" t="str">
            <v>成都飞机工业（集团）有限责任公司</v>
          </cell>
          <cell r="Q32" t="str">
            <v>110</v>
          </cell>
        </row>
        <row r="32">
          <cell r="U32" t="str">
            <v>010000870280</v>
          </cell>
          <cell r="V32" t="str">
            <v>PANMINGTAO</v>
          </cell>
          <cell r="W32" t="str">
            <v/>
          </cell>
          <cell r="X32" t="str">
            <v>XC-30-1-2</v>
          </cell>
          <cell r="Y32" t="str">
            <v/>
          </cell>
          <cell r="Z32" t="str">
            <v>1902</v>
          </cell>
          <cell r="AA32" t="str">
            <v>1100158449</v>
          </cell>
          <cell r="AB32">
            <v>830</v>
          </cell>
          <cell r="AC32" t="str">
            <v/>
          </cell>
          <cell r="AD32">
            <v>51.3</v>
          </cell>
          <cell r="AE32" t="str">
            <v>G-100015632-260107-0012</v>
          </cell>
          <cell r="AF32" t="str">
            <v>1100158449/110</v>
          </cell>
        </row>
        <row r="33">
          <cell r="B33" t="str">
            <v>7101089031</v>
          </cell>
          <cell r="C33" t="str">
            <v>G2603-0128</v>
          </cell>
          <cell r="D33" t="str">
            <v>000042944000138778</v>
          </cell>
          <cell r="E33" t="str">
            <v>带鞍座双面固定带垫卡箍</v>
          </cell>
          <cell r="F33" t="str">
            <v>Q/611S433-2023</v>
          </cell>
          <cell r="G33" t="str">
            <v>FDF70</v>
          </cell>
          <cell r="H33" t="str">
            <v/>
          </cell>
          <cell r="I33" t="str">
            <v/>
          </cell>
          <cell r="J33" t="str">
            <v>组件(国产材料)</v>
          </cell>
          <cell r="K33">
            <v>330</v>
          </cell>
          <cell r="L33">
            <v>46099</v>
          </cell>
          <cell r="M33" t="str">
            <v>3-配货完成</v>
          </cell>
        </row>
        <row r="33">
          <cell r="O33">
            <v>0</v>
          </cell>
          <cell r="P33" t="str">
            <v>成都飞机工业（集团）有限责任公司</v>
          </cell>
          <cell r="Q33" t="str">
            <v>180</v>
          </cell>
        </row>
        <row r="33">
          <cell r="U33" t="str">
            <v>010000919962</v>
          </cell>
          <cell r="V33" t="str">
            <v>PANMINGTAO</v>
          </cell>
          <cell r="W33" t="str">
            <v/>
          </cell>
          <cell r="X33" t="str">
            <v>XC-32-1-5</v>
          </cell>
          <cell r="Y33" t="str">
            <v/>
          </cell>
          <cell r="Z33" t="str">
            <v>1902</v>
          </cell>
          <cell r="AA33" t="str">
            <v>1100160905</v>
          </cell>
          <cell r="AB33">
            <v>330</v>
          </cell>
          <cell r="AC33" t="str">
            <v/>
          </cell>
          <cell r="AD33">
            <v>122.88</v>
          </cell>
          <cell r="AE33" t="str">
            <v>G-100015632-260227-0091</v>
          </cell>
          <cell r="AF33" t="str">
            <v>1100160905/180</v>
          </cell>
        </row>
        <row r="34">
          <cell r="B34" t="str">
            <v>7101089243</v>
          </cell>
          <cell r="C34" t="str">
            <v>G2510-1693</v>
          </cell>
          <cell r="D34" t="str">
            <v>000042944319051628</v>
          </cell>
          <cell r="E34" t="str">
            <v>侧面托板螺母组件</v>
          </cell>
          <cell r="F34" t="str">
            <v>Q/611S352-2009(XTJ)</v>
          </cell>
          <cell r="G34" t="str">
            <v>A-MJ4×0.7-2</v>
          </cell>
          <cell r="H34" t="str">
            <v/>
          </cell>
          <cell r="I34" t="str">
            <v/>
          </cell>
          <cell r="J34" t="str">
            <v>组件</v>
          </cell>
          <cell r="K34">
            <v>29</v>
          </cell>
          <cell r="L34">
            <v>46100</v>
          </cell>
          <cell r="M34" t="str">
            <v>4-检验完成</v>
          </cell>
        </row>
        <row r="34">
          <cell r="O34">
            <v>0</v>
          </cell>
          <cell r="P34" t="str">
            <v>成都飞机工业（集团）有限责任公司</v>
          </cell>
          <cell r="Q34" t="str">
            <v>40</v>
          </cell>
          <cell r="R34">
            <v>46122</v>
          </cell>
        </row>
        <row r="34">
          <cell r="U34" t="str">
            <v>010000877838</v>
          </cell>
          <cell r="V34" t="str">
            <v>BIAOQIAN4</v>
          </cell>
          <cell r="W34" t="str">
            <v/>
          </cell>
          <cell r="X34" t="str">
            <v>CP-108-A</v>
          </cell>
          <cell r="Y34" t="str">
            <v/>
          </cell>
          <cell r="Z34" t="str">
            <v>1902</v>
          </cell>
          <cell r="AA34" t="str">
            <v>1100152644</v>
          </cell>
          <cell r="AB34">
            <v>246</v>
          </cell>
          <cell r="AC34" t="str">
            <v/>
          </cell>
          <cell r="AD34">
            <v>20.64</v>
          </cell>
          <cell r="AE34" t="str">
            <v>G-100015632-250905-0231</v>
          </cell>
          <cell r="AF34" t="str">
            <v>1100152644/40</v>
          </cell>
        </row>
        <row r="35">
          <cell r="B35" t="str">
            <v>7101089796</v>
          </cell>
          <cell r="C35" t="str">
            <v>G2511-0769</v>
          </cell>
          <cell r="D35" t="str">
            <v>000042944000156715</v>
          </cell>
          <cell r="E35" t="str">
            <v>17-7PH带垫P型卡箍</v>
          </cell>
          <cell r="F35" t="str">
            <v>Q/611S538-2017</v>
          </cell>
          <cell r="G35" t="str">
            <v>F18</v>
          </cell>
          <cell r="H35" t="str">
            <v/>
          </cell>
          <cell r="I35" t="str">
            <v/>
          </cell>
          <cell r="J35" t="str">
            <v>组件(国产材料)</v>
          </cell>
          <cell r="K35">
            <v>12</v>
          </cell>
          <cell r="L35">
            <v>46101</v>
          </cell>
          <cell r="M35" t="str">
            <v>3-配货完成</v>
          </cell>
        </row>
        <row r="35">
          <cell r="O35">
            <v>0</v>
          </cell>
          <cell r="P35" t="str">
            <v>成都飞机工业（集团）有限责任公司</v>
          </cell>
          <cell r="Q35" t="str">
            <v>160</v>
          </cell>
        </row>
        <row r="35">
          <cell r="U35" t="str">
            <v>010000882525</v>
          </cell>
          <cell r="V35" t="str">
            <v>PANMINGTAO</v>
          </cell>
          <cell r="W35" t="str">
            <v/>
          </cell>
          <cell r="X35" t="str">
            <v>XC-31-1-2</v>
          </cell>
          <cell r="Y35" t="str">
            <v/>
          </cell>
          <cell r="Z35" t="str">
            <v>1902</v>
          </cell>
          <cell r="AA35" t="str">
            <v>1100155478</v>
          </cell>
          <cell r="AB35">
            <v>50</v>
          </cell>
          <cell r="AC35" t="str">
            <v/>
          </cell>
          <cell r="AD35">
            <v>75.31</v>
          </cell>
          <cell r="AE35" t="str">
            <v>G-100015632-251107-0283</v>
          </cell>
          <cell r="AF35" t="str">
            <v>1100155478/160</v>
          </cell>
        </row>
        <row r="36">
          <cell r="B36" t="str">
            <v>7101089798</v>
          </cell>
          <cell r="C36" t="str">
            <v>G2511-0769</v>
          </cell>
          <cell r="D36" t="str">
            <v>000042944000156715</v>
          </cell>
          <cell r="E36" t="str">
            <v>17-7PH带垫P型卡箍</v>
          </cell>
          <cell r="F36" t="str">
            <v>Q/611S538-2017</v>
          </cell>
          <cell r="G36" t="str">
            <v>F18</v>
          </cell>
          <cell r="H36" t="str">
            <v/>
          </cell>
          <cell r="I36" t="str">
            <v/>
          </cell>
          <cell r="J36" t="str">
            <v>组件(国产材料)</v>
          </cell>
          <cell r="K36">
            <v>17</v>
          </cell>
          <cell r="L36">
            <v>46101</v>
          </cell>
          <cell r="M36" t="str">
            <v>3-配货完成</v>
          </cell>
        </row>
        <row r="36">
          <cell r="O36">
            <v>0</v>
          </cell>
          <cell r="P36" t="str">
            <v>成都飞机工业（集团）有限责任公司</v>
          </cell>
          <cell r="Q36" t="str">
            <v>30</v>
          </cell>
        </row>
        <row r="36">
          <cell r="U36" t="str">
            <v>010000882525</v>
          </cell>
          <cell r="V36" t="str">
            <v>PANMINGTAO</v>
          </cell>
          <cell r="W36" t="str">
            <v/>
          </cell>
          <cell r="X36" t="str">
            <v>XC-31-1-2</v>
          </cell>
          <cell r="Y36" t="str">
            <v/>
          </cell>
          <cell r="Z36" t="str">
            <v>1902</v>
          </cell>
          <cell r="AA36" t="str">
            <v>1100158449</v>
          </cell>
          <cell r="AB36">
            <v>110</v>
          </cell>
          <cell r="AC36" t="str">
            <v/>
          </cell>
          <cell r="AD36">
            <v>75.31</v>
          </cell>
          <cell r="AE36" t="str">
            <v>G-100015632-260107-0012</v>
          </cell>
          <cell r="AF36" t="str">
            <v>1100158449/30</v>
          </cell>
        </row>
        <row r="37">
          <cell r="B37" t="str">
            <v>7101089800</v>
          </cell>
          <cell r="C37" t="str">
            <v>G2603-0132</v>
          </cell>
          <cell r="D37" t="str">
            <v>000042944000143210</v>
          </cell>
          <cell r="E37" t="str">
            <v>带鞍座双面固定带垫卡箍</v>
          </cell>
          <cell r="F37" t="str">
            <v>Q/611S433-2023</v>
          </cell>
          <cell r="G37" t="str">
            <v>FDF50B</v>
          </cell>
          <cell r="H37" t="str">
            <v/>
          </cell>
          <cell r="I37" t="str">
            <v/>
          </cell>
          <cell r="J37" t="str">
            <v>组件(国产材料)</v>
          </cell>
          <cell r="K37">
            <v>70</v>
          </cell>
          <cell r="L37">
            <v>46101</v>
          </cell>
          <cell r="M37" t="str">
            <v>3-配货完成</v>
          </cell>
        </row>
        <row r="37">
          <cell r="O37">
            <v>0</v>
          </cell>
          <cell r="P37" t="str">
            <v>成都飞机工业（集团）有限责任公司</v>
          </cell>
          <cell r="Q37" t="str">
            <v>220</v>
          </cell>
        </row>
        <row r="37">
          <cell r="U37" t="str">
            <v>010000919966</v>
          </cell>
          <cell r="V37" t="str">
            <v>PANMINGTAO</v>
          </cell>
          <cell r="W37" t="str">
            <v/>
          </cell>
          <cell r="X37" t="str">
            <v>XC-30-1-2</v>
          </cell>
          <cell r="Y37" t="str">
            <v/>
          </cell>
          <cell r="Z37" t="str">
            <v>1902</v>
          </cell>
          <cell r="AA37" t="str">
            <v>1100160905</v>
          </cell>
          <cell r="AB37">
            <v>70</v>
          </cell>
          <cell r="AC37" t="str">
            <v/>
          </cell>
          <cell r="AD37">
            <v>114.46</v>
          </cell>
          <cell r="AE37" t="str">
            <v>G-100015632-260227-0091</v>
          </cell>
          <cell r="AF37" t="str">
            <v>1100160905/220</v>
          </cell>
        </row>
        <row r="38">
          <cell r="B38" t="str">
            <v>7101092597</v>
          </cell>
          <cell r="C38" t="str">
            <v>G2602-0817</v>
          </cell>
          <cell r="D38" t="str">
            <v>000042944000141905</v>
          </cell>
          <cell r="E38" t="str">
            <v>带垫P型卡箍</v>
          </cell>
          <cell r="F38" t="str">
            <v>Q/611S422-2017</v>
          </cell>
          <cell r="G38" t="str">
            <v>LBF12B</v>
          </cell>
          <cell r="H38" t="str">
            <v/>
          </cell>
          <cell r="I38" t="str">
            <v/>
          </cell>
          <cell r="J38" t="str">
            <v>组件(国产材料)</v>
          </cell>
          <cell r="K38">
            <v>394</v>
          </cell>
          <cell r="L38">
            <v>46106</v>
          </cell>
          <cell r="M38" t="str">
            <v>3-配货完成</v>
          </cell>
        </row>
        <row r="38">
          <cell r="O38">
            <v>0</v>
          </cell>
          <cell r="P38" t="str">
            <v>成都飞机工业（集团）有限责任公司</v>
          </cell>
          <cell r="Q38" t="str">
            <v>40</v>
          </cell>
        </row>
        <row r="38">
          <cell r="U38" t="str">
            <v>010000913841</v>
          </cell>
          <cell r="V38" t="str">
            <v>PANMINGTAO</v>
          </cell>
          <cell r="W38" t="str">
            <v/>
          </cell>
          <cell r="X38" t="str">
            <v>XC-31-1-2</v>
          </cell>
          <cell r="Y38" t="str">
            <v/>
          </cell>
          <cell r="Z38" t="str">
            <v>1902</v>
          </cell>
          <cell r="AA38" t="str">
            <v>1100160269</v>
          </cell>
          <cell r="AB38">
            <v>650</v>
          </cell>
          <cell r="AC38" t="str">
            <v/>
          </cell>
          <cell r="AD38">
            <v>54</v>
          </cell>
          <cell r="AE38" t="str">
            <v>G-100015632-260205-0074</v>
          </cell>
          <cell r="AF38" t="str">
            <v>1100160269/40</v>
          </cell>
        </row>
        <row r="39">
          <cell r="B39" t="str">
            <v>7101092903</v>
          </cell>
          <cell r="C39" t="str">
            <v>G2602-0821</v>
          </cell>
          <cell r="D39" t="str">
            <v>000042944000142077</v>
          </cell>
          <cell r="E39" t="str">
            <v>带垫P型卡箍</v>
          </cell>
          <cell r="F39" t="str">
            <v>Q/611S422-2017</v>
          </cell>
          <cell r="G39" t="str">
            <v>LBF40B</v>
          </cell>
          <cell r="H39" t="str">
            <v/>
          </cell>
          <cell r="I39" t="str">
            <v/>
          </cell>
          <cell r="J39" t="str">
            <v>组件(国产材料)</v>
          </cell>
          <cell r="K39">
            <v>170</v>
          </cell>
          <cell r="L39">
            <v>46106</v>
          </cell>
          <cell r="M39" t="str">
            <v>3-配货完成</v>
          </cell>
        </row>
        <row r="39">
          <cell r="O39">
            <v>0</v>
          </cell>
          <cell r="P39" t="str">
            <v>成都飞机工业（集团）有限责任公司</v>
          </cell>
          <cell r="Q39" t="str">
            <v>30</v>
          </cell>
        </row>
        <row r="39">
          <cell r="U39" t="str">
            <v>010000913845</v>
          </cell>
          <cell r="V39" t="str">
            <v>PANMINGTAO</v>
          </cell>
          <cell r="W39" t="str">
            <v/>
          </cell>
          <cell r="X39" t="str">
            <v>XC-30-1-2</v>
          </cell>
          <cell r="Y39" t="str">
            <v/>
          </cell>
          <cell r="Z39" t="str">
            <v>1902</v>
          </cell>
          <cell r="AA39" t="str">
            <v>1100160269</v>
          </cell>
          <cell r="AB39">
            <v>170</v>
          </cell>
          <cell r="AC39" t="str">
            <v/>
          </cell>
          <cell r="AD39">
            <v>87.74</v>
          </cell>
          <cell r="AE39" t="str">
            <v>G-100015632-260205-0074</v>
          </cell>
          <cell r="AF39" t="str">
            <v>1100160269/30</v>
          </cell>
        </row>
        <row r="40">
          <cell r="B40" t="str">
            <v>7101092989</v>
          </cell>
          <cell r="C40" t="str">
            <v>G2511-0768</v>
          </cell>
          <cell r="D40" t="str">
            <v>000042944000155223</v>
          </cell>
          <cell r="E40" t="str">
            <v>17-7PH带垫P型卡箍</v>
          </cell>
          <cell r="F40" t="str">
            <v>Q/611S538-2017</v>
          </cell>
          <cell r="G40" t="str">
            <v>F34</v>
          </cell>
          <cell r="H40" t="str">
            <v/>
          </cell>
          <cell r="I40" t="str">
            <v/>
          </cell>
          <cell r="J40" t="str">
            <v>组件(国产材料)</v>
          </cell>
          <cell r="K40">
            <v>60</v>
          </cell>
          <cell r="L40">
            <v>46108</v>
          </cell>
          <cell r="M40" t="str">
            <v>3-配货完成</v>
          </cell>
        </row>
        <row r="40">
          <cell r="O40">
            <v>0</v>
          </cell>
          <cell r="P40" t="str">
            <v>成都飞机工业（集团）有限责任公司</v>
          </cell>
          <cell r="Q40" t="str">
            <v>110</v>
          </cell>
        </row>
        <row r="40">
          <cell r="U40" t="str">
            <v>010000882524</v>
          </cell>
          <cell r="V40" t="str">
            <v>PANMINGTAO</v>
          </cell>
          <cell r="W40" t="str">
            <v/>
          </cell>
          <cell r="X40" t="str">
            <v>XC-30-1-2</v>
          </cell>
          <cell r="Y40" t="str">
            <v/>
          </cell>
          <cell r="Z40" t="str">
            <v>1902</v>
          </cell>
          <cell r="AA40" t="str">
            <v>1100155478</v>
          </cell>
          <cell r="AB40">
            <v>60</v>
          </cell>
          <cell r="AC40" t="str">
            <v/>
          </cell>
          <cell r="AD40">
            <v>78.19</v>
          </cell>
          <cell r="AE40" t="str">
            <v>G-100015632-251107-0283</v>
          </cell>
          <cell r="AF40" t="str">
            <v>1100155478/110</v>
          </cell>
        </row>
        <row r="41">
          <cell r="B41" t="str">
            <v>7101092990</v>
          </cell>
          <cell r="C41" t="str">
            <v>G2511-0767</v>
          </cell>
          <cell r="D41" t="str">
            <v>000042944000155222</v>
          </cell>
          <cell r="E41" t="str">
            <v>17-7PH带垫P型卡箍</v>
          </cell>
          <cell r="F41" t="str">
            <v>Q/611S538-2017</v>
          </cell>
          <cell r="G41" t="str">
            <v>F14B</v>
          </cell>
          <cell r="H41" t="str">
            <v/>
          </cell>
          <cell r="I41" t="str">
            <v/>
          </cell>
          <cell r="J41" t="str">
            <v>组件(国产材料)</v>
          </cell>
          <cell r="K41">
            <v>257</v>
          </cell>
          <cell r="L41">
            <v>46108</v>
          </cell>
          <cell r="M41" t="str">
            <v>3-配货完成</v>
          </cell>
        </row>
        <row r="41">
          <cell r="O41">
            <v>0</v>
          </cell>
          <cell r="P41" t="str">
            <v>成都飞机工业（集团）有限责任公司</v>
          </cell>
          <cell r="Q41" t="str">
            <v>150</v>
          </cell>
        </row>
        <row r="41">
          <cell r="U41" t="str">
            <v>010000882523</v>
          </cell>
          <cell r="V41" t="str">
            <v>PANMINGTAO</v>
          </cell>
          <cell r="W41" t="str">
            <v/>
          </cell>
          <cell r="X41" t="str">
            <v>XC-30-1-2</v>
          </cell>
          <cell r="Y41" t="str">
            <v/>
          </cell>
          <cell r="Z41" t="str">
            <v>1902</v>
          </cell>
          <cell r="AA41" t="str">
            <v>1100155478</v>
          </cell>
          <cell r="AB41">
            <v>300</v>
          </cell>
          <cell r="AC41" t="str">
            <v/>
          </cell>
          <cell r="AD41">
            <v>49.21</v>
          </cell>
          <cell r="AE41" t="str">
            <v>G-100015632-251107-0283</v>
          </cell>
          <cell r="AF41" t="str">
            <v>1100155478/150</v>
          </cell>
        </row>
        <row r="42">
          <cell r="B42" t="str">
            <v>7101093001</v>
          </cell>
          <cell r="C42" t="str">
            <v>G2511-0767</v>
          </cell>
          <cell r="D42" t="str">
            <v>000042944000155222</v>
          </cell>
          <cell r="E42" t="str">
            <v>17-7PH带垫P型卡箍</v>
          </cell>
          <cell r="F42" t="str">
            <v>Q/611S538-2017</v>
          </cell>
          <cell r="G42" t="str">
            <v>F14B</v>
          </cell>
          <cell r="H42" t="str">
            <v/>
          </cell>
          <cell r="I42" t="str">
            <v/>
          </cell>
          <cell r="J42" t="str">
            <v>组件(国产材料)</v>
          </cell>
          <cell r="K42">
            <v>197</v>
          </cell>
          <cell r="L42">
            <v>46108</v>
          </cell>
          <cell r="M42" t="str">
            <v>3-配货完成</v>
          </cell>
        </row>
        <row r="42">
          <cell r="O42">
            <v>0</v>
          </cell>
          <cell r="P42" t="str">
            <v>成都飞机工业（集团）有限责任公司</v>
          </cell>
          <cell r="Q42" t="str">
            <v>190</v>
          </cell>
        </row>
        <row r="42">
          <cell r="U42" t="str">
            <v>010000882523</v>
          </cell>
          <cell r="V42" t="str">
            <v>PANMINGTAO</v>
          </cell>
          <cell r="W42" t="str">
            <v/>
          </cell>
          <cell r="X42" t="str">
            <v>XC-30-1-2</v>
          </cell>
          <cell r="Y42" t="str">
            <v/>
          </cell>
          <cell r="Z42" t="str">
            <v>1902</v>
          </cell>
          <cell r="AA42" t="str">
            <v>1100160269</v>
          </cell>
          <cell r="AB42">
            <v>280</v>
          </cell>
          <cell r="AC42" t="str">
            <v/>
          </cell>
          <cell r="AD42">
            <v>49.21</v>
          </cell>
          <cell r="AE42" t="str">
            <v>G-100015632-260205-0074</v>
          </cell>
          <cell r="AF42" t="str">
            <v>1100160269/190</v>
          </cell>
        </row>
        <row r="43">
          <cell r="B43" t="str">
            <v>7101093848</v>
          </cell>
          <cell r="C43" t="str">
            <v>G2603-0133</v>
          </cell>
          <cell r="D43" t="str">
            <v>000042944000143216</v>
          </cell>
          <cell r="E43" t="str">
            <v>带鞍座双面固定带垫卡箍</v>
          </cell>
          <cell r="F43" t="str">
            <v>Q/611S433-2023</v>
          </cell>
          <cell r="G43" t="str">
            <v>FDJ75</v>
          </cell>
          <cell r="H43" t="str">
            <v/>
          </cell>
          <cell r="I43" t="str">
            <v/>
          </cell>
          <cell r="J43" t="str">
            <v>组件(国产材料)</v>
          </cell>
          <cell r="K43">
            <v>3</v>
          </cell>
          <cell r="L43">
            <v>46111</v>
          </cell>
          <cell r="M43" t="str">
            <v>3-配货完成</v>
          </cell>
        </row>
        <row r="43">
          <cell r="O43">
            <v>0</v>
          </cell>
          <cell r="P43" t="str">
            <v>成都飞机工业（集团）有限责任公司</v>
          </cell>
          <cell r="Q43" t="str">
            <v>110</v>
          </cell>
        </row>
        <row r="43">
          <cell r="U43" t="str">
            <v>010000919967</v>
          </cell>
          <cell r="V43" t="str">
            <v>PANMINGTAO</v>
          </cell>
          <cell r="W43" t="str">
            <v/>
          </cell>
          <cell r="X43" t="str">
            <v>XC-31-1-3</v>
          </cell>
          <cell r="Y43" t="str">
            <v/>
          </cell>
          <cell r="Z43" t="str">
            <v>1902</v>
          </cell>
          <cell r="AA43" t="str">
            <v>1100153602</v>
          </cell>
          <cell r="AB43">
            <v>50</v>
          </cell>
          <cell r="AC43" t="str">
            <v/>
          </cell>
          <cell r="AD43">
            <v>133.57</v>
          </cell>
          <cell r="AE43" t="str">
            <v>G-100015632-250928-0249</v>
          </cell>
          <cell r="AF43" t="str">
            <v>1100153602/110</v>
          </cell>
        </row>
        <row r="44">
          <cell r="B44" t="str">
            <v>7101093849</v>
          </cell>
          <cell r="C44" t="str">
            <v>G2603-0133</v>
          </cell>
          <cell r="D44" t="str">
            <v>000042944000143216</v>
          </cell>
          <cell r="E44" t="str">
            <v>带鞍座双面固定带垫卡箍</v>
          </cell>
          <cell r="F44" t="str">
            <v>Q/611S433-2023</v>
          </cell>
          <cell r="G44" t="str">
            <v>FDJ75</v>
          </cell>
          <cell r="H44" t="str">
            <v/>
          </cell>
          <cell r="I44" t="str">
            <v/>
          </cell>
          <cell r="J44" t="str">
            <v>组件(国产材料)</v>
          </cell>
          <cell r="K44">
            <v>50</v>
          </cell>
          <cell r="L44">
            <v>46111</v>
          </cell>
          <cell r="M44" t="str">
            <v>3-配货完成</v>
          </cell>
        </row>
        <row r="44">
          <cell r="O44">
            <v>0</v>
          </cell>
          <cell r="P44" t="str">
            <v>成都飞机工业（集团）有限责任公司</v>
          </cell>
          <cell r="Q44" t="str">
            <v>230</v>
          </cell>
        </row>
        <row r="44">
          <cell r="U44" t="str">
            <v>010000919967</v>
          </cell>
          <cell r="V44" t="str">
            <v>PANMINGTAO</v>
          </cell>
          <cell r="W44" t="str">
            <v/>
          </cell>
          <cell r="X44" t="str">
            <v>XC-31-1-3</v>
          </cell>
          <cell r="Y44" t="str">
            <v/>
          </cell>
          <cell r="Z44" t="str">
            <v>1902</v>
          </cell>
          <cell r="AA44" t="str">
            <v>1100160905</v>
          </cell>
          <cell r="AB44">
            <v>50</v>
          </cell>
          <cell r="AC44" t="str">
            <v/>
          </cell>
          <cell r="AD44">
            <v>133.57</v>
          </cell>
          <cell r="AE44" t="str">
            <v>G-100015632-260227-0091</v>
          </cell>
          <cell r="AF44" t="str">
            <v>1100160905/230</v>
          </cell>
        </row>
        <row r="45">
          <cell r="B45" t="str">
            <v>7101093851</v>
          </cell>
          <cell r="C45" t="str">
            <v>G2603-0127</v>
          </cell>
          <cell r="D45" t="str">
            <v>000042944000138773</v>
          </cell>
          <cell r="E45" t="str">
            <v>带鞍座双面固定带垫卡箍</v>
          </cell>
          <cell r="F45" t="str">
            <v>Q/611S433-2023</v>
          </cell>
          <cell r="G45" t="str">
            <v>FDF30</v>
          </cell>
          <cell r="H45" t="str">
            <v/>
          </cell>
          <cell r="I45" t="str">
            <v/>
          </cell>
          <cell r="J45" t="str">
            <v>组件(国产材料)</v>
          </cell>
          <cell r="K45">
            <v>50</v>
          </cell>
          <cell r="L45">
            <v>46111</v>
          </cell>
          <cell r="M45" t="str">
            <v>3-配货完成</v>
          </cell>
        </row>
        <row r="45">
          <cell r="O45">
            <v>0</v>
          </cell>
          <cell r="P45" t="str">
            <v>成都飞机工业（集团）有限责任公司</v>
          </cell>
          <cell r="Q45" t="str">
            <v>190</v>
          </cell>
        </row>
        <row r="45">
          <cell r="U45" t="str">
            <v>010000919961</v>
          </cell>
          <cell r="V45" t="str">
            <v>PANMINGTAO</v>
          </cell>
          <cell r="W45" t="str">
            <v/>
          </cell>
          <cell r="X45" t="str">
            <v>XC-DS</v>
          </cell>
          <cell r="Y45" t="str">
            <v/>
          </cell>
          <cell r="Z45" t="str">
            <v>1902</v>
          </cell>
          <cell r="AA45" t="str">
            <v>1100160905</v>
          </cell>
          <cell r="AB45">
            <v>50</v>
          </cell>
          <cell r="AC45" t="str">
            <v/>
          </cell>
          <cell r="AD45">
            <v>85</v>
          </cell>
          <cell r="AE45" t="str">
            <v>G-100015632-260227-0091</v>
          </cell>
          <cell r="AF45" t="str">
            <v>1100160905/190</v>
          </cell>
        </row>
        <row r="46">
          <cell r="B46" t="str">
            <v>7101093852</v>
          </cell>
          <cell r="C46" t="str">
            <v>G2603-0130</v>
          </cell>
          <cell r="D46" t="str">
            <v>000042944000141126</v>
          </cell>
          <cell r="E46" t="str">
            <v>带鞍座双面固定带垫卡箍</v>
          </cell>
          <cell r="F46" t="str">
            <v>Q/611S433-2023</v>
          </cell>
          <cell r="G46" t="str">
            <v>FDF38B</v>
          </cell>
          <cell r="H46" t="str">
            <v/>
          </cell>
          <cell r="I46" t="str">
            <v/>
          </cell>
          <cell r="J46" t="str">
            <v>组件(国产材料)</v>
          </cell>
          <cell r="K46">
            <v>70</v>
          </cell>
          <cell r="L46">
            <v>46111</v>
          </cell>
          <cell r="M46" t="str">
            <v>3-配货完成</v>
          </cell>
        </row>
        <row r="46">
          <cell r="O46">
            <v>0</v>
          </cell>
          <cell r="P46" t="str">
            <v>成都飞机工业（集团）有限责任公司</v>
          </cell>
          <cell r="Q46" t="str">
            <v>200</v>
          </cell>
        </row>
        <row r="46">
          <cell r="U46" t="str">
            <v>010000919964</v>
          </cell>
          <cell r="V46" t="str">
            <v>PANMINGTAO</v>
          </cell>
          <cell r="W46" t="str">
            <v/>
          </cell>
          <cell r="X46" t="str">
            <v>XC-31-1-2</v>
          </cell>
          <cell r="Y46" t="str">
            <v/>
          </cell>
          <cell r="Z46" t="str">
            <v>1902</v>
          </cell>
          <cell r="AA46" t="str">
            <v>1100160905</v>
          </cell>
          <cell r="AB46">
            <v>70</v>
          </cell>
          <cell r="AC46" t="str">
            <v/>
          </cell>
          <cell r="AD46">
            <v>114.46</v>
          </cell>
          <cell r="AE46" t="str">
            <v>G-100015632-260227-0091</v>
          </cell>
          <cell r="AF46" t="str">
            <v>1100160905/200</v>
          </cell>
        </row>
        <row r="47">
          <cell r="B47" t="str">
            <v>7101093855</v>
          </cell>
          <cell r="C47" t="str">
            <v>G2603-0129</v>
          </cell>
          <cell r="D47" t="str">
            <v>000042944000139029</v>
          </cell>
          <cell r="E47" t="str">
            <v>长圆型单面固定带垫卡箍</v>
          </cell>
          <cell r="F47" t="str">
            <v>Q/611S475-2023</v>
          </cell>
          <cell r="G47" t="str">
            <v>FDF20</v>
          </cell>
          <cell r="H47" t="str">
            <v/>
          </cell>
          <cell r="I47" t="str">
            <v/>
          </cell>
          <cell r="J47" t="str">
            <v>组件(国产材料)</v>
          </cell>
          <cell r="K47">
            <v>23</v>
          </cell>
          <cell r="L47">
            <v>46111</v>
          </cell>
          <cell r="M47" t="str">
            <v>3-配货完成</v>
          </cell>
        </row>
        <row r="47">
          <cell r="O47">
            <v>0</v>
          </cell>
          <cell r="P47" t="str">
            <v>成都飞机工业（集团）有限责任公司</v>
          </cell>
          <cell r="Q47" t="str">
            <v>130</v>
          </cell>
        </row>
        <row r="47">
          <cell r="U47" t="str">
            <v>010000919963</v>
          </cell>
          <cell r="V47" t="str">
            <v>PANMINGTAO</v>
          </cell>
          <cell r="W47" t="str">
            <v/>
          </cell>
          <cell r="X47" t="str">
            <v>XC-30-1-2</v>
          </cell>
          <cell r="Y47" t="str">
            <v/>
          </cell>
          <cell r="Z47" t="str">
            <v>1902</v>
          </cell>
          <cell r="AA47" t="str">
            <v>1100152032</v>
          </cell>
          <cell r="AB47">
            <v>160</v>
          </cell>
          <cell r="AC47" t="str">
            <v/>
          </cell>
          <cell r="AD47">
            <v>83.08</v>
          </cell>
          <cell r="AE47" t="str">
            <v>G-100015632-250827-0222</v>
          </cell>
          <cell r="AF47" t="str">
            <v>1100152032/130</v>
          </cell>
        </row>
        <row r="48">
          <cell r="B48" t="str">
            <v>7101093859</v>
          </cell>
          <cell r="C48" t="str">
            <v>G2603-0129</v>
          </cell>
          <cell r="D48" t="str">
            <v>000042944000139029</v>
          </cell>
          <cell r="E48" t="str">
            <v>长圆型单面固定带垫卡箍</v>
          </cell>
          <cell r="F48" t="str">
            <v>Q/611S475-2023</v>
          </cell>
          <cell r="G48" t="str">
            <v>FDF20</v>
          </cell>
          <cell r="H48" t="str">
            <v/>
          </cell>
          <cell r="I48" t="str">
            <v/>
          </cell>
          <cell r="J48" t="str">
            <v>组件(国产材料)</v>
          </cell>
          <cell r="K48">
            <v>145</v>
          </cell>
          <cell r="L48">
            <v>46111</v>
          </cell>
          <cell r="M48" t="str">
            <v>3-配货完成</v>
          </cell>
        </row>
        <row r="48">
          <cell r="O48">
            <v>0</v>
          </cell>
          <cell r="P48" t="str">
            <v>成都飞机工业（集团）有限责任公司</v>
          </cell>
          <cell r="Q48" t="str">
            <v>100</v>
          </cell>
        </row>
        <row r="48">
          <cell r="U48" t="str">
            <v>010000919963</v>
          </cell>
          <cell r="V48" t="str">
            <v>PANMINGTAO</v>
          </cell>
          <cell r="W48" t="str">
            <v/>
          </cell>
          <cell r="X48" t="str">
            <v>XC-30-1-2</v>
          </cell>
          <cell r="Y48" t="str">
            <v/>
          </cell>
          <cell r="Z48" t="str">
            <v>1902</v>
          </cell>
          <cell r="AA48" t="str">
            <v>1100160905</v>
          </cell>
          <cell r="AB48">
            <v>160</v>
          </cell>
          <cell r="AC48" t="str">
            <v/>
          </cell>
          <cell r="AD48">
            <v>83.08</v>
          </cell>
          <cell r="AE48" t="str">
            <v>G-100015632-260227-0091</v>
          </cell>
          <cell r="AF48" t="str">
            <v>1100160905/100</v>
          </cell>
        </row>
        <row r="49">
          <cell r="B49" t="str">
            <v>7101093873</v>
          </cell>
          <cell r="C49" t="str">
            <v>G2603-0143</v>
          </cell>
          <cell r="D49" t="str">
            <v>000042944000158423</v>
          </cell>
          <cell r="E49" t="str">
            <v>17-7PH带垫P型卡箍</v>
          </cell>
          <cell r="F49" t="str">
            <v>Q/611S538-2017</v>
          </cell>
          <cell r="G49" t="str">
            <v>F36B</v>
          </cell>
          <cell r="H49" t="str">
            <v/>
          </cell>
          <cell r="I49" t="str">
            <v/>
          </cell>
          <cell r="J49" t="str">
            <v>组件(国产材料)</v>
          </cell>
          <cell r="K49">
            <v>264</v>
          </cell>
          <cell r="L49">
            <v>46111</v>
          </cell>
          <cell r="M49" t="str">
            <v>3-配货完成</v>
          </cell>
        </row>
        <row r="49">
          <cell r="O49">
            <v>0</v>
          </cell>
          <cell r="P49" t="str">
            <v>成都飞机工业（集团）有限责任公司</v>
          </cell>
          <cell r="Q49" t="str">
            <v>60</v>
          </cell>
        </row>
        <row r="49">
          <cell r="U49" t="str">
            <v>010000919978</v>
          </cell>
          <cell r="V49" t="str">
            <v>PANMINGTAO</v>
          </cell>
          <cell r="W49" t="str">
            <v/>
          </cell>
          <cell r="X49" t="str">
            <v>XC-31-1-3</v>
          </cell>
          <cell r="Y49" t="str">
            <v/>
          </cell>
          <cell r="Z49" t="str">
            <v>1902</v>
          </cell>
          <cell r="AA49" t="str">
            <v>1100160905</v>
          </cell>
          <cell r="AB49">
            <v>740</v>
          </cell>
          <cell r="AC49" t="str">
            <v/>
          </cell>
          <cell r="AD49">
            <v>78.19</v>
          </cell>
          <cell r="AE49" t="str">
            <v>G-100015632-260227-0091</v>
          </cell>
          <cell r="AF49" t="str">
            <v>1100160905/60</v>
          </cell>
        </row>
        <row r="50">
          <cell r="B50" t="str">
            <v>7101093882</v>
          </cell>
          <cell r="C50" t="str">
            <v>G2602-0825</v>
          </cell>
          <cell r="D50" t="str">
            <v>000042944000143223</v>
          </cell>
          <cell r="E50" t="str">
            <v>长圆型单面固定带垫卡箍</v>
          </cell>
          <cell r="F50" t="str">
            <v>Q/611S475-2023</v>
          </cell>
          <cell r="G50" t="str">
            <v>FDF16</v>
          </cell>
          <cell r="H50" t="str">
            <v/>
          </cell>
          <cell r="I50" t="str">
            <v/>
          </cell>
          <cell r="J50" t="str">
            <v>组件(国产材料)</v>
          </cell>
          <cell r="K50">
            <v>110</v>
          </cell>
          <cell r="L50">
            <v>46111</v>
          </cell>
          <cell r="M50" t="str">
            <v>3-配货完成</v>
          </cell>
        </row>
        <row r="50">
          <cell r="O50">
            <v>0</v>
          </cell>
          <cell r="P50" t="str">
            <v>成都飞机工业（集团）有限责任公司</v>
          </cell>
          <cell r="Q50" t="str">
            <v>60</v>
          </cell>
        </row>
        <row r="50">
          <cell r="U50" t="str">
            <v>010000913849</v>
          </cell>
          <cell r="V50" t="str">
            <v>PANMINGTAO</v>
          </cell>
          <cell r="W50" t="str">
            <v/>
          </cell>
          <cell r="X50" t="str">
            <v>XC-DS</v>
          </cell>
          <cell r="Y50" t="str">
            <v/>
          </cell>
          <cell r="Z50" t="str">
            <v>1902</v>
          </cell>
          <cell r="AA50" t="str">
            <v>1100160269</v>
          </cell>
          <cell r="AB50">
            <v>110</v>
          </cell>
          <cell r="AC50" t="str">
            <v/>
          </cell>
          <cell r="AD50">
            <v>79.76</v>
          </cell>
          <cell r="AE50" t="str">
            <v>G-100015632-260205-0074</v>
          </cell>
          <cell r="AF50" t="str">
            <v>1100160269/60</v>
          </cell>
        </row>
        <row r="51">
          <cell r="B51" t="str">
            <v>7101093883</v>
          </cell>
          <cell r="C51" t="str">
            <v>G2602-0822</v>
          </cell>
          <cell r="D51" t="str">
            <v>000042944000143208</v>
          </cell>
          <cell r="E51" t="str">
            <v>带鞍座双面固定带垫卡箍</v>
          </cell>
          <cell r="F51" t="str">
            <v>Q/611S433-2023</v>
          </cell>
          <cell r="G51" t="str">
            <v>FDF20B</v>
          </cell>
          <cell r="H51" t="str">
            <v/>
          </cell>
          <cell r="I51" t="str">
            <v/>
          </cell>
          <cell r="J51" t="str">
            <v>组件(国产材料)</v>
          </cell>
          <cell r="K51">
            <v>70</v>
          </cell>
          <cell r="L51">
            <v>46111</v>
          </cell>
          <cell r="M51" t="str">
            <v>3-配货完成</v>
          </cell>
        </row>
        <row r="51">
          <cell r="O51">
            <v>0</v>
          </cell>
          <cell r="P51" t="str">
            <v>成都飞机工业（集团）有限责任公司</v>
          </cell>
          <cell r="Q51" t="str">
            <v>80</v>
          </cell>
        </row>
        <row r="51">
          <cell r="U51" t="str">
            <v>010000913846</v>
          </cell>
          <cell r="V51" t="str">
            <v>PANMINGTAO</v>
          </cell>
          <cell r="W51" t="str">
            <v/>
          </cell>
          <cell r="X51" t="str">
            <v>XC-30-1-2</v>
          </cell>
          <cell r="Y51" t="str">
            <v/>
          </cell>
          <cell r="Z51" t="str">
            <v>1902</v>
          </cell>
          <cell r="AA51" t="str">
            <v>1100160269</v>
          </cell>
          <cell r="AB51">
            <v>70</v>
          </cell>
          <cell r="AC51" t="str">
            <v/>
          </cell>
          <cell r="AD51">
            <v>98.59</v>
          </cell>
          <cell r="AE51" t="str">
            <v>G-100015632-260205-0074</v>
          </cell>
          <cell r="AF51" t="str">
            <v>1100160269/80</v>
          </cell>
        </row>
        <row r="52">
          <cell r="B52" t="str">
            <v>7101093884</v>
          </cell>
          <cell r="C52" t="str">
            <v>G2602-0824</v>
          </cell>
          <cell r="D52" t="str">
            <v>000042944000143212</v>
          </cell>
          <cell r="E52" t="str">
            <v>带鞍座双面固定带垫卡箍</v>
          </cell>
          <cell r="F52" t="str">
            <v>Q/611S433-2023</v>
          </cell>
          <cell r="G52" t="str">
            <v>FDF60B</v>
          </cell>
          <cell r="H52" t="str">
            <v/>
          </cell>
          <cell r="I52" t="str">
            <v/>
          </cell>
          <cell r="J52" t="str">
            <v>组件(国产材料)</v>
          </cell>
          <cell r="K52">
            <v>51</v>
          </cell>
          <cell r="L52">
            <v>46111</v>
          </cell>
          <cell r="M52" t="str">
            <v>3-配货完成</v>
          </cell>
        </row>
        <row r="52">
          <cell r="O52">
            <v>0</v>
          </cell>
          <cell r="P52" t="str">
            <v>成都飞机工业（集团）有限责任公司</v>
          </cell>
          <cell r="Q52" t="str">
            <v>120</v>
          </cell>
        </row>
        <row r="52">
          <cell r="U52" t="str">
            <v>010000913848</v>
          </cell>
          <cell r="V52" t="str">
            <v>PANMINGTAO</v>
          </cell>
          <cell r="W52" t="str">
            <v/>
          </cell>
          <cell r="X52" t="str">
            <v>XC-30-1-3</v>
          </cell>
          <cell r="Y52" t="str">
            <v/>
          </cell>
          <cell r="Z52" t="str">
            <v>1902</v>
          </cell>
          <cell r="AA52" t="str">
            <v>1100160269</v>
          </cell>
          <cell r="AB52">
            <v>70</v>
          </cell>
          <cell r="AC52" t="str">
            <v/>
          </cell>
          <cell r="AD52">
            <v>133.57</v>
          </cell>
          <cell r="AE52" t="str">
            <v>G-100015632-260205-0074</v>
          </cell>
          <cell r="AF52" t="str">
            <v>1100160269/120</v>
          </cell>
        </row>
        <row r="53">
          <cell r="B53" t="str">
            <v>7101093885</v>
          </cell>
          <cell r="C53" t="str">
            <v>G2602-0815</v>
          </cell>
          <cell r="D53" t="str">
            <v>000042944000141286</v>
          </cell>
          <cell r="E53" t="str">
            <v>长圆型单面固定带垫卡箍</v>
          </cell>
          <cell r="F53" t="str">
            <v>Q/611S475-2023</v>
          </cell>
          <cell r="G53" t="str">
            <v>FDF12</v>
          </cell>
          <cell r="H53" t="str">
            <v/>
          </cell>
          <cell r="I53" t="str">
            <v/>
          </cell>
          <cell r="J53" t="str">
            <v>组件(国产材料)</v>
          </cell>
          <cell r="K53">
            <v>100</v>
          </cell>
          <cell r="L53">
            <v>46111</v>
          </cell>
          <cell r="M53" t="str">
            <v>3-配货完成</v>
          </cell>
        </row>
        <row r="53">
          <cell r="O53">
            <v>0</v>
          </cell>
          <cell r="P53" t="str">
            <v>成都飞机工业（集团）有限责任公司</v>
          </cell>
          <cell r="Q53" t="str">
            <v>210</v>
          </cell>
        </row>
        <row r="53">
          <cell r="U53" t="str">
            <v>010000913839</v>
          </cell>
          <cell r="V53" t="str">
            <v>PANMINGTAO</v>
          </cell>
          <cell r="W53" t="str">
            <v/>
          </cell>
          <cell r="X53" t="str">
            <v>XC-DS</v>
          </cell>
          <cell r="Y53" t="str">
            <v/>
          </cell>
          <cell r="Z53" t="str">
            <v>1902</v>
          </cell>
          <cell r="AA53" t="str">
            <v>1100160269</v>
          </cell>
          <cell r="AB53">
            <v>100</v>
          </cell>
          <cell r="AC53" t="str">
            <v/>
          </cell>
          <cell r="AD53">
            <v>57.12</v>
          </cell>
          <cell r="AE53" t="str">
            <v>G-100015632-260205-0074</v>
          </cell>
          <cell r="AF53" t="str">
            <v>1100160269/210</v>
          </cell>
        </row>
        <row r="54">
          <cell r="B54" t="str">
            <v>7101093974</v>
          </cell>
          <cell r="C54" t="str">
            <v>G2603-1174</v>
          </cell>
          <cell r="D54" t="str">
            <v>000042944000141905</v>
          </cell>
          <cell r="E54" t="str">
            <v>带垫P型卡箍</v>
          </cell>
          <cell r="F54" t="str">
            <v>Q/611S422-2017</v>
          </cell>
          <cell r="G54" t="str">
            <v>LBF12B</v>
          </cell>
          <cell r="H54" t="str">
            <v/>
          </cell>
          <cell r="I54" t="str">
            <v/>
          </cell>
          <cell r="J54" t="str">
            <v>组件(国产材料)</v>
          </cell>
          <cell r="K54">
            <v>2</v>
          </cell>
          <cell r="L54">
            <v>46111</v>
          </cell>
          <cell r="M54" t="str">
            <v>3-配货完成</v>
          </cell>
        </row>
        <row r="54">
          <cell r="O54">
            <v>0</v>
          </cell>
          <cell r="P54" t="str">
            <v>成都飞机工业（集团）有限责任公司</v>
          </cell>
          <cell r="Q54" t="str">
            <v>30</v>
          </cell>
        </row>
        <row r="54">
          <cell r="U54" t="str">
            <v>010000926458</v>
          </cell>
          <cell r="V54" t="str">
            <v>PANMINGTAO</v>
          </cell>
          <cell r="W54" t="str">
            <v/>
          </cell>
          <cell r="X54" t="str">
            <v>XC-30-1-2</v>
          </cell>
          <cell r="Y54" t="str">
            <v/>
          </cell>
          <cell r="Z54" t="str">
            <v>1902</v>
          </cell>
          <cell r="AA54" t="str">
            <v>1100155478</v>
          </cell>
          <cell r="AB54">
            <v>1520</v>
          </cell>
          <cell r="AC54" t="str">
            <v/>
          </cell>
          <cell r="AD54">
            <v>54</v>
          </cell>
          <cell r="AE54" t="str">
            <v>G-100015632-251107-0283</v>
          </cell>
          <cell r="AF54" t="str">
            <v>1100155478/30</v>
          </cell>
        </row>
        <row r="55">
          <cell r="B55" t="str">
            <v>7101094621</v>
          </cell>
          <cell r="C55" t="str">
            <v>G2511-0879</v>
          </cell>
          <cell r="D55" t="str">
            <v>000042944320154905</v>
          </cell>
          <cell r="E55" t="str">
            <v>平圆头钛铌铆钉</v>
          </cell>
          <cell r="F55" t="str">
            <v>Q/611S310-2010</v>
          </cell>
          <cell r="G55" t="str">
            <v>30E-8</v>
          </cell>
          <cell r="H55" t="str">
            <v>退火</v>
          </cell>
          <cell r="I55" t="str">
            <v>镀铝</v>
          </cell>
          <cell r="J55" t="str">
            <v>Ti45Nb</v>
          </cell>
          <cell r="K55">
            <v>2000</v>
          </cell>
          <cell r="L55">
            <v>46112</v>
          </cell>
          <cell r="M55" t="str">
            <v>4-检验完成</v>
          </cell>
        </row>
        <row r="55">
          <cell r="O55">
            <v>0</v>
          </cell>
          <cell r="P55" t="str">
            <v>成都飞机工业（集团）有限责任公司</v>
          </cell>
          <cell r="Q55" t="str">
            <v>40</v>
          </cell>
          <cell r="R55">
            <v>46115</v>
          </cell>
        </row>
        <row r="55">
          <cell r="U55" t="str">
            <v>010000882817</v>
          </cell>
          <cell r="V55" t="str">
            <v>BIAOQIAN4</v>
          </cell>
          <cell r="W55" t="str">
            <v/>
          </cell>
          <cell r="X55" t="str">
            <v>CP-108-A</v>
          </cell>
          <cell r="Y55" t="str">
            <v/>
          </cell>
          <cell r="Z55" t="str">
            <v>1902</v>
          </cell>
          <cell r="AA55" t="str">
            <v>1100155468</v>
          </cell>
          <cell r="AB55">
            <v>2000</v>
          </cell>
          <cell r="AC55" t="str">
            <v/>
          </cell>
          <cell r="AD55">
            <v>4.46</v>
          </cell>
          <cell r="AE55" t="str">
            <v>G-100015632-251107-0284</v>
          </cell>
          <cell r="AF55" t="str">
            <v>1100155468/40</v>
          </cell>
        </row>
        <row r="56">
          <cell r="B56" t="str">
            <v>7101095563</v>
          </cell>
          <cell r="C56" t="str">
            <v>G2511-1617</v>
          </cell>
          <cell r="D56" t="str">
            <v>000042944000138779</v>
          </cell>
          <cell r="E56" t="str">
            <v>带鞍座双面固定带垫卡箍</v>
          </cell>
          <cell r="F56" t="str">
            <v>Q/611S433-2023</v>
          </cell>
          <cell r="G56" t="str">
            <v>FDF75</v>
          </cell>
          <cell r="H56" t="str">
            <v/>
          </cell>
          <cell r="I56" t="str">
            <v/>
          </cell>
          <cell r="J56" t="str">
            <v>组件(国产材料)</v>
          </cell>
          <cell r="K56">
            <v>177</v>
          </cell>
          <cell r="L56">
            <v>46113</v>
          </cell>
          <cell r="M56" t="str">
            <v>3-配货完成</v>
          </cell>
        </row>
        <row r="56">
          <cell r="O56">
            <v>0</v>
          </cell>
          <cell r="P56" t="str">
            <v>成都飞机工业（集团）有限责任公司</v>
          </cell>
          <cell r="Q56" t="str">
            <v>90</v>
          </cell>
        </row>
        <row r="56">
          <cell r="U56" t="str">
            <v>010000887288</v>
          </cell>
          <cell r="V56" t="str">
            <v>PANMINGTAO</v>
          </cell>
          <cell r="W56" t="str">
            <v/>
          </cell>
          <cell r="X56" t="str">
            <v>XC-30-1-2</v>
          </cell>
          <cell r="Y56" t="str">
            <v/>
          </cell>
          <cell r="Z56" t="str">
            <v>1902</v>
          </cell>
          <cell r="AA56" t="str">
            <v>1100153602</v>
          </cell>
          <cell r="AB56">
            <v>300</v>
          </cell>
          <cell r="AC56" t="str">
            <v/>
          </cell>
          <cell r="AD56">
            <v>133.57</v>
          </cell>
          <cell r="AE56" t="str">
            <v>G-100015632-250928-0249</v>
          </cell>
          <cell r="AF56" t="str">
            <v>1100153602/90</v>
          </cell>
        </row>
        <row r="57">
          <cell r="B57" t="str">
            <v>7101095590</v>
          </cell>
          <cell r="C57" t="str">
            <v>G2501-3078</v>
          </cell>
          <cell r="D57" t="str">
            <v>000042944000139014</v>
          </cell>
          <cell r="E57" t="str">
            <v>带鞍座双面固定带垫卡箍</v>
          </cell>
          <cell r="F57" t="str">
            <v>Q/611S433-2023</v>
          </cell>
          <cell r="G57" t="str">
            <v>FDF22B</v>
          </cell>
          <cell r="H57" t="str">
            <v/>
          </cell>
          <cell r="I57" t="str">
            <v/>
          </cell>
          <cell r="J57" t="str">
            <v>组件(国产材料)</v>
          </cell>
          <cell r="K57">
            <v>12</v>
          </cell>
          <cell r="L57">
            <v>46113</v>
          </cell>
          <cell r="M57" t="str">
            <v>0-初始未打印</v>
          </cell>
        </row>
        <row r="57">
          <cell r="O57">
            <v>0</v>
          </cell>
          <cell r="P57" t="str">
            <v>成都飞机工业（集团）有限责任公司</v>
          </cell>
          <cell r="Q57" t="str">
            <v>360</v>
          </cell>
        </row>
        <row r="57">
          <cell r="U57" t="str">
            <v>010000779339</v>
          </cell>
          <cell r="V57" t="str">
            <v/>
          </cell>
          <cell r="W57" t="str">
            <v/>
          </cell>
          <cell r="X57" t="str">
            <v>XC-1-1-7-1</v>
          </cell>
          <cell r="Y57" t="str">
            <v/>
          </cell>
          <cell r="Z57" t="str">
            <v>1902</v>
          </cell>
          <cell r="AA57" t="str">
            <v>1100160269</v>
          </cell>
          <cell r="AB57">
            <v>50</v>
          </cell>
          <cell r="AC57" t="str">
            <v/>
          </cell>
          <cell r="AD57">
            <v>90.7</v>
          </cell>
          <cell r="AE57" t="str">
            <v>G-100015632-260205-0074</v>
          </cell>
          <cell r="AF57" t="str">
            <v>1100160269/360</v>
          </cell>
        </row>
        <row r="58">
          <cell r="B58" t="str">
            <v>7101095597</v>
          </cell>
          <cell r="C58" t="str">
            <v>G2502-1575</v>
          </cell>
          <cell r="D58" t="str">
            <v>000042944000138772</v>
          </cell>
          <cell r="E58" t="str">
            <v>带鞍座双面固定带垫卡箍</v>
          </cell>
          <cell r="F58" t="str">
            <v>Q/611S433-2023</v>
          </cell>
          <cell r="G58" t="str">
            <v>FDF27</v>
          </cell>
          <cell r="H58" t="str">
            <v/>
          </cell>
          <cell r="I58" t="str">
            <v/>
          </cell>
          <cell r="J58" t="str">
            <v>组件(国产材料)</v>
          </cell>
          <cell r="K58">
            <v>24</v>
          </cell>
          <cell r="L58">
            <v>46113</v>
          </cell>
          <cell r="M58" t="str">
            <v>0-初始未打印</v>
          </cell>
        </row>
        <row r="58">
          <cell r="O58">
            <v>0</v>
          </cell>
          <cell r="P58" t="str">
            <v>成都飞机工业（集团）有限责任公司</v>
          </cell>
          <cell r="Q58" t="str">
            <v>370</v>
          </cell>
        </row>
        <row r="58">
          <cell r="U58" t="str">
            <v>010000783656</v>
          </cell>
          <cell r="V58" t="str">
            <v/>
          </cell>
          <cell r="W58" t="str">
            <v/>
          </cell>
          <cell r="X58" t="str">
            <v>XC-2-1-10-2</v>
          </cell>
          <cell r="Y58" t="str">
            <v/>
          </cell>
          <cell r="Z58" t="str">
            <v>1902</v>
          </cell>
          <cell r="AA58" t="str">
            <v>1100160269</v>
          </cell>
          <cell r="AB58">
            <v>380</v>
          </cell>
          <cell r="AC58" t="str">
            <v/>
          </cell>
          <cell r="AD58">
            <v>90.7</v>
          </cell>
          <cell r="AE58" t="str">
            <v>G-100015632-260205-0074</v>
          </cell>
          <cell r="AF58" t="str">
            <v>1100160269/370</v>
          </cell>
        </row>
        <row r="59">
          <cell r="B59" t="str">
            <v>7101095692</v>
          </cell>
          <cell r="C59" t="str">
            <v>G2501-3528</v>
          </cell>
          <cell r="D59" t="str">
            <v>000042944320011318</v>
          </cell>
          <cell r="E59" t="str">
            <v>100°沉头钛铌铆钉</v>
          </cell>
          <cell r="F59" t="str">
            <v>Q/611S309-2010</v>
          </cell>
          <cell r="G59" t="str">
            <v>40W-8</v>
          </cell>
          <cell r="H59" t="str">
            <v>τ=345-410MPa</v>
          </cell>
          <cell r="I59" t="str">
            <v>蓝色阳极化</v>
          </cell>
          <cell r="J59" t="str">
            <v>Ti45Nb</v>
          </cell>
          <cell r="K59">
            <v>4903</v>
          </cell>
          <cell r="L59">
            <v>46114</v>
          </cell>
          <cell r="M59" t="str">
            <v>4-检验完成</v>
          </cell>
        </row>
        <row r="59">
          <cell r="O59">
            <v>0</v>
          </cell>
          <cell r="P59" t="str">
            <v>成都飞机工业（集团）有限责任公司</v>
          </cell>
          <cell r="Q59" t="str">
            <v>40</v>
          </cell>
          <cell r="R59">
            <v>46118</v>
          </cell>
        </row>
        <row r="59">
          <cell r="U59" t="str">
            <v>010000779940</v>
          </cell>
          <cell r="V59" t="str">
            <v>BIAOQIAN2</v>
          </cell>
          <cell r="W59" t="str">
            <v/>
          </cell>
          <cell r="X59" t="str">
            <v>CP-108-A</v>
          </cell>
          <cell r="Y59" t="str">
            <v/>
          </cell>
          <cell r="Z59" t="str">
            <v>1902</v>
          </cell>
          <cell r="AA59" t="str">
            <v>1100147965</v>
          </cell>
          <cell r="AB59">
            <v>11680</v>
          </cell>
          <cell r="AC59" t="str">
            <v/>
          </cell>
          <cell r="AD59">
            <v>4.7</v>
          </cell>
          <cell r="AE59" t="str">
            <v>G-100015632-250530-0116</v>
          </cell>
          <cell r="AF59" t="str">
            <v>1100147965/40</v>
          </cell>
        </row>
        <row r="60">
          <cell r="B60" t="str">
            <v>7101097152</v>
          </cell>
          <cell r="C60" t="str">
            <v>G2603-0125</v>
          </cell>
          <cell r="D60" t="str">
            <v>000036200000136261</v>
          </cell>
          <cell r="E60" t="str">
            <v>带垫P型卡箍</v>
          </cell>
          <cell r="F60" t="str">
            <v>Q/611S422-2017</v>
          </cell>
          <cell r="G60" t="str">
            <v>LBF20B</v>
          </cell>
          <cell r="H60" t="str">
            <v/>
          </cell>
          <cell r="I60" t="str">
            <v/>
          </cell>
          <cell r="J60" t="str">
            <v>组件(国产材料)</v>
          </cell>
          <cell r="K60">
            <v>801</v>
          </cell>
          <cell r="L60">
            <v>46118</v>
          </cell>
          <cell r="M60" t="str">
            <v>3-配货完成</v>
          </cell>
        </row>
        <row r="60">
          <cell r="O60">
            <v>0</v>
          </cell>
          <cell r="P60" t="str">
            <v>成都飞机工业（集团）有限责任公司</v>
          </cell>
          <cell r="Q60" t="str">
            <v>150</v>
          </cell>
        </row>
        <row r="60">
          <cell r="U60" t="str">
            <v>010000919959</v>
          </cell>
          <cell r="V60" t="str">
            <v>PANMINGTAO</v>
          </cell>
          <cell r="W60" t="str">
            <v/>
          </cell>
          <cell r="X60" t="str">
            <v>XC-31-1-2</v>
          </cell>
          <cell r="Y60" t="str">
            <v/>
          </cell>
          <cell r="Z60" t="str">
            <v>1902</v>
          </cell>
          <cell r="AA60" t="str">
            <v>1100160905</v>
          </cell>
          <cell r="AB60">
            <v>1180</v>
          </cell>
          <cell r="AC60" t="str">
            <v/>
          </cell>
          <cell r="AD60">
            <v>77.78</v>
          </cell>
          <cell r="AE60" t="str">
            <v>G-100015632-260227-0091</v>
          </cell>
          <cell r="AF60" t="str">
            <v>1100160905/150</v>
          </cell>
        </row>
        <row r="61">
          <cell r="B61" t="str">
            <v>7101100467</v>
          </cell>
          <cell r="C61" t="str">
            <v>G2511-0758</v>
          </cell>
          <cell r="D61" t="str">
            <v>000042944000142074</v>
          </cell>
          <cell r="E61" t="str">
            <v>带垫P型卡箍</v>
          </cell>
          <cell r="F61" t="str">
            <v>Q/611S422-2017</v>
          </cell>
          <cell r="G61" t="str">
            <v>LBF10B</v>
          </cell>
          <cell r="H61" t="str">
            <v/>
          </cell>
          <cell r="I61" t="str">
            <v/>
          </cell>
          <cell r="J61" t="str">
            <v>组件(国产材料)</v>
          </cell>
          <cell r="K61">
            <v>700</v>
          </cell>
          <cell r="L61">
            <v>46124</v>
          </cell>
          <cell r="M61" t="str">
            <v>3-配货完成</v>
          </cell>
        </row>
        <row r="61">
          <cell r="O61">
            <v>0</v>
          </cell>
          <cell r="P61" t="str">
            <v>成都飞机工业（集团）有限责任公司</v>
          </cell>
          <cell r="Q61" t="str">
            <v>40</v>
          </cell>
        </row>
        <row r="61">
          <cell r="U61" t="str">
            <v>010000882475</v>
          </cell>
          <cell r="V61" t="str">
            <v>PANMINGTAO</v>
          </cell>
          <cell r="W61" t="str">
            <v/>
          </cell>
          <cell r="X61" t="str">
            <v>XC-31-1-3</v>
          </cell>
          <cell r="Y61" t="str">
            <v/>
          </cell>
          <cell r="Z61" t="str">
            <v>1902</v>
          </cell>
          <cell r="AA61" t="str">
            <v>1100155478</v>
          </cell>
          <cell r="AB61">
            <v>850</v>
          </cell>
          <cell r="AC61" t="str">
            <v/>
          </cell>
          <cell r="AD61">
            <v>54</v>
          </cell>
          <cell r="AE61" t="str">
            <v>G-100015632-251107-0283</v>
          </cell>
          <cell r="AF61" t="str">
            <v>1100155478/40</v>
          </cell>
        </row>
        <row r="62">
          <cell r="B62" t="str">
            <v>7101101324</v>
          </cell>
          <cell r="C62" t="str">
            <v>G2508-0762</v>
          </cell>
          <cell r="D62" t="str">
            <v>000042944319001604</v>
          </cell>
          <cell r="E62" t="str">
            <v>侧面托板螺母组件</v>
          </cell>
          <cell r="F62" t="str">
            <v>Q/611S428-2011</v>
          </cell>
          <cell r="G62" t="str">
            <v>A5-2</v>
          </cell>
          <cell r="H62" t="str">
            <v/>
          </cell>
          <cell r="I62" t="str">
            <v/>
          </cell>
          <cell r="J62" t="str">
            <v>组件</v>
          </cell>
          <cell r="K62">
            <v>207</v>
          </cell>
          <cell r="L62">
            <v>46126</v>
          </cell>
          <cell r="M62" t="str">
            <v>3-配货完成</v>
          </cell>
        </row>
        <row r="62">
          <cell r="O62">
            <v>0</v>
          </cell>
          <cell r="P62" t="str">
            <v>成都飞机工业（集团）有限责任公司</v>
          </cell>
          <cell r="Q62" t="str">
            <v>60</v>
          </cell>
        </row>
        <row r="62">
          <cell r="U62" t="str">
            <v>010000853658</v>
          </cell>
          <cell r="V62" t="str">
            <v>BIAOQIAN2</v>
          </cell>
          <cell r="W62" t="str">
            <v/>
          </cell>
          <cell r="X62" t="str">
            <v>CP-108-A</v>
          </cell>
          <cell r="Y62" t="str">
            <v/>
          </cell>
          <cell r="Z62" t="str">
            <v>1902</v>
          </cell>
          <cell r="AA62" t="str">
            <v>1100144149</v>
          </cell>
          <cell r="AB62">
            <v>1350</v>
          </cell>
          <cell r="AC62" t="str">
            <v/>
          </cell>
          <cell r="AD62">
            <v>41.44</v>
          </cell>
          <cell r="AE62" t="str">
            <v>G-100015632-250326-0035</v>
          </cell>
          <cell r="AF62" t="str">
            <v>1100144149/60</v>
          </cell>
        </row>
        <row r="63">
          <cell r="B63" t="str">
            <v>7101101338</v>
          </cell>
          <cell r="C63" t="str">
            <v>G2511-0760</v>
          </cell>
          <cell r="D63" t="str">
            <v>000042944000142081</v>
          </cell>
          <cell r="E63" t="str">
            <v>17-7PH带垫P型卡箍</v>
          </cell>
          <cell r="F63" t="str">
            <v>Q/611S538-2017</v>
          </cell>
          <cell r="G63" t="str">
            <v>F18B</v>
          </cell>
          <cell r="H63" t="str">
            <v/>
          </cell>
          <cell r="I63" t="str">
            <v/>
          </cell>
          <cell r="J63" t="str">
            <v>组件(国产材料)</v>
          </cell>
          <cell r="K63">
            <v>454</v>
          </cell>
          <cell r="L63">
            <v>46126</v>
          </cell>
          <cell r="M63" t="str">
            <v>3-配货完成</v>
          </cell>
        </row>
        <row r="63">
          <cell r="O63">
            <v>0</v>
          </cell>
          <cell r="P63" t="str">
            <v>成都飞机工业（集团）有限责任公司</v>
          </cell>
          <cell r="Q63" t="str">
            <v>80</v>
          </cell>
        </row>
        <row r="63">
          <cell r="U63" t="str">
            <v>010000882477</v>
          </cell>
          <cell r="V63" t="str">
            <v>BIAOQIAN8</v>
          </cell>
          <cell r="W63" t="str">
            <v/>
          </cell>
          <cell r="X63" t="str">
            <v>XC-33-1-5</v>
          </cell>
          <cell r="Y63" t="str">
            <v/>
          </cell>
          <cell r="Z63" t="str">
            <v>1902</v>
          </cell>
          <cell r="AA63" t="str">
            <v>1100151030</v>
          </cell>
          <cell r="AB63">
            <v>760</v>
          </cell>
          <cell r="AC63" t="str">
            <v/>
          </cell>
          <cell r="AD63">
            <v>75.31</v>
          </cell>
          <cell r="AE63" t="str">
            <v>G-100015632-250801-0189</v>
          </cell>
          <cell r="AF63" t="str">
            <v>1100151030/80</v>
          </cell>
        </row>
        <row r="64">
          <cell r="B64" t="str">
            <v>7101101396</v>
          </cell>
          <cell r="C64" t="str">
            <v>G2511-0760</v>
          </cell>
          <cell r="D64" t="str">
            <v>000042944000142081</v>
          </cell>
          <cell r="E64" t="str">
            <v>17-7PH带垫P型卡箍</v>
          </cell>
          <cell r="F64" t="str">
            <v>Q/611S538-2017</v>
          </cell>
          <cell r="G64" t="str">
            <v>F18B</v>
          </cell>
          <cell r="H64" t="str">
            <v/>
          </cell>
          <cell r="I64" t="str">
            <v/>
          </cell>
          <cell r="J64" t="str">
            <v>组件(国产材料)</v>
          </cell>
          <cell r="K64">
            <v>160</v>
          </cell>
          <cell r="L64">
            <v>46126</v>
          </cell>
          <cell r="M64" t="str">
            <v>3-配货完成</v>
          </cell>
        </row>
        <row r="64">
          <cell r="O64">
            <v>0</v>
          </cell>
          <cell r="P64" t="str">
            <v>成都飞机工业（集团）有限责任公司</v>
          </cell>
          <cell r="Q64" t="str">
            <v>140</v>
          </cell>
        </row>
        <row r="64">
          <cell r="U64" t="str">
            <v>010000882477</v>
          </cell>
          <cell r="V64" t="str">
            <v>BIAOQIAN8</v>
          </cell>
          <cell r="W64" t="str">
            <v/>
          </cell>
          <cell r="X64" t="str">
            <v>XC-33-1-5</v>
          </cell>
          <cell r="Y64" t="str">
            <v/>
          </cell>
          <cell r="Z64" t="str">
            <v>1902</v>
          </cell>
          <cell r="AA64" t="str">
            <v>1100155478</v>
          </cell>
          <cell r="AB64">
            <v>740</v>
          </cell>
          <cell r="AC64" t="str">
            <v/>
          </cell>
          <cell r="AD64">
            <v>75.31</v>
          </cell>
          <cell r="AE64" t="str">
            <v>G-100015632-251107-0283</v>
          </cell>
          <cell r="AF64" t="str">
            <v>1100155478/140</v>
          </cell>
        </row>
        <row r="65">
          <cell r="B65" t="str">
            <v>7101101943</v>
          </cell>
          <cell r="C65" t="str">
            <v>G2603-0143</v>
          </cell>
          <cell r="D65" t="str">
            <v>000042944000158423</v>
          </cell>
          <cell r="E65" t="str">
            <v>17-7PH带垫P型卡箍</v>
          </cell>
          <cell r="F65" t="str">
            <v>Q/611S538-2017</v>
          </cell>
          <cell r="G65" t="str">
            <v>F36B</v>
          </cell>
          <cell r="H65" t="str">
            <v/>
          </cell>
          <cell r="I65" t="str">
            <v/>
          </cell>
          <cell r="J65" t="str">
            <v>组件(国产材料)</v>
          </cell>
          <cell r="K65">
            <v>128</v>
          </cell>
          <cell r="L65">
            <v>46127</v>
          </cell>
          <cell r="M65" t="str">
            <v>3-配货完成</v>
          </cell>
        </row>
        <row r="65">
          <cell r="O65">
            <v>0</v>
          </cell>
          <cell r="P65" t="str">
            <v>成都飞机工业（集团）有限责任公司</v>
          </cell>
          <cell r="Q65" t="str">
            <v>60</v>
          </cell>
        </row>
        <row r="65">
          <cell r="U65" t="str">
            <v>010000919978</v>
          </cell>
          <cell r="V65" t="str">
            <v>PANMINGTAO</v>
          </cell>
          <cell r="W65" t="str">
            <v/>
          </cell>
          <cell r="X65" t="str">
            <v>XC-33-1-5</v>
          </cell>
          <cell r="Y65" t="str">
            <v/>
          </cell>
          <cell r="Z65" t="str">
            <v>1902</v>
          </cell>
          <cell r="AA65" t="str">
            <v>1100160905</v>
          </cell>
          <cell r="AB65">
            <v>740</v>
          </cell>
          <cell r="AC65" t="str">
            <v/>
          </cell>
          <cell r="AD65">
            <v>78.19</v>
          </cell>
          <cell r="AE65" t="str">
            <v>G-100015632-260227-0091</v>
          </cell>
          <cell r="AF65" t="str">
            <v>1100160905/60</v>
          </cell>
        </row>
        <row r="66">
          <cell r="B66" t="str">
            <v>7101102037</v>
          </cell>
          <cell r="C66" t="str">
            <v>G2604-0408</v>
          </cell>
          <cell r="D66" t="str">
            <v>000036200000136261</v>
          </cell>
          <cell r="E66" t="str">
            <v>带垫P型卡箍</v>
          </cell>
          <cell r="F66" t="str">
            <v>Q/611S422-2017</v>
          </cell>
          <cell r="G66" t="str">
            <v>LBF20B</v>
          </cell>
          <cell r="H66" t="str">
            <v/>
          </cell>
          <cell r="I66" t="str">
            <v/>
          </cell>
          <cell r="J66" t="str">
            <v>组件(国产材料)</v>
          </cell>
          <cell r="K66">
            <v>367</v>
          </cell>
          <cell r="L66">
            <v>46127</v>
          </cell>
          <cell r="M66" t="str">
            <v>3-配货完成</v>
          </cell>
        </row>
        <row r="66">
          <cell r="O66">
            <v>0</v>
          </cell>
          <cell r="P66" t="str">
            <v>成都飞机工业（集团）有限责任公司</v>
          </cell>
          <cell r="Q66" t="str">
            <v>150</v>
          </cell>
        </row>
        <row r="66">
          <cell r="U66" t="str">
            <v>010000934545</v>
          </cell>
          <cell r="V66" t="str">
            <v>PANMINGTAO</v>
          </cell>
          <cell r="W66" t="str">
            <v/>
          </cell>
          <cell r="X66" t="str">
            <v>XC-33-1-3</v>
          </cell>
          <cell r="Y66" t="str">
            <v/>
          </cell>
          <cell r="Z66" t="str">
            <v>1902</v>
          </cell>
          <cell r="AA66" t="str">
            <v>1100160905</v>
          </cell>
          <cell r="AB66">
            <v>1180</v>
          </cell>
          <cell r="AC66" t="str">
            <v/>
          </cell>
          <cell r="AD66">
            <v>77.78</v>
          </cell>
          <cell r="AE66" t="str">
            <v>G-100015632-260227-0091</v>
          </cell>
          <cell r="AF66" t="str">
            <v>1100160905/150</v>
          </cell>
        </row>
        <row r="67">
          <cell r="B67" t="str">
            <v>7101104671</v>
          </cell>
          <cell r="C67" t="str">
            <v>G2604-0959</v>
          </cell>
          <cell r="D67" t="str">
            <v>000042944439001629</v>
          </cell>
          <cell r="E67" t="str">
            <v>螺纹连接密封垫圈</v>
          </cell>
          <cell r="F67" t="str">
            <v>HB1-504-1983(CGB)</v>
          </cell>
          <cell r="G67" t="str">
            <v>5</v>
          </cell>
          <cell r="H67" t="str">
            <v/>
          </cell>
          <cell r="I67" t="str">
            <v/>
          </cell>
          <cell r="J67" t="str">
            <v>组件</v>
          </cell>
          <cell r="K67">
            <v>300</v>
          </cell>
          <cell r="L67">
            <v>46133</v>
          </cell>
          <cell r="M67" t="str">
            <v>4-检验完成</v>
          </cell>
        </row>
        <row r="67">
          <cell r="O67">
            <v>0</v>
          </cell>
          <cell r="P67" t="str">
            <v>成都飞机工业（集团）有限责任公司</v>
          </cell>
          <cell r="Q67" t="str">
            <v>10</v>
          </cell>
          <cell r="R67">
            <v>46135</v>
          </cell>
        </row>
        <row r="67">
          <cell r="U67" t="str">
            <v>010000936727</v>
          </cell>
          <cell r="V67" t="str">
            <v>PANMINGTAO</v>
          </cell>
          <cell r="W67" t="str">
            <v/>
          </cell>
          <cell r="X67" t="str">
            <v>XC-3-1-1-3</v>
          </cell>
          <cell r="Y67" t="str">
            <v/>
          </cell>
          <cell r="Z67" t="str">
            <v>1902</v>
          </cell>
          <cell r="AA67" t="str">
            <v>1100163088</v>
          </cell>
          <cell r="AB67">
            <v>300</v>
          </cell>
          <cell r="AC67" t="str">
            <v/>
          </cell>
          <cell r="AD67">
            <v>4.2</v>
          </cell>
          <cell r="AE67" t="str">
            <v>G-100015632-260408-0118</v>
          </cell>
          <cell r="AF67" t="str">
            <v>1100163088/10</v>
          </cell>
        </row>
        <row r="68">
          <cell r="B68" t="str">
            <v>7101105556</v>
          </cell>
          <cell r="C68" t="str">
            <v>G2604-0917</v>
          </cell>
          <cell r="D68" t="str">
            <v>000036200000154877</v>
          </cell>
          <cell r="E68" t="str">
            <v>圆截面橡胶圈密封结构</v>
          </cell>
          <cell r="F68" t="str">
            <v>HB4-57J9-1987(CGB)</v>
          </cell>
          <cell r="G68" t="str">
            <v>28</v>
          </cell>
          <cell r="H68" t="str">
            <v/>
          </cell>
          <cell r="I68" t="str">
            <v/>
          </cell>
          <cell r="J68" t="str">
            <v>5860</v>
          </cell>
          <cell r="K68">
            <v>46</v>
          </cell>
          <cell r="L68">
            <v>46134</v>
          </cell>
          <cell r="M68" t="str">
            <v>3-配货完成</v>
          </cell>
        </row>
        <row r="68">
          <cell r="O68">
            <v>0</v>
          </cell>
          <cell r="P68" t="str">
            <v>成都飞机工业（集团）有限责任公司</v>
          </cell>
          <cell r="Q68" t="str">
            <v>50</v>
          </cell>
        </row>
        <row r="68">
          <cell r="U68" t="str">
            <v>010000936252</v>
          </cell>
          <cell r="V68" t="str">
            <v>BIAOQIAN8</v>
          </cell>
          <cell r="W68" t="str">
            <v/>
          </cell>
          <cell r="X68" t="str">
            <v>XC-29-1-1-5</v>
          </cell>
          <cell r="Y68" t="str">
            <v/>
          </cell>
          <cell r="Z68" t="str">
            <v>1902</v>
          </cell>
          <cell r="AA68" t="str">
            <v>1100162715</v>
          </cell>
          <cell r="AB68">
            <v>90</v>
          </cell>
          <cell r="AC68" t="str">
            <v/>
          </cell>
          <cell r="AD68">
            <v>19</v>
          </cell>
          <cell r="AE68" t="str">
            <v>G-100015632-260331-0108</v>
          </cell>
          <cell r="AF68" t="str">
            <v>1100162715/50</v>
          </cell>
        </row>
        <row r="69">
          <cell r="B69" t="str">
            <v>7101105623</v>
          </cell>
          <cell r="C69" t="str">
            <v>G2604-1536</v>
          </cell>
          <cell r="D69" t="str">
            <v>000036200000136259</v>
          </cell>
          <cell r="E69" t="str">
            <v>带垫P型卡箍</v>
          </cell>
          <cell r="F69" t="str">
            <v>Q/611S422-2017</v>
          </cell>
          <cell r="G69" t="str">
            <v>LBF12aB</v>
          </cell>
          <cell r="H69" t="str">
            <v/>
          </cell>
          <cell r="I69" t="str">
            <v/>
          </cell>
          <cell r="J69" t="str">
            <v>组件(国产材料)</v>
          </cell>
          <cell r="K69">
            <v>40</v>
          </cell>
          <cell r="L69">
            <v>46134</v>
          </cell>
          <cell r="M69" t="str">
            <v>3-配货完成</v>
          </cell>
        </row>
        <row r="69">
          <cell r="O69">
            <v>0</v>
          </cell>
          <cell r="P69" t="str">
            <v>成都飞机工业（集团）有限责任公司</v>
          </cell>
          <cell r="Q69" t="str">
            <v>90</v>
          </cell>
        </row>
        <row r="69">
          <cell r="U69" t="str">
            <v>010000939553</v>
          </cell>
          <cell r="V69" t="str">
            <v>BIAOQIAN8</v>
          </cell>
          <cell r="W69" t="str">
            <v/>
          </cell>
          <cell r="X69" t="str">
            <v>XC-31-1-2</v>
          </cell>
          <cell r="Y69" t="str">
            <v/>
          </cell>
          <cell r="Z69" t="str">
            <v>1902</v>
          </cell>
          <cell r="AA69" t="str">
            <v>1100163589</v>
          </cell>
          <cell r="AB69">
            <v>40</v>
          </cell>
          <cell r="AC69" t="str">
            <v/>
          </cell>
          <cell r="AD69">
            <v>40</v>
          </cell>
          <cell r="AE69" t="str">
            <v>G-100015632-260414-0133</v>
          </cell>
          <cell r="AF69" t="str">
            <v>1100163589/90</v>
          </cell>
        </row>
        <row r="70">
          <cell r="B70" t="str">
            <v>7101079343</v>
          </cell>
          <cell r="C70" t="str">
            <v>G2508-0800</v>
          </cell>
          <cell r="D70" t="str">
            <v>000042944288036320</v>
          </cell>
          <cell r="E70" t="str">
            <v>角形托板自锁螺母</v>
          </cell>
          <cell r="F70" t="str">
            <v>GB931-1988(XTJ)</v>
          </cell>
          <cell r="G70" t="str">
            <v>M10</v>
          </cell>
          <cell r="H70" t="str">
            <v>33-39HRC</v>
          </cell>
          <cell r="I70" t="str">
            <v>Ep·Cd·c2C</v>
          </cell>
          <cell r="J70" t="str">
            <v>ML25</v>
          </cell>
          <cell r="K70">
            <v>16</v>
          </cell>
          <cell r="L70">
            <v>46078</v>
          </cell>
          <cell r="M70" t="str">
            <v>3-配货完成</v>
          </cell>
        </row>
        <row r="70">
          <cell r="O70">
            <v>0</v>
          </cell>
          <cell r="P70" t="str">
            <v>成都飞机工业（集团）有限责任公司</v>
          </cell>
          <cell r="Q70" t="str">
            <v>30</v>
          </cell>
        </row>
        <row r="70">
          <cell r="U70" t="str">
            <v>010000853718</v>
          </cell>
          <cell r="V70" t="str">
            <v>BIAOQIAN2</v>
          </cell>
          <cell r="W70" t="str">
            <v/>
          </cell>
          <cell r="X70" t="str">
            <v>CP-108-A</v>
          </cell>
          <cell r="Y70" t="str">
            <v/>
          </cell>
          <cell r="Z70" t="str">
            <v>1902</v>
          </cell>
          <cell r="AA70" t="str">
            <v>1100128686</v>
          </cell>
          <cell r="AB70">
            <v>16</v>
          </cell>
          <cell r="AC70" t="str">
            <v/>
          </cell>
          <cell r="AD70">
            <v>4.15</v>
          </cell>
          <cell r="AE70" t="str">
            <v>G-100015632-240505-0044</v>
          </cell>
          <cell r="AF70" t="str">
            <v>1100128686/30</v>
          </cell>
        </row>
        <row r="71">
          <cell r="B71" t="str">
            <v>7101079342</v>
          </cell>
          <cell r="C71" t="str">
            <v>G2508-0800</v>
          </cell>
          <cell r="D71" t="str">
            <v>000042944288036320</v>
          </cell>
          <cell r="E71" t="str">
            <v>角形托板自锁螺母</v>
          </cell>
          <cell r="F71" t="str">
            <v>GB931-1988(XTJ)</v>
          </cell>
          <cell r="G71" t="str">
            <v>M10</v>
          </cell>
          <cell r="H71" t="str">
            <v>33-39HRC</v>
          </cell>
          <cell r="I71" t="str">
            <v>Ep·Cd·c2C</v>
          </cell>
          <cell r="J71" t="str">
            <v>ML25</v>
          </cell>
          <cell r="K71">
            <v>20</v>
          </cell>
          <cell r="L71">
            <v>46078</v>
          </cell>
          <cell r="M71" t="str">
            <v>3-配货完成</v>
          </cell>
        </row>
        <row r="71">
          <cell r="O71">
            <v>0</v>
          </cell>
          <cell r="P71" t="str">
            <v>成都飞机工业（集团）有限责任公司</v>
          </cell>
          <cell r="Q71" t="str">
            <v>40</v>
          </cell>
        </row>
        <row r="71">
          <cell r="U71" t="str">
            <v>010000853718</v>
          </cell>
          <cell r="V71" t="str">
            <v>BIAOQIAN2</v>
          </cell>
          <cell r="W71" t="str">
            <v/>
          </cell>
          <cell r="X71" t="str">
            <v>CP-108-A</v>
          </cell>
          <cell r="Y71" t="str">
            <v/>
          </cell>
          <cell r="Z71" t="str">
            <v>1902</v>
          </cell>
          <cell r="AA71" t="str">
            <v>1100128686</v>
          </cell>
          <cell r="AB71">
            <v>20</v>
          </cell>
          <cell r="AC71" t="str">
            <v/>
          </cell>
          <cell r="AD71">
            <v>4.15</v>
          </cell>
          <cell r="AE71" t="str">
            <v>G-100015632-240505-0044</v>
          </cell>
          <cell r="AF71" t="str">
            <v>1100128686/40</v>
          </cell>
        </row>
        <row r="73">
          <cell r="B73" t="str">
            <v>7101082137</v>
          </cell>
          <cell r="C73" t="str">
            <v>G2511-1421</v>
          </cell>
          <cell r="D73" t="str">
            <v>000042944319051641</v>
          </cell>
          <cell r="E73" t="str">
            <v>侧面托板螺母组件</v>
          </cell>
          <cell r="F73" t="str">
            <v>Q/611S352-2009(XTJ)</v>
          </cell>
          <cell r="G73" t="str">
            <v>B-MJ5×0.8-3</v>
          </cell>
          <cell r="H73" t="str">
            <v/>
          </cell>
          <cell r="I73" t="str">
            <v/>
          </cell>
          <cell r="J73" t="str">
            <v>组件</v>
          </cell>
          <cell r="K73">
            <v>16</v>
          </cell>
          <cell r="L73">
            <v>46084</v>
          </cell>
          <cell r="M73" t="str">
            <v>4-检验完成</v>
          </cell>
        </row>
        <row r="73">
          <cell r="O73">
            <v>0</v>
          </cell>
          <cell r="P73" t="str">
            <v>成都飞机工业（集团）有限责任公司</v>
          </cell>
          <cell r="Q73" t="str">
            <v>30</v>
          </cell>
          <cell r="R73">
            <v>46087</v>
          </cell>
        </row>
        <row r="73">
          <cell r="U73" t="str">
            <v>010000886391</v>
          </cell>
          <cell r="V73" t="str">
            <v>BIAOQIAN4</v>
          </cell>
          <cell r="W73" t="str">
            <v/>
          </cell>
          <cell r="X73" t="str">
            <v>CP-108-A</v>
          </cell>
          <cell r="Y73" t="str">
            <v/>
          </cell>
          <cell r="Z73" t="str">
            <v>1902</v>
          </cell>
          <cell r="AA73" t="str">
            <v>1100152644</v>
          </cell>
          <cell r="AB73">
            <v>959</v>
          </cell>
          <cell r="AC73" t="str">
            <v/>
          </cell>
          <cell r="AD73">
            <v>20.64</v>
          </cell>
          <cell r="AE73" t="str">
            <v>G-100015632-250905-0231</v>
          </cell>
          <cell r="AF73" t="str">
            <v>1100152644/30</v>
          </cell>
        </row>
        <row r="74">
          <cell r="B74" t="str">
            <v>7101081882</v>
          </cell>
          <cell r="C74" t="str">
            <v>G2508-0800</v>
          </cell>
          <cell r="D74" t="str">
            <v>000042944288036320</v>
          </cell>
          <cell r="E74" t="str">
            <v>角形托板自锁螺母</v>
          </cell>
          <cell r="F74" t="str">
            <v>GB931-1988(XTJ)</v>
          </cell>
          <cell r="G74" t="str">
            <v>M10</v>
          </cell>
          <cell r="H74" t="str">
            <v>33-39HRC</v>
          </cell>
          <cell r="I74" t="str">
            <v>Ep·Cd·c2C</v>
          </cell>
          <cell r="J74" t="str">
            <v>ML25</v>
          </cell>
          <cell r="K74">
            <v>30</v>
          </cell>
          <cell r="L74">
            <v>46084</v>
          </cell>
          <cell r="M74" t="str">
            <v>4-检验完成</v>
          </cell>
        </row>
        <row r="74">
          <cell r="O74">
            <v>0</v>
          </cell>
          <cell r="P74" t="str">
            <v>成都飞机工业（集团）有限责任公司</v>
          </cell>
          <cell r="Q74" t="str">
            <v>10</v>
          </cell>
          <cell r="R74">
            <v>46091</v>
          </cell>
        </row>
        <row r="74">
          <cell r="U74" t="str">
            <v>010000853718</v>
          </cell>
          <cell r="V74" t="str">
            <v>BIAOQIAN2</v>
          </cell>
          <cell r="W74" t="str">
            <v/>
          </cell>
          <cell r="X74" t="str">
            <v>CP-17-2-3-7</v>
          </cell>
          <cell r="Y74" t="str">
            <v/>
          </cell>
          <cell r="Z74" t="str">
            <v>1902</v>
          </cell>
          <cell r="AA74" t="str">
            <v>1100160864</v>
          </cell>
          <cell r="AB74">
            <v>30</v>
          </cell>
          <cell r="AC74" t="str">
            <v/>
          </cell>
          <cell r="AD74">
            <v>4.15</v>
          </cell>
          <cell r="AE74" t="str">
            <v>G-100015632-260227-0088XH</v>
          </cell>
          <cell r="AF74" t="str">
            <v>1100160864/10</v>
          </cell>
        </row>
        <row r="75">
          <cell r="B75">
            <v>7101103154</v>
          </cell>
          <cell r="C75" t="str">
            <v>G2603-1783</v>
          </cell>
          <cell r="D75">
            <v>42944239151252</v>
          </cell>
          <cell r="E75" t="str">
            <v>铰链螺栓</v>
          </cell>
          <cell r="F75" t="str">
            <v>7830C1A013P12</v>
          </cell>
          <cell r="G75" t="str">
            <v>-</v>
          </cell>
          <cell r="H75" t="str">
            <v>σb≥260ksi</v>
          </cell>
        </row>
        <row r="75">
          <cell r="J75" t="str">
            <v>GH6159</v>
          </cell>
          <cell r="K75">
            <v>8</v>
          </cell>
          <cell r="L75" t="str">
            <v>2026.04.17</v>
          </cell>
          <cell r="M75" t="str">
            <v>3-配货完成</v>
          </cell>
        </row>
        <row r="75">
          <cell r="P75" t="str">
            <v>成都飞机工业（集团）有限责任公司</v>
          </cell>
          <cell r="Q75">
            <v>10</v>
          </cell>
        </row>
        <row r="75">
          <cell r="U75">
            <v>10000930213</v>
          </cell>
          <cell r="V75" t="str">
            <v>BIAOQIAN3</v>
          </cell>
        </row>
        <row r="75">
          <cell r="X75" t="str">
            <v>CP-108-A</v>
          </cell>
        </row>
        <row r="75">
          <cell r="Z75">
            <v>1902</v>
          </cell>
          <cell r="AA75">
            <v>1100162674</v>
          </cell>
          <cell r="AB75">
            <v>8</v>
          </cell>
        </row>
        <row r="75">
          <cell r="AD75">
            <v>2665</v>
          </cell>
          <cell r="AE75" t="str">
            <v>G-100015632-260331-0107</v>
          </cell>
          <cell r="AF75" t="str">
            <v>1100162674/10</v>
          </cell>
        </row>
        <row r="76">
          <cell r="B76">
            <v>7101103152</v>
          </cell>
          <cell r="C76" t="str">
            <v>G2603-1783</v>
          </cell>
          <cell r="D76">
            <v>42944239151252</v>
          </cell>
          <cell r="E76" t="str">
            <v>铰链螺栓</v>
          </cell>
          <cell r="F76" t="str">
            <v>7830C1A013P12</v>
          </cell>
          <cell r="G76" t="str">
            <v>-</v>
          </cell>
          <cell r="H76" t="str">
            <v>σb≥260ksi</v>
          </cell>
        </row>
        <row r="76">
          <cell r="J76" t="str">
            <v>GH6159</v>
          </cell>
          <cell r="K76">
            <v>8</v>
          </cell>
          <cell r="L76" t="str">
            <v>2026.04.17</v>
          </cell>
          <cell r="M76" t="str">
            <v>3-配货完成</v>
          </cell>
        </row>
        <row r="76">
          <cell r="P76" t="str">
            <v>成都飞机工业（集团）有限责任公司</v>
          </cell>
          <cell r="Q76">
            <v>10</v>
          </cell>
        </row>
        <row r="76">
          <cell r="U76">
            <v>10000930213</v>
          </cell>
          <cell r="V76" t="str">
            <v>BIAOQIAN3</v>
          </cell>
        </row>
        <row r="76">
          <cell r="X76" t="str">
            <v>CP-108-A</v>
          </cell>
        </row>
        <row r="76">
          <cell r="Z76">
            <v>1902</v>
          </cell>
          <cell r="AA76">
            <v>1100161290</v>
          </cell>
          <cell r="AB76">
            <v>8</v>
          </cell>
        </row>
        <row r="76">
          <cell r="AD76">
            <v>2665</v>
          </cell>
          <cell r="AE76" t="str">
            <v>G-100015632-260305-0100</v>
          </cell>
          <cell r="AF76" t="str">
            <v>1100161290/10</v>
          </cell>
        </row>
      </sheetData>
      <sheetData sheetId="4">
        <row r="1">
          <cell r="D1" t="str">
            <v>单价</v>
          </cell>
          <cell r="E1" t="str">
            <v>金额</v>
          </cell>
          <cell r="F1" t="str">
            <v>订单数量</v>
          </cell>
          <cell r="G1" t="str">
            <v>已提货数量</v>
          </cell>
          <cell r="H1" t="str">
            <v>发货数量</v>
          </cell>
          <cell r="I1" t="str">
            <v>未提货数量</v>
          </cell>
          <cell r="J1" t="str">
            <v>提货单号</v>
          </cell>
          <cell r="K1" t="str">
            <v>拒绝原因</v>
          </cell>
          <cell r="L1" t="str">
            <v>客户订单编号</v>
          </cell>
          <cell r="M1" t="str">
            <v>交货工厂</v>
          </cell>
          <cell r="N1" t="str">
            <v>物料编号</v>
          </cell>
          <cell r="O1" t="str">
            <v>物品名称</v>
          </cell>
          <cell r="P1" t="str">
            <v>采用标准</v>
          </cell>
          <cell r="Q1" t="str">
            <v>规格</v>
          </cell>
          <cell r="R1" t="str">
            <v>材质</v>
          </cell>
          <cell r="S1" t="str">
            <v>性能等级</v>
          </cell>
          <cell r="T1" t="str">
            <v>表面处理</v>
          </cell>
          <cell r="U1" t="str">
            <v>创建日期</v>
          </cell>
          <cell r="V1" t="str">
            <v>订货日期</v>
          </cell>
          <cell r="W1" t="str">
            <v>请求交货日期</v>
          </cell>
          <cell r="X1" t="str">
            <v>清单备注要求</v>
          </cell>
        </row>
        <row r="2">
          <cell r="D2">
            <v>35.5</v>
          </cell>
          <cell r="E2">
            <v>3550</v>
          </cell>
          <cell r="F2">
            <v>100</v>
          </cell>
          <cell r="G2">
            <v>100</v>
          </cell>
          <cell r="H2">
            <v>100</v>
          </cell>
          <cell r="I2">
            <v>0</v>
          </cell>
          <cell r="J2" t="str">
            <v>7100913190</v>
          </cell>
          <cell r="K2" t="str">
            <v/>
          </cell>
          <cell r="L2" t="str">
            <v>G-100015632-250115-0008</v>
          </cell>
          <cell r="M2" t="str">
            <v>2600</v>
          </cell>
          <cell r="N2" t="str">
            <v>000036200000146453</v>
          </cell>
          <cell r="O2" t="str">
            <v>胶圈</v>
          </cell>
          <cell r="P2" t="str">
            <v>3HB6521-91(CGB)</v>
          </cell>
          <cell r="Q2" t="str">
            <v>75</v>
          </cell>
          <cell r="R2" t="str">
            <v>5080</v>
          </cell>
          <cell r="S2" t="str">
            <v/>
          </cell>
          <cell r="T2" t="str">
            <v/>
          </cell>
          <cell r="U2">
            <v>45673</v>
          </cell>
          <cell r="V2">
            <v>45672</v>
          </cell>
          <cell r="W2">
            <v>45703</v>
          </cell>
          <cell r="X2" t="str">
            <v>司采购-24-1-A13-0285-001</v>
          </cell>
        </row>
        <row r="3">
          <cell r="D3">
            <v>10.5</v>
          </cell>
          <cell r="E3">
            <v>1050</v>
          </cell>
          <cell r="F3">
            <v>100</v>
          </cell>
          <cell r="G3">
            <v>100</v>
          </cell>
          <cell r="H3">
            <v>100</v>
          </cell>
          <cell r="I3">
            <v>0</v>
          </cell>
          <cell r="J3" t="str">
            <v>7100913966</v>
          </cell>
          <cell r="K3" t="str">
            <v/>
          </cell>
          <cell r="L3" t="str">
            <v>G-100015632-250115-0008</v>
          </cell>
          <cell r="M3" t="str">
            <v>2600</v>
          </cell>
          <cell r="N3" t="str">
            <v>000036200000146454</v>
          </cell>
          <cell r="O3" t="str">
            <v>气密双耳托板自锁螺母</v>
          </cell>
          <cell r="P3" t="str">
            <v>GB933-88(CGB)</v>
          </cell>
          <cell r="Q3" t="str">
            <v>M4</v>
          </cell>
          <cell r="R3" t="str">
            <v>组件(螺母体ML25)</v>
          </cell>
          <cell r="S3" t="str">
            <v>33-39HRC</v>
          </cell>
          <cell r="T3" t="str">
            <v>Ep·Cd·c2C</v>
          </cell>
          <cell r="U3">
            <v>45673</v>
          </cell>
          <cell r="V3">
            <v>45672</v>
          </cell>
          <cell r="W3">
            <v>45703</v>
          </cell>
          <cell r="X3" t="str">
            <v>司采购-24-1-A13-0285-001</v>
          </cell>
        </row>
        <row r="4">
          <cell r="D4">
            <v>12</v>
          </cell>
          <cell r="E4">
            <v>1200</v>
          </cell>
          <cell r="F4">
            <v>100</v>
          </cell>
          <cell r="G4">
            <v>100</v>
          </cell>
          <cell r="H4">
            <v>100</v>
          </cell>
          <cell r="I4">
            <v>0</v>
          </cell>
          <cell r="J4" t="str">
            <v>7100909166</v>
          </cell>
          <cell r="K4" t="str">
            <v/>
          </cell>
          <cell r="L4" t="str">
            <v>G-100015632-250115-0008</v>
          </cell>
          <cell r="M4" t="str">
            <v>2600</v>
          </cell>
          <cell r="N4" t="str">
            <v>000036200000146457</v>
          </cell>
          <cell r="O4" t="str">
            <v>胶圈</v>
          </cell>
          <cell r="P4" t="str">
            <v>Q/3A4-41J1(CGB)</v>
          </cell>
          <cell r="Q4" t="str">
            <v>13</v>
          </cell>
          <cell r="R4" t="str">
            <v>5171</v>
          </cell>
          <cell r="S4" t="str">
            <v/>
          </cell>
          <cell r="T4" t="str">
            <v/>
          </cell>
          <cell r="U4">
            <v>45673</v>
          </cell>
          <cell r="V4">
            <v>45672</v>
          </cell>
          <cell r="W4">
            <v>45703</v>
          </cell>
          <cell r="X4" t="str">
            <v>司采购-24-1-A13-0285-001</v>
          </cell>
        </row>
        <row r="5">
          <cell r="D5">
            <v>18</v>
          </cell>
          <cell r="E5">
            <v>1800</v>
          </cell>
          <cell r="F5">
            <v>100</v>
          </cell>
          <cell r="G5">
            <v>100</v>
          </cell>
          <cell r="H5">
            <v>100</v>
          </cell>
          <cell r="I5">
            <v>0</v>
          </cell>
          <cell r="J5" t="str">
            <v>7100913190</v>
          </cell>
          <cell r="K5" t="str">
            <v/>
          </cell>
          <cell r="L5" t="str">
            <v>G-100015632-250115-0008</v>
          </cell>
          <cell r="M5" t="str">
            <v>2600</v>
          </cell>
          <cell r="N5" t="str">
            <v>000036200000146458</v>
          </cell>
          <cell r="O5" t="str">
            <v>胶圈</v>
          </cell>
          <cell r="P5" t="str">
            <v>Q/3A4-41J1(CGB)</v>
          </cell>
          <cell r="Q5" t="str">
            <v>20</v>
          </cell>
          <cell r="R5" t="str">
            <v>5171</v>
          </cell>
          <cell r="S5" t="str">
            <v/>
          </cell>
          <cell r="T5" t="str">
            <v/>
          </cell>
          <cell r="U5">
            <v>45673</v>
          </cell>
          <cell r="V5">
            <v>45672</v>
          </cell>
          <cell r="W5">
            <v>45703</v>
          </cell>
          <cell r="X5" t="str">
            <v>司采购-24-1-A13-0285-001</v>
          </cell>
        </row>
        <row r="6">
          <cell r="D6">
            <v>22.5</v>
          </cell>
          <cell r="E6">
            <v>2250</v>
          </cell>
          <cell r="F6">
            <v>100</v>
          </cell>
          <cell r="G6">
            <v>100</v>
          </cell>
          <cell r="H6">
            <v>0</v>
          </cell>
          <cell r="I6">
            <v>0</v>
          </cell>
          <cell r="J6" t="str">
            <v>7100915946</v>
          </cell>
          <cell r="K6" t="str">
            <v/>
          </cell>
          <cell r="L6" t="str">
            <v>G-100015632-250115-0008</v>
          </cell>
          <cell r="M6" t="str">
            <v>2600</v>
          </cell>
          <cell r="N6" t="str">
            <v>000036200000146459</v>
          </cell>
          <cell r="O6" t="str">
            <v>密封胶圈</v>
          </cell>
          <cell r="P6" t="str">
            <v>Q/3A4-7J1(CGB)</v>
          </cell>
          <cell r="Q6" t="str">
            <v>35.4</v>
          </cell>
          <cell r="R6" t="str">
            <v>试5171</v>
          </cell>
          <cell r="S6" t="str">
            <v/>
          </cell>
          <cell r="T6" t="str">
            <v/>
          </cell>
          <cell r="U6">
            <v>45673</v>
          </cell>
          <cell r="V6">
            <v>45672</v>
          </cell>
          <cell r="W6">
            <v>45703</v>
          </cell>
          <cell r="X6" t="str">
            <v>司采购-24-1-A13-0285-001</v>
          </cell>
        </row>
        <row r="7">
          <cell r="D7">
            <v>34.6</v>
          </cell>
          <cell r="E7">
            <v>3460</v>
          </cell>
          <cell r="F7">
            <v>100</v>
          </cell>
          <cell r="G7">
            <v>100</v>
          </cell>
          <cell r="H7">
            <v>100</v>
          </cell>
          <cell r="I7">
            <v>0</v>
          </cell>
          <cell r="J7" t="str">
            <v>7100913190</v>
          </cell>
          <cell r="K7" t="str">
            <v/>
          </cell>
          <cell r="L7" t="str">
            <v>G-100015632-250115-0008</v>
          </cell>
          <cell r="M7" t="str">
            <v>2600</v>
          </cell>
          <cell r="N7" t="str">
            <v>000036200000146460</v>
          </cell>
          <cell r="O7" t="str">
            <v>密封胶圈</v>
          </cell>
          <cell r="P7" t="str">
            <v>Q/3A4-7J1(CGB)</v>
          </cell>
          <cell r="Q7" t="str">
            <v>54.4</v>
          </cell>
          <cell r="R7" t="str">
            <v>试5171</v>
          </cell>
          <cell r="S7" t="str">
            <v/>
          </cell>
          <cell r="T7" t="str">
            <v/>
          </cell>
          <cell r="U7">
            <v>45673</v>
          </cell>
          <cell r="V7">
            <v>45672</v>
          </cell>
          <cell r="W7">
            <v>45703</v>
          </cell>
          <cell r="X7" t="str">
            <v>司采购-24-1-A13-0285-001</v>
          </cell>
        </row>
        <row r="8">
          <cell r="D8">
            <v>19</v>
          </cell>
          <cell r="E8">
            <v>1900</v>
          </cell>
          <cell r="F8">
            <v>100</v>
          </cell>
          <cell r="G8">
            <v>100</v>
          </cell>
          <cell r="H8">
            <v>100</v>
          </cell>
          <cell r="I8">
            <v>0</v>
          </cell>
          <cell r="J8" t="str">
            <v>7100913241</v>
          </cell>
          <cell r="K8" t="str">
            <v/>
          </cell>
          <cell r="L8" t="str">
            <v>G-100015632-250115-0008</v>
          </cell>
          <cell r="M8" t="str">
            <v>2600</v>
          </cell>
          <cell r="N8" t="str">
            <v>000036200000146461</v>
          </cell>
          <cell r="O8" t="str">
            <v>密封胶圈</v>
          </cell>
          <cell r="P8" t="str">
            <v>Q/3A4-7J1(CGB)</v>
          </cell>
          <cell r="Q8" t="str">
            <v>21.6</v>
          </cell>
          <cell r="R8" t="str">
            <v>试5171</v>
          </cell>
          <cell r="S8" t="str">
            <v/>
          </cell>
          <cell r="T8" t="str">
            <v/>
          </cell>
          <cell r="U8">
            <v>45673</v>
          </cell>
          <cell r="V8">
            <v>45672</v>
          </cell>
          <cell r="W8">
            <v>45703</v>
          </cell>
          <cell r="X8" t="str">
            <v>司采购-24-1-A13-0285-001</v>
          </cell>
        </row>
        <row r="9">
          <cell r="D9">
            <v>22</v>
          </cell>
          <cell r="E9">
            <v>2200</v>
          </cell>
          <cell r="F9">
            <v>100</v>
          </cell>
          <cell r="G9">
            <v>100</v>
          </cell>
          <cell r="H9">
            <v>100</v>
          </cell>
          <cell r="I9">
            <v>0</v>
          </cell>
          <cell r="J9" t="str">
            <v>7100913241</v>
          </cell>
          <cell r="K9" t="str">
            <v/>
          </cell>
          <cell r="L9" t="str">
            <v>G-100015632-250115-0008</v>
          </cell>
          <cell r="M9" t="str">
            <v>2600</v>
          </cell>
          <cell r="N9" t="str">
            <v>000036200000146462</v>
          </cell>
          <cell r="O9" t="str">
            <v>圆截面橡胶圈密封结构</v>
          </cell>
          <cell r="P9" t="str">
            <v>HB4-56J1-87(CGB)</v>
          </cell>
          <cell r="Q9" t="str">
            <v>46</v>
          </cell>
          <cell r="R9" t="str">
            <v>试5171</v>
          </cell>
          <cell r="S9" t="str">
            <v/>
          </cell>
          <cell r="T9" t="str">
            <v/>
          </cell>
          <cell r="U9">
            <v>45673</v>
          </cell>
          <cell r="V9">
            <v>45672</v>
          </cell>
          <cell r="W9">
            <v>45703</v>
          </cell>
          <cell r="X9" t="str">
            <v>司采购-24-1-A13-0285-001</v>
          </cell>
        </row>
        <row r="10">
          <cell r="D10">
            <v>20.64</v>
          </cell>
          <cell r="E10">
            <v>291849.6</v>
          </cell>
          <cell r="F10">
            <v>14140</v>
          </cell>
          <cell r="G10">
            <v>3194</v>
          </cell>
          <cell r="H10">
            <v>3194</v>
          </cell>
          <cell r="I10">
            <v>10946</v>
          </cell>
          <cell r="J10" t="str">
            <v>7100908216</v>
          </cell>
          <cell r="K10" t="str">
            <v/>
          </cell>
          <cell r="L10" t="str">
            <v>G-100015632-250110-0007</v>
          </cell>
          <cell r="M10" t="str">
            <v>2000</v>
          </cell>
          <cell r="N10" t="str">
            <v>000042944319051633</v>
          </cell>
          <cell r="O10" t="str">
            <v>侧面托板螺母</v>
          </cell>
          <cell r="P10" t="str">
            <v>Q/611S352-2009(XTJ)</v>
          </cell>
          <cell r="Q10" t="str">
            <v>A-MJ5×0.8-2</v>
          </cell>
          <cell r="R10" t="str">
            <v>组件</v>
          </cell>
          <cell r="S10" t="str">
            <v/>
          </cell>
          <cell r="T10" t="str">
            <v/>
          </cell>
          <cell r="U10">
            <v>45667</v>
          </cell>
          <cell r="V10">
            <v>45667</v>
          </cell>
          <cell r="W10">
            <v>45713</v>
          </cell>
          <cell r="X10" t="str">
            <v>司采购-24-1-A17-5074-001</v>
          </cell>
        </row>
        <row r="11">
          <cell r="D11">
            <v>20.64</v>
          </cell>
          <cell r="E11">
            <v>10320</v>
          </cell>
          <cell r="F11">
            <v>500</v>
          </cell>
          <cell r="G11">
            <v>340</v>
          </cell>
          <cell r="H11">
            <v>0</v>
          </cell>
          <cell r="I11">
            <v>160</v>
          </cell>
          <cell r="J11" t="str">
            <v>7100910583</v>
          </cell>
          <cell r="K11" t="str">
            <v/>
          </cell>
          <cell r="L11" t="str">
            <v>G-100015632-250110-0007</v>
          </cell>
          <cell r="M11" t="str">
            <v>2000</v>
          </cell>
          <cell r="N11" t="str">
            <v>000042944319051639</v>
          </cell>
          <cell r="O11" t="str">
            <v>侧面托板螺母组件</v>
          </cell>
          <cell r="P11" t="str">
            <v>Q/611S352-2009(XTJ)</v>
          </cell>
          <cell r="Q11" t="str">
            <v>B-MJ5×0.8-1</v>
          </cell>
          <cell r="R11" t="str">
            <v>组件</v>
          </cell>
          <cell r="S11" t="str">
            <v/>
          </cell>
          <cell r="T11" t="str">
            <v/>
          </cell>
          <cell r="U11">
            <v>45667</v>
          </cell>
          <cell r="V11">
            <v>45667</v>
          </cell>
          <cell r="W11">
            <v>45713</v>
          </cell>
          <cell r="X11" t="str">
            <v>司采购-24-1-A17-5074-001</v>
          </cell>
        </row>
        <row r="12">
          <cell r="D12">
            <v>43.74</v>
          </cell>
          <cell r="E12">
            <v>69984</v>
          </cell>
          <cell r="F12">
            <v>1600</v>
          </cell>
          <cell r="G12">
            <v>1565</v>
          </cell>
          <cell r="H12">
            <v>1565</v>
          </cell>
          <cell r="I12">
            <v>35</v>
          </cell>
          <cell r="J12" t="str">
            <v>7100912154</v>
          </cell>
          <cell r="K12" t="str">
            <v/>
          </cell>
          <cell r="L12" t="str">
            <v>G-100015632-250106-0003</v>
          </cell>
          <cell r="M12" t="str">
            <v>2000</v>
          </cell>
          <cell r="N12" t="str">
            <v>000042944239102897</v>
          </cell>
          <cell r="O12" t="str">
            <v>高强度120°沉头螺栓</v>
          </cell>
          <cell r="P12" t="str">
            <v>Q/611S447-2012</v>
          </cell>
          <cell r="Q12" t="str">
            <v>6×13</v>
          </cell>
          <cell r="R12" t="str">
            <v>PH13-8Mo</v>
          </cell>
          <cell r="S12" t="str">
            <v>σb≥1250MPa,τb≥861MPa</v>
          </cell>
          <cell r="T12" t="str">
            <v>钝化+二硫化钼</v>
          </cell>
          <cell r="U12">
            <v>45664</v>
          </cell>
          <cell r="V12">
            <v>45663</v>
          </cell>
          <cell r="W12">
            <v>45716</v>
          </cell>
          <cell r="X12" t="str">
            <v>司采购-24-1-A13-0150-007</v>
          </cell>
        </row>
        <row r="13">
          <cell r="D13">
            <v>43.74</v>
          </cell>
          <cell r="E13">
            <v>437400</v>
          </cell>
          <cell r="F13">
            <v>10000</v>
          </cell>
          <cell r="G13">
            <v>6422</v>
          </cell>
          <cell r="H13">
            <v>0</v>
          </cell>
          <cell r="I13">
            <v>3578</v>
          </cell>
          <cell r="J13" t="str">
            <v>7100913896</v>
          </cell>
          <cell r="K13" t="str">
            <v/>
          </cell>
          <cell r="L13" t="str">
            <v>G-100015632-250106-0003</v>
          </cell>
          <cell r="M13" t="str">
            <v>2000</v>
          </cell>
          <cell r="N13" t="str">
            <v>000042944239009882</v>
          </cell>
          <cell r="O13" t="str">
            <v>高强度120°沉头螺栓</v>
          </cell>
          <cell r="P13" t="str">
            <v>Q/611S447-2012</v>
          </cell>
          <cell r="Q13" t="str">
            <v>6×14</v>
          </cell>
          <cell r="R13" t="str">
            <v>PH13-8Mo</v>
          </cell>
          <cell r="S13" t="str">
            <v>σb≥1250MPa,τb≥861MPa</v>
          </cell>
          <cell r="T13" t="str">
            <v>钝化+二硫化钼</v>
          </cell>
          <cell r="U13">
            <v>45664</v>
          </cell>
          <cell r="V13">
            <v>45663</v>
          </cell>
          <cell r="W13">
            <v>45716</v>
          </cell>
          <cell r="X13" t="str">
            <v>司采购-24-1-A13-0150-007</v>
          </cell>
        </row>
        <row r="14">
          <cell r="D14">
            <v>43.74</v>
          </cell>
          <cell r="E14">
            <v>262440</v>
          </cell>
          <cell r="F14">
            <v>6000</v>
          </cell>
          <cell r="G14">
            <v>5715</v>
          </cell>
          <cell r="H14">
            <v>5715</v>
          </cell>
          <cell r="I14">
            <v>285</v>
          </cell>
          <cell r="J14" t="str">
            <v>7100910934</v>
          </cell>
          <cell r="K14" t="str">
            <v/>
          </cell>
          <cell r="L14" t="str">
            <v>G-100015632-250106-0003</v>
          </cell>
          <cell r="M14" t="str">
            <v>2000</v>
          </cell>
          <cell r="N14" t="str">
            <v>000042944239009883</v>
          </cell>
          <cell r="O14" t="str">
            <v>高强度120°沉头螺栓</v>
          </cell>
          <cell r="P14" t="str">
            <v>Q/611S447-2012</v>
          </cell>
          <cell r="Q14" t="str">
            <v>6×15</v>
          </cell>
          <cell r="R14" t="str">
            <v>PH13-8Mo</v>
          </cell>
          <cell r="S14" t="str">
            <v>σb≥1250MPa,τb≥861MPa</v>
          </cell>
          <cell r="T14" t="str">
            <v>钝化+二硫化钼</v>
          </cell>
          <cell r="U14">
            <v>45664</v>
          </cell>
          <cell r="V14">
            <v>45663</v>
          </cell>
          <cell r="W14">
            <v>45716</v>
          </cell>
          <cell r="X14" t="str">
            <v>司采购-24-1-A13-0150-007</v>
          </cell>
        </row>
        <row r="15">
          <cell r="D15">
            <v>43.74</v>
          </cell>
          <cell r="E15">
            <v>481140</v>
          </cell>
          <cell r="F15">
            <v>11000</v>
          </cell>
          <cell r="G15">
            <v>10563</v>
          </cell>
          <cell r="H15">
            <v>10563</v>
          </cell>
          <cell r="I15">
            <v>437</v>
          </cell>
          <cell r="J15" t="str">
            <v>7100913366</v>
          </cell>
          <cell r="K15" t="str">
            <v/>
          </cell>
          <cell r="L15" t="str">
            <v>G-100015632-250106-0003</v>
          </cell>
          <cell r="M15" t="str">
            <v>2000</v>
          </cell>
          <cell r="N15" t="str">
            <v>000042944239001946</v>
          </cell>
          <cell r="O15" t="str">
            <v>高强度120°沉头螺栓</v>
          </cell>
          <cell r="P15" t="str">
            <v>Q/611S447-2012</v>
          </cell>
          <cell r="Q15" t="str">
            <v>6×16</v>
          </cell>
          <cell r="R15" t="str">
            <v>PH13-8Mo</v>
          </cell>
          <cell r="S15" t="str">
            <v>σb≥1250MPa,τb≥861MPa</v>
          </cell>
          <cell r="T15" t="str">
            <v>钝化,二硫化钼干膜润滑</v>
          </cell>
          <cell r="U15">
            <v>45664</v>
          </cell>
          <cell r="V15">
            <v>45663</v>
          </cell>
          <cell r="W15">
            <v>45716</v>
          </cell>
          <cell r="X15" t="str">
            <v>司采购-24-1-A13-0150-007</v>
          </cell>
        </row>
        <row r="16">
          <cell r="D16">
            <v>43.74</v>
          </cell>
          <cell r="E16">
            <v>174960</v>
          </cell>
          <cell r="F16">
            <v>4000</v>
          </cell>
          <cell r="G16">
            <v>4000</v>
          </cell>
          <cell r="H16">
            <v>0</v>
          </cell>
          <cell r="I16">
            <v>0</v>
          </cell>
          <cell r="J16" t="str">
            <v>7100914194</v>
          </cell>
          <cell r="K16" t="str">
            <v/>
          </cell>
          <cell r="L16" t="str">
            <v>G-100015632-250106-0003</v>
          </cell>
          <cell r="M16" t="str">
            <v>2000</v>
          </cell>
          <cell r="N16" t="str">
            <v>000042944239009884</v>
          </cell>
          <cell r="O16" t="str">
            <v>高强度120°沉头螺栓</v>
          </cell>
          <cell r="P16" t="str">
            <v>Q/611S447-2012</v>
          </cell>
          <cell r="Q16" t="str">
            <v>6×17</v>
          </cell>
          <cell r="R16" t="str">
            <v>PH13-8Mo</v>
          </cell>
          <cell r="S16" t="str">
            <v>σb≥1250MPa,τb≥861MPa</v>
          </cell>
          <cell r="T16" t="str">
            <v>钝化+二硫化钼</v>
          </cell>
          <cell r="U16">
            <v>45664</v>
          </cell>
          <cell r="V16">
            <v>45663</v>
          </cell>
          <cell r="W16">
            <v>45716</v>
          </cell>
          <cell r="X16" t="str">
            <v>司采购-24-1-A13-0150-007</v>
          </cell>
        </row>
        <row r="17">
          <cell r="D17">
            <v>43.74</v>
          </cell>
          <cell r="E17">
            <v>61236</v>
          </cell>
          <cell r="F17">
            <v>1400</v>
          </cell>
          <cell r="G17">
            <v>1400</v>
          </cell>
          <cell r="H17">
            <v>1377</v>
          </cell>
          <cell r="I17">
            <v>0</v>
          </cell>
          <cell r="J17" t="str">
            <v>7100914305</v>
          </cell>
          <cell r="K17" t="str">
            <v/>
          </cell>
          <cell r="L17" t="str">
            <v>G-100015632-250106-0003</v>
          </cell>
          <cell r="M17" t="str">
            <v>2000</v>
          </cell>
          <cell r="N17" t="str">
            <v>000042944239001954</v>
          </cell>
          <cell r="O17" t="str">
            <v>高强度120°沉头螺栓</v>
          </cell>
          <cell r="P17" t="str">
            <v>Q/611S447-2012</v>
          </cell>
          <cell r="Q17" t="str">
            <v>6×9</v>
          </cell>
          <cell r="R17" t="str">
            <v>PH13-8Mo</v>
          </cell>
          <cell r="S17" t="str">
            <v>σb≥1250MPa,τb≥861MPa</v>
          </cell>
          <cell r="T17" t="str">
            <v>钝化,二硫化钼干膜润滑</v>
          </cell>
          <cell r="U17">
            <v>45664</v>
          </cell>
          <cell r="V17">
            <v>45663</v>
          </cell>
          <cell r="W17">
            <v>45747</v>
          </cell>
          <cell r="X17" t="str">
            <v>司采购-24-1-A13-0150-007</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GB 2025合同"/>
      <sheetName val="CGB"/>
      <sheetName val="成飞构型表"/>
      <sheetName val="物料"/>
      <sheetName val="匹配"/>
    </sheetNames>
    <sheetDataSet>
      <sheetData sheetId="0" refreshError="1"/>
      <sheetData sheetId="1" refreshError="1"/>
      <sheetData sheetId="2" refreshError="1"/>
      <sheetData sheetId="3" refreshError="1"/>
      <sheetData sheetId="4">
        <row r="1">
          <cell r="B1" t="str">
            <v>提货单号</v>
          </cell>
          <cell r="C1" t="str">
            <v>批号</v>
          </cell>
          <cell r="D1" t="str">
            <v>物料编号</v>
          </cell>
          <cell r="E1" t="str">
            <v>物品名称</v>
          </cell>
          <cell r="F1" t="str">
            <v>采用标准</v>
          </cell>
          <cell r="G1" t="str">
            <v>规格</v>
          </cell>
          <cell r="H1" t="str">
            <v>性能等级</v>
          </cell>
          <cell r="I1" t="str">
            <v>表面处理</v>
          </cell>
          <cell r="J1" t="str">
            <v>材质</v>
          </cell>
          <cell r="K1" t="str">
            <v>已提货数量</v>
          </cell>
          <cell r="L1" t="str">
            <v>提货创建日期</v>
          </cell>
          <cell r="M1" t="str">
            <v>提货单状态</v>
          </cell>
          <cell r="N1" t="str">
            <v>运单回填日期</v>
          </cell>
          <cell r="O1" t="str">
            <v>运单回填时间</v>
          </cell>
          <cell r="P1" t="str">
            <v>售达方描述</v>
          </cell>
          <cell r="Q1" t="str">
            <v>销售凭证项目</v>
          </cell>
          <cell r="R1" t="str">
            <v>检验日期</v>
          </cell>
          <cell r="S1" t="str">
            <v>包装日期</v>
          </cell>
          <cell r="T1" t="str">
            <v>过帐日期</v>
          </cell>
          <cell r="U1" t="str">
            <v>生产订单</v>
          </cell>
          <cell r="V1" t="str">
            <v>配货人</v>
          </cell>
          <cell r="W1" t="str">
            <v>取消原因</v>
          </cell>
          <cell r="X1" t="str">
            <v>货位号</v>
          </cell>
          <cell r="Y1" t="str">
            <v>包装人</v>
          </cell>
          <cell r="Z1" t="str">
            <v>销售办公室</v>
          </cell>
          <cell r="AA1" t="str">
            <v>销售凭证</v>
          </cell>
          <cell r="AB1" t="str">
            <v>订单数量</v>
          </cell>
          <cell r="AC1" t="str">
            <v>调度令号码</v>
          </cell>
          <cell r="AD1" t="str">
            <v>价格</v>
          </cell>
          <cell r="AE1" t="str">
            <v>客户采购订单编号</v>
          </cell>
          <cell r="AF1" t="str">
            <v>销售订单行</v>
          </cell>
        </row>
        <row r="2">
          <cell r="B2" t="str">
            <v>7101039069</v>
          </cell>
          <cell r="C2" t="str">
            <v>G2508-0402</v>
          </cell>
          <cell r="D2" t="str">
            <v>000042944000143728</v>
          </cell>
          <cell r="E2" t="str">
            <v>17-7PH带垫P型卡箍</v>
          </cell>
          <cell r="F2" t="str">
            <v>Q/611S538-2017</v>
          </cell>
          <cell r="G2" t="str">
            <v>J38B</v>
          </cell>
          <cell r="H2" t="str">
            <v/>
          </cell>
          <cell r="I2" t="str">
            <v/>
          </cell>
          <cell r="J2" t="str">
            <v>组件(国产材料)</v>
          </cell>
          <cell r="K2">
            <v>17</v>
          </cell>
          <cell r="L2">
            <v>45982</v>
          </cell>
          <cell r="M2" t="str">
            <v>3-配货完成</v>
          </cell>
        </row>
        <row r="2">
          <cell r="O2">
            <v>0</v>
          </cell>
          <cell r="P2" t="str">
            <v>成都飞机工业（集团）有限责任公司</v>
          </cell>
          <cell r="Q2" t="str">
            <v>40</v>
          </cell>
        </row>
        <row r="2">
          <cell r="U2" t="str">
            <v>010000852547</v>
          </cell>
          <cell r="V2" t="str">
            <v>PANMINGTAO</v>
          </cell>
          <cell r="W2" t="str">
            <v/>
          </cell>
          <cell r="X2" t="str">
            <v>XC-31-1-4</v>
          </cell>
          <cell r="Y2" t="str">
            <v/>
          </cell>
          <cell r="Z2" t="str">
            <v>1902</v>
          </cell>
          <cell r="AA2" t="str">
            <v>1100139857</v>
          </cell>
          <cell r="AB2">
            <v>180</v>
          </cell>
          <cell r="AC2" t="str">
            <v/>
          </cell>
          <cell r="AD2">
            <v>80.76</v>
          </cell>
          <cell r="AE2" t="str">
            <v>G-100015632-250106-0002</v>
          </cell>
          <cell r="AF2" t="str">
            <v>1100139857/40</v>
          </cell>
        </row>
        <row r="3">
          <cell r="B3" t="str">
            <v>7101039070</v>
          </cell>
          <cell r="C3" t="str">
            <v>G2508-0402</v>
          </cell>
          <cell r="D3" t="str">
            <v>000042944000143728</v>
          </cell>
          <cell r="E3" t="str">
            <v>17-7PH带垫P型卡箍</v>
          </cell>
          <cell r="F3" t="str">
            <v>Q/611S538-2017</v>
          </cell>
          <cell r="G3" t="str">
            <v>J38B</v>
          </cell>
          <cell r="H3" t="str">
            <v/>
          </cell>
          <cell r="I3" t="str">
            <v/>
          </cell>
          <cell r="J3" t="str">
            <v>组件(国产材料)</v>
          </cell>
          <cell r="K3">
            <v>200</v>
          </cell>
          <cell r="L3">
            <v>45982</v>
          </cell>
          <cell r="M3" t="str">
            <v>3-配货完成</v>
          </cell>
        </row>
        <row r="3">
          <cell r="O3">
            <v>0</v>
          </cell>
          <cell r="P3" t="str">
            <v>成都飞机工业（集团）有限责任公司</v>
          </cell>
          <cell r="Q3" t="str">
            <v>280</v>
          </cell>
        </row>
        <row r="3">
          <cell r="U3" t="str">
            <v>010000852547</v>
          </cell>
          <cell r="V3" t="str">
            <v>PANMINGTAO</v>
          </cell>
          <cell r="W3" t="str">
            <v/>
          </cell>
          <cell r="X3" t="str">
            <v>XC-31-1-4</v>
          </cell>
          <cell r="Y3" t="str">
            <v/>
          </cell>
          <cell r="Z3" t="str">
            <v>1902</v>
          </cell>
          <cell r="AA3" t="str">
            <v>1100151302</v>
          </cell>
          <cell r="AB3">
            <v>200</v>
          </cell>
          <cell r="AC3" t="str">
            <v/>
          </cell>
          <cell r="AD3">
            <v>72.88</v>
          </cell>
          <cell r="AE3" t="str">
            <v>G-100015632-250811-0202</v>
          </cell>
          <cell r="AF3" t="str">
            <v>1100151302/280</v>
          </cell>
        </row>
        <row r="4">
          <cell r="B4" t="str">
            <v>7101050566</v>
          </cell>
          <cell r="C4" t="str">
            <v>G2510-0506</v>
          </cell>
          <cell r="D4" t="str">
            <v>000042944000154834</v>
          </cell>
          <cell r="E4" t="str">
            <v>17-7PH带垫P型卡箍</v>
          </cell>
          <cell r="F4" t="str">
            <v>Q/611S538-2017</v>
          </cell>
          <cell r="G4" t="str">
            <v>J6B</v>
          </cell>
          <cell r="H4" t="str">
            <v/>
          </cell>
          <cell r="I4" t="str">
            <v/>
          </cell>
          <cell r="J4" t="str">
            <v>组件(国产材料)</v>
          </cell>
          <cell r="K4">
            <v>10</v>
          </cell>
          <cell r="L4">
            <v>46007</v>
          </cell>
          <cell r="M4" t="str">
            <v>3-配货完成</v>
          </cell>
        </row>
        <row r="4">
          <cell r="O4">
            <v>0</v>
          </cell>
          <cell r="P4" t="str">
            <v>成都飞机工业（集团）有限责任公司</v>
          </cell>
          <cell r="Q4" t="str">
            <v>320</v>
          </cell>
        </row>
        <row r="4">
          <cell r="U4" t="str">
            <v>010000872712</v>
          </cell>
          <cell r="V4" t="str">
            <v>PANMINGTAO</v>
          </cell>
          <cell r="W4" t="str">
            <v/>
          </cell>
          <cell r="X4" t="str">
            <v>XC-31-1-2</v>
          </cell>
          <cell r="Y4" t="str">
            <v/>
          </cell>
          <cell r="Z4" t="str">
            <v>1902</v>
          </cell>
          <cell r="AA4" t="str">
            <v>1100153602</v>
          </cell>
          <cell r="AB4">
            <v>30</v>
          </cell>
          <cell r="AC4" t="str">
            <v/>
          </cell>
          <cell r="AD4">
            <v>39.58</v>
          </cell>
          <cell r="AE4" t="str">
            <v>G-100015632-250928-0249</v>
          </cell>
          <cell r="AF4" t="str">
            <v>1100153602/320</v>
          </cell>
        </row>
        <row r="5">
          <cell r="B5" t="str">
            <v>7101050569</v>
          </cell>
          <cell r="C5" t="str">
            <v>G2511-1844</v>
          </cell>
          <cell r="D5" t="str">
            <v>000042944000143860</v>
          </cell>
          <cell r="E5" t="str">
            <v>带垫P型卡箍</v>
          </cell>
          <cell r="F5" t="str">
            <v>Q/611S422-2017</v>
          </cell>
          <cell r="G5" t="str">
            <v>LBF22B</v>
          </cell>
          <cell r="H5" t="str">
            <v/>
          </cell>
          <cell r="I5" t="str">
            <v/>
          </cell>
          <cell r="J5" t="str">
            <v>组件(国产材料)</v>
          </cell>
          <cell r="K5">
            <v>10</v>
          </cell>
          <cell r="L5">
            <v>46007</v>
          </cell>
          <cell r="M5" t="str">
            <v>3-配货完成</v>
          </cell>
        </row>
        <row r="5">
          <cell r="O5">
            <v>0</v>
          </cell>
          <cell r="P5" t="str">
            <v>成都飞机工业（集团）有限责任公司</v>
          </cell>
          <cell r="Q5" t="str">
            <v>100</v>
          </cell>
        </row>
        <row r="5">
          <cell r="U5" t="str">
            <v>010000888642</v>
          </cell>
          <cell r="V5" t="str">
            <v>PANMINGTAO</v>
          </cell>
          <cell r="W5" t="str">
            <v/>
          </cell>
          <cell r="X5" t="str">
            <v>XC-30-1-2</v>
          </cell>
          <cell r="Y5" t="str">
            <v/>
          </cell>
          <cell r="Z5" t="str">
            <v>1902</v>
          </cell>
          <cell r="AA5" t="str">
            <v>1100152032</v>
          </cell>
          <cell r="AB5">
            <v>850</v>
          </cell>
          <cell r="AC5" t="str">
            <v/>
          </cell>
          <cell r="AD5">
            <v>75</v>
          </cell>
          <cell r="AE5" t="str">
            <v>G-100015632-250827-0222</v>
          </cell>
          <cell r="AF5" t="str">
            <v>1100152032/100</v>
          </cell>
        </row>
        <row r="6">
          <cell r="B6" t="str">
            <v>7101052862</v>
          </cell>
          <cell r="C6" t="str">
            <v>G2510-1742</v>
          </cell>
          <cell r="D6" t="str">
            <v>000042944000143223</v>
          </cell>
          <cell r="E6" t="str">
            <v>长圆型单面固定带垫卡箍</v>
          </cell>
          <cell r="F6" t="str">
            <v>Q/611S475-2023</v>
          </cell>
          <cell r="G6" t="str">
            <v>FDF16</v>
          </cell>
          <cell r="H6" t="str">
            <v/>
          </cell>
          <cell r="I6" t="str">
            <v/>
          </cell>
          <cell r="J6" t="str">
            <v>组件(国产材料)</v>
          </cell>
          <cell r="K6">
            <v>2</v>
          </cell>
          <cell r="L6">
            <v>46012</v>
          </cell>
          <cell r="M6" t="str">
            <v>3-配货完成</v>
          </cell>
        </row>
        <row r="6">
          <cell r="O6">
            <v>0</v>
          </cell>
          <cell r="P6" t="str">
            <v>成都飞机工业（集团）有限责任公司</v>
          </cell>
          <cell r="Q6" t="str">
            <v>160</v>
          </cell>
        </row>
        <row r="6">
          <cell r="U6" t="str">
            <v>010000878164</v>
          </cell>
          <cell r="V6" t="str">
            <v>PANMINGTAO</v>
          </cell>
          <cell r="W6" t="str">
            <v/>
          </cell>
          <cell r="X6" t="str">
            <v>XC-33-1-1-5</v>
          </cell>
          <cell r="Y6" t="str">
            <v/>
          </cell>
          <cell r="Z6" t="str">
            <v>1902</v>
          </cell>
          <cell r="AA6" t="str">
            <v>1100153602</v>
          </cell>
          <cell r="AB6">
            <v>70</v>
          </cell>
          <cell r="AC6" t="str">
            <v/>
          </cell>
          <cell r="AD6">
            <v>79.76</v>
          </cell>
          <cell r="AE6" t="str">
            <v>G-100015632-250928-0249</v>
          </cell>
          <cell r="AF6" t="str">
            <v>1100153602/160</v>
          </cell>
        </row>
        <row r="7">
          <cell r="B7" t="str">
            <v>7101052863</v>
          </cell>
          <cell r="C7" t="str">
            <v>G2503-3170</v>
          </cell>
          <cell r="D7" t="str">
            <v>000042944000138769</v>
          </cell>
          <cell r="E7" t="str">
            <v>带鞍座双面固定带垫卡箍</v>
          </cell>
          <cell r="F7" t="str">
            <v>Q/611S433-2023</v>
          </cell>
          <cell r="G7" t="str">
            <v>FDF16</v>
          </cell>
          <cell r="H7" t="str">
            <v/>
          </cell>
          <cell r="I7" t="str">
            <v/>
          </cell>
          <cell r="J7" t="str">
            <v>组件(国产材料)</v>
          </cell>
          <cell r="K7">
            <v>400</v>
          </cell>
          <cell r="L7">
            <v>46012</v>
          </cell>
          <cell r="M7" t="str">
            <v>3-配货完成</v>
          </cell>
        </row>
        <row r="7">
          <cell r="O7">
            <v>0</v>
          </cell>
          <cell r="P7" t="str">
            <v>成都飞机工业（集团）有限责任公司</v>
          </cell>
          <cell r="Q7" t="str">
            <v>10</v>
          </cell>
        </row>
        <row r="7">
          <cell r="U7" t="str">
            <v>010000803637</v>
          </cell>
          <cell r="V7" t="str">
            <v>PANMINGTAO</v>
          </cell>
          <cell r="W7" t="str">
            <v/>
          </cell>
          <cell r="X7" t="str">
            <v>XC-28-1-2-5</v>
          </cell>
          <cell r="Y7" t="str">
            <v/>
          </cell>
          <cell r="Z7" t="str">
            <v>1902</v>
          </cell>
          <cell r="AA7" t="str">
            <v>1100155478</v>
          </cell>
          <cell r="AB7">
            <v>400</v>
          </cell>
          <cell r="AC7" t="str">
            <v/>
          </cell>
          <cell r="AD7">
            <v>85</v>
          </cell>
          <cell r="AE7" t="str">
            <v>G-100015632-251107-0283</v>
          </cell>
          <cell r="AF7" t="str">
            <v>1100155478/10</v>
          </cell>
        </row>
        <row r="8">
          <cell r="B8" t="str">
            <v>7101052908</v>
          </cell>
          <cell r="C8" t="str">
            <v>G2510-1743</v>
          </cell>
          <cell r="D8" t="str">
            <v>000042944000156716</v>
          </cell>
          <cell r="E8" t="str">
            <v>17-7PH带垫P型卡箍</v>
          </cell>
          <cell r="F8" t="str">
            <v>Q/611S538-2017</v>
          </cell>
          <cell r="G8" t="str">
            <v>J24B</v>
          </cell>
          <cell r="H8" t="str">
            <v/>
          </cell>
          <cell r="I8" t="str">
            <v/>
          </cell>
          <cell r="J8" t="str">
            <v>组件(国产材料)</v>
          </cell>
          <cell r="K8">
            <v>6</v>
          </cell>
          <cell r="L8">
            <v>46012</v>
          </cell>
          <cell r="M8" t="str">
            <v>3-配货完成</v>
          </cell>
        </row>
        <row r="8">
          <cell r="O8">
            <v>0</v>
          </cell>
          <cell r="P8" t="str">
            <v>成都飞机工业（集团）有限责任公司</v>
          </cell>
          <cell r="Q8" t="str">
            <v>290</v>
          </cell>
        </row>
        <row r="8">
          <cell r="U8" t="str">
            <v>010000878165</v>
          </cell>
          <cell r="V8" t="str">
            <v>PANMINGTAO</v>
          </cell>
          <cell r="W8" t="str">
            <v/>
          </cell>
          <cell r="X8" t="str">
            <v>XC-33-1-1-1</v>
          </cell>
          <cell r="Y8" t="str">
            <v/>
          </cell>
          <cell r="Z8" t="str">
            <v>1902</v>
          </cell>
          <cell r="AA8" t="str">
            <v>1100153602</v>
          </cell>
          <cell r="AB8">
            <v>90</v>
          </cell>
          <cell r="AC8" t="str">
            <v/>
          </cell>
          <cell r="AD8">
            <v>65.04</v>
          </cell>
          <cell r="AE8" t="str">
            <v>G-100015632-250928-0249</v>
          </cell>
          <cell r="AF8" t="str">
            <v>1100153602/290</v>
          </cell>
        </row>
        <row r="9">
          <cell r="B9" t="str">
            <v>7101054457</v>
          </cell>
          <cell r="C9" t="str">
            <v>G2511-1846</v>
          </cell>
          <cell r="D9" t="str">
            <v>000042944000156716</v>
          </cell>
          <cell r="E9" t="str">
            <v>17-7PH带垫P型卡箍</v>
          </cell>
          <cell r="F9" t="str">
            <v>Q/611S538-2017</v>
          </cell>
          <cell r="G9" t="str">
            <v>J24B</v>
          </cell>
          <cell r="H9" t="str">
            <v/>
          </cell>
          <cell r="I9" t="str">
            <v/>
          </cell>
          <cell r="J9" t="str">
            <v>组件(国产材料)</v>
          </cell>
          <cell r="K9">
            <v>14</v>
          </cell>
          <cell r="L9">
            <v>46016</v>
          </cell>
          <cell r="M9" t="str">
            <v>3-配货完成</v>
          </cell>
        </row>
        <row r="9">
          <cell r="O9">
            <v>0</v>
          </cell>
          <cell r="P9" t="str">
            <v>成都飞机工业（集团）有限责任公司</v>
          </cell>
          <cell r="Q9" t="str">
            <v>290</v>
          </cell>
        </row>
        <row r="9">
          <cell r="U9" t="str">
            <v>010000888693</v>
          </cell>
          <cell r="V9" t="str">
            <v>PANMINGTAO</v>
          </cell>
          <cell r="W9" t="str">
            <v/>
          </cell>
          <cell r="X9" t="str">
            <v>XC31-1-1-5</v>
          </cell>
          <cell r="Y9" t="str">
            <v/>
          </cell>
          <cell r="Z9" t="str">
            <v>1902</v>
          </cell>
          <cell r="AA9" t="str">
            <v>1100153602</v>
          </cell>
          <cell r="AB9">
            <v>90</v>
          </cell>
          <cell r="AC9" t="str">
            <v/>
          </cell>
          <cell r="AD9">
            <v>65.04</v>
          </cell>
          <cell r="AE9" t="str">
            <v>G-100015632-250928-0249</v>
          </cell>
          <cell r="AF9" t="str">
            <v>1100153602/290</v>
          </cell>
        </row>
        <row r="10">
          <cell r="B10" t="str">
            <v>7101056468</v>
          </cell>
          <cell r="C10" t="str">
            <v>G2511-1779</v>
          </cell>
          <cell r="D10" t="str">
            <v>000042944000141126</v>
          </cell>
          <cell r="E10" t="str">
            <v>带鞍座双面固定带垫卡箍</v>
          </cell>
          <cell r="F10" t="str">
            <v>Q/611S433-2023</v>
          </cell>
          <cell r="G10" t="str">
            <v>FDF38B</v>
          </cell>
          <cell r="H10" t="str">
            <v/>
          </cell>
          <cell r="I10" t="str">
            <v/>
          </cell>
          <cell r="J10" t="str">
            <v>组件(国产材料)</v>
          </cell>
          <cell r="K10">
            <v>57</v>
          </cell>
          <cell r="L10">
            <v>46022</v>
          </cell>
          <cell r="M10" t="str">
            <v>3-配货完成</v>
          </cell>
        </row>
        <row r="10">
          <cell r="O10">
            <v>0</v>
          </cell>
          <cell r="P10" t="str">
            <v>成都飞机工业（集团）有限责任公司</v>
          </cell>
          <cell r="Q10" t="str">
            <v>10</v>
          </cell>
        </row>
        <row r="10">
          <cell r="U10" t="str">
            <v>010000888123</v>
          </cell>
          <cell r="V10" t="str">
            <v>PANMINGTAO</v>
          </cell>
          <cell r="W10" t="str">
            <v/>
          </cell>
          <cell r="X10" t="str">
            <v>XC-31-1-3</v>
          </cell>
          <cell r="Y10" t="str">
            <v/>
          </cell>
          <cell r="Z10" t="str">
            <v>1902</v>
          </cell>
          <cell r="AA10" t="str">
            <v>1100156342</v>
          </cell>
          <cell r="AB10">
            <v>60</v>
          </cell>
          <cell r="AC10" t="str">
            <v/>
          </cell>
          <cell r="AD10">
            <v>114.46</v>
          </cell>
          <cell r="AE10" t="str">
            <v>G-100015632-251124-0307</v>
          </cell>
          <cell r="AF10" t="str">
            <v>1100156342/10</v>
          </cell>
        </row>
        <row r="11">
          <cell r="B11" t="str">
            <v>7101062986</v>
          </cell>
          <cell r="C11" t="str">
            <v>G2512-2044</v>
          </cell>
          <cell r="D11" t="str">
            <v>000042944000143211</v>
          </cell>
          <cell r="E11" t="str">
            <v>带鞍座双面固定带垫卡箍</v>
          </cell>
          <cell r="F11" t="str">
            <v>Q/611S433-2023</v>
          </cell>
          <cell r="G11" t="str">
            <v>FDF55B</v>
          </cell>
          <cell r="H11" t="str">
            <v/>
          </cell>
          <cell r="I11" t="str">
            <v/>
          </cell>
          <cell r="J11" t="str">
            <v>组件(国产材料)</v>
          </cell>
          <cell r="K11">
            <v>53</v>
          </cell>
          <cell r="L11">
            <v>46036</v>
          </cell>
          <cell r="M11" t="str">
            <v>3-配货完成</v>
          </cell>
        </row>
        <row r="11">
          <cell r="O11">
            <v>0</v>
          </cell>
          <cell r="P11" t="str">
            <v>成都飞机工业（集团）有限责任公司</v>
          </cell>
          <cell r="Q11" t="str">
            <v>80</v>
          </cell>
        </row>
        <row r="11">
          <cell r="U11" t="str">
            <v>010000898494</v>
          </cell>
          <cell r="V11" t="str">
            <v>PANMINGTAO</v>
          </cell>
          <cell r="W11" t="str">
            <v/>
          </cell>
          <cell r="X11" t="str">
            <v>XC-31-1-4</v>
          </cell>
          <cell r="Y11" t="str">
            <v/>
          </cell>
          <cell r="Z11" t="str">
            <v>1902</v>
          </cell>
          <cell r="AA11" t="str">
            <v>1100153602</v>
          </cell>
          <cell r="AB11">
            <v>220</v>
          </cell>
          <cell r="AC11" t="str">
            <v/>
          </cell>
          <cell r="AD11">
            <v>133.57</v>
          </cell>
          <cell r="AE11" t="str">
            <v>G-100015632-250928-0249</v>
          </cell>
          <cell r="AF11" t="str">
            <v>1100153602/80</v>
          </cell>
        </row>
        <row r="12">
          <cell r="B12" t="str">
            <v>7101064380</v>
          </cell>
          <cell r="C12" t="str">
            <v>G2509-2605</v>
          </cell>
          <cell r="D12" t="str">
            <v>000042944320011358</v>
          </cell>
          <cell r="E12" t="str">
            <v>平圆头钛铌铆钉</v>
          </cell>
          <cell r="F12" t="str">
            <v>Q/611S310-2010</v>
          </cell>
          <cell r="G12" t="str">
            <v>30W-8</v>
          </cell>
          <cell r="H12" t="str">
            <v>τ=345-410MPa</v>
          </cell>
          <cell r="I12" t="str">
            <v>蓝色阳极化</v>
          </cell>
          <cell r="J12" t="str">
            <v>Ti45Nb</v>
          </cell>
          <cell r="K12">
            <v>700</v>
          </cell>
          <cell r="L12">
            <v>46038</v>
          </cell>
          <cell r="M12" t="str">
            <v>4-检验完成</v>
          </cell>
        </row>
        <row r="12">
          <cell r="O12">
            <v>0</v>
          </cell>
          <cell r="P12" t="str">
            <v>成都飞机工业（集团）有限责任公司</v>
          </cell>
          <cell r="Q12" t="str">
            <v>40</v>
          </cell>
          <cell r="R12">
            <v>46048</v>
          </cell>
        </row>
        <row r="12">
          <cell r="U12" t="str">
            <v>010000867602</v>
          </cell>
          <cell r="V12" t="str">
            <v>BIAOQIAN4</v>
          </cell>
          <cell r="W12" t="str">
            <v/>
          </cell>
          <cell r="X12" t="str">
            <v>CP-108-A</v>
          </cell>
          <cell r="Y12" t="str">
            <v/>
          </cell>
          <cell r="Z12" t="str">
            <v>1902</v>
          </cell>
          <cell r="AA12" t="str">
            <v>1100158465</v>
          </cell>
          <cell r="AB12">
            <v>700</v>
          </cell>
          <cell r="AC12" t="str">
            <v/>
          </cell>
          <cell r="AD12">
            <v>4.7</v>
          </cell>
          <cell r="AE12" t="str">
            <v>G-100015632-260107-0015</v>
          </cell>
          <cell r="AF12" t="str">
            <v>1100158465/40</v>
          </cell>
        </row>
        <row r="13">
          <cell r="B13" t="str">
            <v>7101066492</v>
          </cell>
          <cell r="C13" t="str">
            <v>G2601-0866</v>
          </cell>
          <cell r="D13" t="str">
            <v>000042944000141286</v>
          </cell>
          <cell r="E13" t="str">
            <v>长圆型单面固定带垫卡箍</v>
          </cell>
          <cell r="F13" t="str">
            <v>Q/611S475-2023</v>
          </cell>
          <cell r="G13" t="str">
            <v>FDF12</v>
          </cell>
          <cell r="H13" t="str">
            <v/>
          </cell>
          <cell r="I13" t="str">
            <v/>
          </cell>
          <cell r="J13" t="str">
            <v>组件(国产材料)</v>
          </cell>
          <cell r="K13">
            <v>66</v>
          </cell>
          <cell r="L13">
            <v>46043</v>
          </cell>
          <cell r="M13" t="str">
            <v>3-配货完成</v>
          </cell>
        </row>
        <row r="13">
          <cell r="O13">
            <v>0</v>
          </cell>
          <cell r="P13" t="str">
            <v>成都飞机工业（集团）有限责任公司</v>
          </cell>
          <cell r="Q13" t="str">
            <v>70</v>
          </cell>
        </row>
        <row r="13">
          <cell r="U13" t="str">
            <v>010000902085</v>
          </cell>
          <cell r="V13" t="str">
            <v>PANMINGTAO</v>
          </cell>
          <cell r="W13" t="str">
            <v/>
          </cell>
          <cell r="X13" t="str">
            <v>XC-31-1-3</v>
          </cell>
          <cell r="Y13" t="str">
            <v/>
          </cell>
          <cell r="Z13" t="str">
            <v>1902</v>
          </cell>
          <cell r="AA13" t="str">
            <v>1100158449</v>
          </cell>
          <cell r="AB13">
            <v>80</v>
          </cell>
          <cell r="AC13" t="str">
            <v/>
          </cell>
          <cell r="AD13">
            <v>57.12</v>
          </cell>
          <cell r="AE13" t="str">
            <v>G-100015632-260107-0012</v>
          </cell>
          <cell r="AF13" t="str">
            <v>1100158449/70</v>
          </cell>
        </row>
        <row r="14">
          <cell r="B14" t="str">
            <v>7101068338</v>
          </cell>
          <cell r="C14" t="str">
            <v>G2512-2408</v>
          </cell>
          <cell r="D14" t="str">
            <v>000042944000142074</v>
          </cell>
          <cell r="E14" t="str">
            <v>带垫P型卡箍</v>
          </cell>
          <cell r="F14" t="str">
            <v>Q/611S422-2017</v>
          </cell>
          <cell r="G14" t="str">
            <v>LBF10B</v>
          </cell>
          <cell r="H14" t="str">
            <v/>
          </cell>
          <cell r="I14" t="str">
            <v/>
          </cell>
          <cell r="J14" t="str">
            <v>组件(国产材料)</v>
          </cell>
          <cell r="K14">
            <v>25</v>
          </cell>
          <cell r="L14">
            <v>46046</v>
          </cell>
          <cell r="M14" t="str">
            <v>3-配货完成</v>
          </cell>
        </row>
        <row r="14">
          <cell r="O14">
            <v>0</v>
          </cell>
          <cell r="P14" t="str">
            <v>成都飞机工业（集团）有限责任公司</v>
          </cell>
          <cell r="Q14" t="str">
            <v>40</v>
          </cell>
        </row>
        <row r="14">
          <cell r="U14" t="str">
            <v>010000899391</v>
          </cell>
          <cell r="V14" t="str">
            <v>PANMINGTAO</v>
          </cell>
          <cell r="W14" t="str">
            <v/>
          </cell>
          <cell r="X14" t="str">
            <v>XC-31-1-3</v>
          </cell>
          <cell r="Y14" t="str">
            <v/>
          </cell>
          <cell r="Z14" t="str">
            <v>1902</v>
          </cell>
          <cell r="AA14" t="str">
            <v>1100155478</v>
          </cell>
          <cell r="AB14">
            <v>850</v>
          </cell>
          <cell r="AC14" t="str">
            <v/>
          </cell>
          <cell r="AD14">
            <v>54</v>
          </cell>
          <cell r="AE14" t="str">
            <v>G-100015632-251107-0283</v>
          </cell>
          <cell r="AF14" t="str">
            <v>1100155478/40</v>
          </cell>
        </row>
        <row r="15">
          <cell r="B15" t="str">
            <v>7101068620</v>
          </cell>
          <cell r="C15" t="str">
            <v>G2601-0863</v>
          </cell>
          <cell r="D15" t="str">
            <v>000042944000139029</v>
          </cell>
          <cell r="E15" t="str">
            <v>长圆型单面固定带垫卡箍</v>
          </cell>
          <cell r="F15" t="str">
            <v>Q/611S475-2023</v>
          </cell>
          <cell r="G15" t="str">
            <v>FDF20</v>
          </cell>
          <cell r="H15" t="str">
            <v/>
          </cell>
          <cell r="I15" t="str">
            <v/>
          </cell>
          <cell r="J15" t="str">
            <v>组件(国产材料)</v>
          </cell>
          <cell r="K15">
            <v>200</v>
          </cell>
          <cell r="L15">
            <v>46046</v>
          </cell>
          <cell r="M15" t="str">
            <v>3-配货完成</v>
          </cell>
        </row>
        <row r="15">
          <cell r="O15">
            <v>0</v>
          </cell>
          <cell r="P15" t="str">
            <v>成都飞机工业（集团）有限责任公司</v>
          </cell>
          <cell r="Q15" t="str">
            <v>80</v>
          </cell>
        </row>
        <row r="15">
          <cell r="U15" t="str">
            <v>010000902079</v>
          </cell>
          <cell r="V15" t="str">
            <v>PANMINGTAO</v>
          </cell>
          <cell r="W15" t="str">
            <v/>
          </cell>
          <cell r="X15" t="str">
            <v>XC-30-1-2</v>
          </cell>
          <cell r="Y15" t="str">
            <v/>
          </cell>
          <cell r="Z15" t="str">
            <v>1902</v>
          </cell>
          <cell r="AA15" t="str">
            <v>1100158449</v>
          </cell>
          <cell r="AB15">
            <v>200</v>
          </cell>
          <cell r="AC15" t="str">
            <v/>
          </cell>
          <cell r="AD15">
            <v>83.08</v>
          </cell>
          <cell r="AE15" t="str">
            <v>G-100015632-260107-0012</v>
          </cell>
          <cell r="AF15" t="str">
            <v>1100158449/80</v>
          </cell>
        </row>
        <row r="16">
          <cell r="B16" t="str">
            <v>7101070702</v>
          </cell>
          <cell r="C16" t="str">
            <v>G2509-3414</v>
          </cell>
          <cell r="D16" t="str">
            <v>000042944320154905</v>
          </cell>
          <cell r="E16" t="str">
            <v>平圆头钛铌铆钉</v>
          </cell>
          <cell r="F16" t="str">
            <v>Q/611S310-2010</v>
          </cell>
          <cell r="G16" t="str">
            <v>30E-8</v>
          </cell>
          <cell r="H16" t="str">
            <v>退火</v>
          </cell>
          <cell r="I16" t="str">
            <v>镀铝</v>
          </cell>
          <cell r="J16" t="str">
            <v>Ti45Nb</v>
          </cell>
          <cell r="K16">
            <v>1537</v>
          </cell>
          <cell r="L16">
            <v>46051</v>
          </cell>
          <cell r="M16" t="str">
            <v>4-检验完成</v>
          </cell>
        </row>
        <row r="16">
          <cell r="O16">
            <v>0</v>
          </cell>
          <cell r="P16" t="str">
            <v>成都飞机工业（集团）有限责任公司</v>
          </cell>
          <cell r="Q16" t="str">
            <v>50</v>
          </cell>
          <cell r="R16">
            <v>46056</v>
          </cell>
        </row>
        <row r="16">
          <cell r="U16" t="str">
            <v>010000870131</v>
          </cell>
          <cell r="V16" t="str">
            <v>BIAOQIAN2</v>
          </cell>
          <cell r="W16" t="str">
            <v/>
          </cell>
          <cell r="X16" t="str">
            <v>CP-108-A</v>
          </cell>
          <cell r="Y16" t="str">
            <v/>
          </cell>
          <cell r="Z16" t="str">
            <v>1902</v>
          </cell>
          <cell r="AA16" t="str">
            <v>1100153638</v>
          </cell>
          <cell r="AB16">
            <v>1600</v>
          </cell>
          <cell r="AC16" t="str">
            <v/>
          </cell>
          <cell r="AD16">
            <v>4.46</v>
          </cell>
          <cell r="AE16" t="str">
            <v>G-100015632-250928-0248</v>
          </cell>
          <cell r="AF16" t="str">
            <v>1100153638/50</v>
          </cell>
        </row>
        <row r="17">
          <cell r="B17" t="str">
            <v>7101071412</v>
          </cell>
          <cell r="C17" t="str">
            <v>G2509-1188</v>
          </cell>
          <cell r="D17" t="str">
            <v>000042944000143864</v>
          </cell>
          <cell r="E17" t="str">
            <v>带垫P型卡箍</v>
          </cell>
          <cell r="F17" t="str">
            <v>Q/611S422-2017</v>
          </cell>
          <cell r="G17" t="str">
            <v>LBF32B</v>
          </cell>
          <cell r="H17" t="str">
            <v/>
          </cell>
          <cell r="I17" t="str">
            <v/>
          </cell>
          <cell r="J17" t="str">
            <v>组件(国产材料)</v>
          </cell>
          <cell r="K17">
            <v>67</v>
          </cell>
          <cell r="L17">
            <v>46053</v>
          </cell>
          <cell r="M17" t="str">
            <v>3-配货完成</v>
          </cell>
        </row>
        <row r="17">
          <cell r="O17">
            <v>0</v>
          </cell>
          <cell r="P17" t="str">
            <v>成都飞机工业（集团）有限责任公司</v>
          </cell>
          <cell r="Q17" t="str">
            <v>180</v>
          </cell>
        </row>
        <row r="17">
          <cell r="U17" t="str">
            <v>010000863272</v>
          </cell>
          <cell r="V17" t="str">
            <v>PANMINGTAO</v>
          </cell>
          <cell r="W17" t="str">
            <v/>
          </cell>
          <cell r="X17" t="str">
            <v>XC-32-1-1-3</v>
          </cell>
          <cell r="Y17" t="str">
            <v/>
          </cell>
          <cell r="Z17" t="str">
            <v>1902</v>
          </cell>
          <cell r="AA17" t="str">
            <v>1100153602</v>
          </cell>
          <cell r="AB17">
            <v>630</v>
          </cell>
          <cell r="AC17" t="str">
            <v/>
          </cell>
          <cell r="AD17">
            <v>80.85</v>
          </cell>
          <cell r="AE17" t="str">
            <v>G-100015632-250928-0249</v>
          </cell>
          <cell r="AF17" t="str">
            <v>1100153602/180</v>
          </cell>
        </row>
        <row r="18">
          <cell r="B18" t="str">
            <v>7101074590</v>
          </cell>
          <cell r="C18" t="str">
            <v>G2507-1026</v>
          </cell>
          <cell r="D18" t="str">
            <v>000042944000142073</v>
          </cell>
          <cell r="E18" t="str">
            <v>带垫P型卡箍</v>
          </cell>
          <cell r="F18" t="str">
            <v>Q/611S422-2017</v>
          </cell>
          <cell r="G18" t="str">
            <v>FDF50B</v>
          </cell>
          <cell r="H18" t="str">
            <v/>
          </cell>
          <cell r="I18" t="str">
            <v/>
          </cell>
          <cell r="J18" t="str">
            <v>组件(国产材料)</v>
          </cell>
          <cell r="K18">
            <v>240</v>
          </cell>
          <cell r="L18">
            <v>46059</v>
          </cell>
          <cell r="M18" t="str">
            <v>3-配货完成</v>
          </cell>
        </row>
        <row r="18">
          <cell r="O18">
            <v>0</v>
          </cell>
          <cell r="P18" t="str">
            <v>成都飞机工业（集团）有限责任公司</v>
          </cell>
          <cell r="Q18" t="str">
            <v>30</v>
          </cell>
        </row>
        <row r="18">
          <cell r="U18" t="str">
            <v>010000844690</v>
          </cell>
          <cell r="V18" t="str">
            <v>PANMINGTAO</v>
          </cell>
          <cell r="W18" t="str">
            <v/>
          </cell>
          <cell r="X18" t="str">
            <v>XC-33-1-5</v>
          </cell>
          <cell r="Y18" t="str">
            <v/>
          </cell>
          <cell r="Z18" t="str">
            <v>1902</v>
          </cell>
          <cell r="AA18" t="str">
            <v>1100160253</v>
          </cell>
          <cell r="AB18">
            <v>240</v>
          </cell>
          <cell r="AC18" t="str">
            <v/>
          </cell>
          <cell r="AD18">
            <v>77</v>
          </cell>
          <cell r="AE18" t="str">
            <v>G-100015632-260205-0075XH</v>
          </cell>
          <cell r="AF18" t="str">
            <v>1100160253/30</v>
          </cell>
        </row>
        <row r="19">
          <cell r="B19" t="str">
            <v>7101074754</v>
          </cell>
          <cell r="C19" t="str">
            <v>G2511-1844</v>
          </cell>
          <cell r="D19" t="str">
            <v>000042944000143860</v>
          </cell>
          <cell r="E19" t="str">
            <v>带垫P型卡箍</v>
          </cell>
          <cell r="F19" t="str">
            <v>Q/611S422-2017</v>
          </cell>
          <cell r="G19" t="str">
            <v>LBF22B</v>
          </cell>
          <cell r="H19" t="str">
            <v/>
          </cell>
          <cell r="I19" t="str">
            <v/>
          </cell>
          <cell r="J19" t="str">
            <v>组件(国产材料)</v>
          </cell>
          <cell r="K19">
            <v>7</v>
          </cell>
          <cell r="L19">
            <v>46059</v>
          </cell>
          <cell r="M19" t="str">
            <v>3-配货完成</v>
          </cell>
        </row>
        <row r="19">
          <cell r="O19">
            <v>0</v>
          </cell>
          <cell r="P19" t="str">
            <v>成都飞机工业（集团）有限责任公司</v>
          </cell>
          <cell r="Q19" t="str">
            <v>280</v>
          </cell>
        </row>
        <row r="19">
          <cell r="U19" t="str">
            <v>010000888642</v>
          </cell>
          <cell r="V19" t="str">
            <v>PANMINGTAO</v>
          </cell>
          <cell r="W19" t="str">
            <v/>
          </cell>
          <cell r="X19" t="str">
            <v>XC-33-1-1-5</v>
          </cell>
          <cell r="Y19" t="str">
            <v/>
          </cell>
          <cell r="Z19" t="str">
            <v>1902</v>
          </cell>
          <cell r="AA19" t="str">
            <v>1100160269</v>
          </cell>
          <cell r="AB19">
            <v>360</v>
          </cell>
          <cell r="AC19" t="str">
            <v/>
          </cell>
          <cell r="AD19">
            <v>75</v>
          </cell>
          <cell r="AE19" t="str">
            <v>G-100015632-260205-0074</v>
          </cell>
          <cell r="AF19" t="str">
            <v>1100160269/280</v>
          </cell>
        </row>
        <row r="20">
          <cell r="B20" t="str">
            <v>7101076007</v>
          </cell>
          <cell r="C20" t="str">
            <v>G2509-1123</v>
          </cell>
          <cell r="D20" t="str">
            <v>000042944320011318</v>
          </cell>
          <cell r="E20" t="str">
            <v>100°沉头钛铌铆钉</v>
          </cell>
          <cell r="F20" t="str">
            <v>Q/611S309-2010</v>
          </cell>
          <cell r="G20" t="str">
            <v>40W-8</v>
          </cell>
          <cell r="H20" t="str">
            <v>τ=345-410MPa</v>
          </cell>
          <cell r="I20" t="str">
            <v>蓝色阳极化</v>
          </cell>
          <cell r="J20" t="str">
            <v>Ti45Nb</v>
          </cell>
          <cell r="K20">
            <v>5196</v>
          </cell>
          <cell r="L20">
            <v>46063</v>
          </cell>
          <cell r="M20" t="str">
            <v>4-检验完成</v>
          </cell>
        </row>
        <row r="20">
          <cell r="O20">
            <v>0</v>
          </cell>
          <cell r="P20" t="str">
            <v>成都飞机工业（集团）有限责任公司</v>
          </cell>
          <cell r="Q20" t="str">
            <v>40</v>
          </cell>
          <cell r="R20">
            <v>46078</v>
          </cell>
        </row>
        <row r="20">
          <cell r="U20" t="str">
            <v>010000862876</v>
          </cell>
          <cell r="V20" t="str">
            <v>BIAOQIAN3</v>
          </cell>
          <cell r="W20" t="str">
            <v/>
          </cell>
          <cell r="X20" t="str">
            <v>CP-108-A</v>
          </cell>
          <cell r="Y20" t="str">
            <v/>
          </cell>
          <cell r="Z20" t="str">
            <v>1902</v>
          </cell>
          <cell r="AA20" t="str">
            <v>1100147965</v>
          </cell>
          <cell r="AB20">
            <v>11680</v>
          </cell>
          <cell r="AC20" t="str">
            <v/>
          </cell>
          <cell r="AD20">
            <v>4.7</v>
          </cell>
          <cell r="AE20" t="str">
            <v>G-100015632-250530-0116</v>
          </cell>
          <cell r="AF20" t="str">
            <v>1100147965/40</v>
          </cell>
        </row>
        <row r="21">
          <cell r="B21" t="str">
            <v>7101077208</v>
          </cell>
          <cell r="C21" t="str">
            <v>G2509-3480</v>
          </cell>
          <cell r="D21" t="str">
            <v>000042944000143858</v>
          </cell>
          <cell r="E21" t="str">
            <v>带垫P型卡箍</v>
          </cell>
          <cell r="F21" t="str">
            <v>Q/611S422-2017</v>
          </cell>
          <cell r="G21" t="str">
            <v>LBF16B</v>
          </cell>
          <cell r="H21" t="str">
            <v/>
          </cell>
          <cell r="I21" t="str">
            <v/>
          </cell>
          <cell r="J21" t="str">
            <v>组件(国产材料)</v>
          </cell>
          <cell r="K21">
            <v>669</v>
          </cell>
          <cell r="L21">
            <v>46065</v>
          </cell>
          <cell r="M21" t="str">
            <v>3-配货完成</v>
          </cell>
        </row>
        <row r="21">
          <cell r="O21">
            <v>0</v>
          </cell>
          <cell r="P21" t="str">
            <v>成都飞机工业（集团）有限责任公司</v>
          </cell>
          <cell r="Q21" t="str">
            <v>170</v>
          </cell>
        </row>
        <row r="21">
          <cell r="U21" t="str">
            <v>010000870280</v>
          </cell>
          <cell r="V21" t="str">
            <v>PANMINGTAO</v>
          </cell>
          <cell r="W21" t="str">
            <v/>
          </cell>
          <cell r="X21" t="str">
            <v>XC-30-1-2</v>
          </cell>
          <cell r="Y21" t="str">
            <v/>
          </cell>
          <cell r="Z21" t="str">
            <v>1902</v>
          </cell>
          <cell r="AA21" t="str">
            <v>1100153602</v>
          </cell>
          <cell r="AB21">
            <v>1060</v>
          </cell>
          <cell r="AC21" t="str">
            <v/>
          </cell>
          <cell r="AD21">
            <v>51.3</v>
          </cell>
          <cell r="AE21" t="str">
            <v>G-100015632-250928-0249</v>
          </cell>
          <cell r="AF21" t="str">
            <v>1100153602/170</v>
          </cell>
        </row>
        <row r="22">
          <cell r="B22" t="str">
            <v>7101079923</v>
          </cell>
          <cell r="C22" t="str">
            <v>G2602-0818</v>
          </cell>
          <cell r="D22" t="str">
            <v>000042944000141905</v>
          </cell>
          <cell r="E22" t="str">
            <v>带垫P型卡箍</v>
          </cell>
          <cell r="F22" t="str">
            <v>Q/611S422-2017</v>
          </cell>
          <cell r="G22" t="str">
            <v>LBF12B</v>
          </cell>
          <cell r="H22" t="str">
            <v/>
          </cell>
          <cell r="I22" t="str">
            <v/>
          </cell>
          <cell r="J22" t="str">
            <v>组件(国产材料)</v>
          </cell>
          <cell r="K22">
            <v>2000</v>
          </cell>
          <cell r="L22">
            <v>46079</v>
          </cell>
          <cell r="M22" t="str">
            <v>3-配货完成</v>
          </cell>
        </row>
        <row r="22">
          <cell r="O22">
            <v>0</v>
          </cell>
          <cell r="P22" t="str">
            <v>成都飞机工业（集团）有限责任公司</v>
          </cell>
          <cell r="Q22" t="str">
            <v>330</v>
          </cell>
        </row>
        <row r="22">
          <cell r="U22" t="str">
            <v>010000913842</v>
          </cell>
          <cell r="V22" t="str">
            <v>PANMINGTAO</v>
          </cell>
          <cell r="W22" t="str">
            <v/>
          </cell>
          <cell r="X22" t="str">
            <v>XC-32-1-5</v>
          </cell>
          <cell r="Y22" t="str">
            <v/>
          </cell>
          <cell r="Z22" t="str">
            <v>1902</v>
          </cell>
          <cell r="AA22" t="str">
            <v>1100160269</v>
          </cell>
          <cell r="AB22">
            <v>2000</v>
          </cell>
          <cell r="AC22" t="str">
            <v/>
          </cell>
          <cell r="AD22">
            <v>51.3</v>
          </cell>
          <cell r="AE22" t="str">
            <v>G-100015632-260205-0074</v>
          </cell>
          <cell r="AF22" t="str">
            <v>1100160269/330</v>
          </cell>
        </row>
        <row r="23">
          <cell r="B23" t="str">
            <v>7101079938</v>
          </cell>
          <cell r="C23" t="str">
            <v>G2601-2549</v>
          </cell>
          <cell r="D23" t="str">
            <v>000042944000138770</v>
          </cell>
          <cell r="E23" t="str">
            <v>带鞍座双面固定带垫卡箍</v>
          </cell>
          <cell r="F23" t="str">
            <v>Q/611S433-2023</v>
          </cell>
          <cell r="G23" t="str">
            <v>FDF22</v>
          </cell>
          <cell r="H23" t="str">
            <v/>
          </cell>
          <cell r="I23" t="str">
            <v/>
          </cell>
          <cell r="J23" t="str">
            <v>组件(国产材料)</v>
          </cell>
          <cell r="K23">
            <v>8</v>
          </cell>
          <cell r="L23">
            <v>46079</v>
          </cell>
          <cell r="M23" t="str">
            <v>3-配货完成</v>
          </cell>
        </row>
        <row r="23">
          <cell r="O23">
            <v>0</v>
          </cell>
          <cell r="P23" t="str">
            <v>成都飞机工业（集团）有限责任公司</v>
          </cell>
          <cell r="Q23" t="str">
            <v>20</v>
          </cell>
        </row>
        <row r="23">
          <cell r="U23" t="str">
            <v>010000909564</v>
          </cell>
          <cell r="V23" t="str">
            <v>PANMINGTAO</v>
          </cell>
          <cell r="W23" t="str">
            <v/>
          </cell>
          <cell r="X23" t="str">
            <v>XC-33-1-2</v>
          </cell>
          <cell r="Y23" t="str">
            <v/>
          </cell>
          <cell r="Z23" t="str">
            <v>1902</v>
          </cell>
          <cell r="AA23" t="str">
            <v>1100156274</v>
          </cell>
          <cell r="AB23">
            <v>280</v>
          </cell>
          <cell r="AC23" t="str">
            <v/>
          </cell>
          <cell r="AD23">
            <v>98.59</v>
          </cell>
          <cell r="AE23" t="str">
            <v>G-100015632-251124-0306</v>
          </cell>
          <cell r="AF23" t="str">
            <v>1100156274/20</v>
          </cell>
        </row>
        <row r="24">
          <cell r="B24" t="str">
            <v>7101079944</v>
          </cell>
          <cell r="C24" t="str">
            <v>G2602-0823</v>
          </cell>
          <cell r="D24" t="str">
            <v>000042944000143210</v>
          </cell>
          <cell r="E24" t="str">
            <v>带鞍座双面固定带垫卡箍</v>
          </cell>
          <cell r="F24" t="str">
            <v>Q/611S433-2023</v>
          </cell>
          <cell r="G24" t="str">
            <v>FDF50B</v>
          </cell>
          <cell r="H24" t="str">
            <v/>
          </cell>
          <cell r="I24" t="str">
            <v/>
          </cell>
          <cell r="J24" t="str">
            <v>组件(国产材料)</v>
          </cell>
          <cell r="K24">
            <v>44</v>
          </cell>
          <cell r="L24">
            <v>46079</v>
          </cell>
          <cell r="M24" t="str">
            <v>3-配货完成</v>
          </cell>
        </row>
        <row r="24">
          <cell r="O24">
            <v>0</v>
          </cell>
          <cell r="P24" t="str">
            <v>成都飞机工业（集团）有限责任公司</v>
          </cell>
          <cell r="Q24" t="str">
            <v>90</v>
          </cell>
        </row>
        <row r="24">
          <cell r="U24" t="str">
            <v>010000913847</v>
          </cell>
          <cell r="V24" t="str">
            <v>PANMINGTAO</v>
          </cell>
          <cell r="W24" t="str">
            <v/>
          </cell>
          <cell r="X24" t="str">
            <v>XC-33-1-3</v>
          </cell>
          <cell r="Y24" t="str">
            <v/>
          </cell>
          <cell r="Z24" t="str">
            <v>1902</v>
          </cell>
          <cell r="AA24" t="str">
            <v>1100160269</v>
          </cell>
          <cell r="AB24">
            <v>50</v>
          </cell>
          <cell r="AC24" t="str">
            <v/>
          </cell>
          <cell r="AD24">
            <v>114.46</v>
          </cell>
          <cell r="AE24" t="str">
            <v>G-100015632-260205-0074</v>
          </cell>
          <cell r="AF24" t="str">
            <v>1100160269/90</v>
          </cell>
        </row>
        <row r="25">
          <cell r="B25" t="str">
            <v>7101079950</v>
          </cell>
          <cell r="C25" t="str">
            <v>G2602-0807</v>
          </cell>
          <cell r="D25" t="str">
            <v>000036200000145122</v>
          </cell>
          <cell r="E25" t="str">
            <v>带垫P型卡箍</v>
          </cell>
          <cell r="F25" t="str">
            <v>Q/611S422-2017</v>
          </cell>
          <cell r="G25" t="str">
            <v>LBF36B</v>
          </cell>
          <cell r="H25" t="str">
            <v/>
          </cell>
          <cell r="I25" t="str">
            <v/>
          </cell>
          <cell r="J25" t="str">
            <v>组件(国产材料)</v>
          </cell>
          <cell r="K25">
            <v>427</v>
          </cell>
          <cell r="L25">
            <v>46079</v>
          </cell>
          <cell r="M25" t="str">
            <v>3-配货完成</v>
          </cell>
        </row>
        <row r="25">
          <cell r="O25">
            <v>0</v>
          </cell>
          <cell r="P25" t="str">
            <v>成都飞机工业（集团）有限责任公司</v>
          </cell>
          <cell r="Q25" t="str">
            <v>340</v>
          </cell>
        </row>
        <row r="25">
          <cell r="U25" t="str">
            <v>010000913831</v>
          </cell>
          <cell r="V25" t="str">
            <v>PANMINGTAO</v>
          </cell>
          <cell r="W25" t="str">
            <v/>
          </cell>
          <cell r="X25" t="str">
            <v>XC-33-1-3</v>
          </cell>
          <cell r="Y25" t="str">
            <v/>
          </cell>
          <cell r="Z25" t="str">
            <v>1902</v>
          </cell>
          <cell r="AA25" t="str">
            <v>1100160269</v>
          </cell>
          <cell r="AB25">
            <v>450</v>
          </cell>
          <cell r="AC25" t="str">
            <v/>
          </cell>
          <cell r="AD25">
            <v>80.85</v>
          </cell>
          <cell r="AE25" t="str">
            <v>G-100015632-260205-0074</v>
          </cell>
          <cell r="AF25" t="str">
            <v>1100160269/340</v>
          </cell>
        </row>
        <row r="26">
          <cell r="B26" t="str">
            <v>7101079953</v>
          </cell>
          <cell r="C26" t="str">
            <v>G2602-0813</v>
          </cell>
          <cell r="D26" t="str">
            <v>000042944000139014</v>
          </cell>
          <cell r="E26" t="str">
            <v>带鞍座双面固定带垫卡箍</v>
          </cell>
          <cell r="F26" t="str">
            <v>Q/611S433-2023</v>
          </cell>
          <cell r="G26" t="str">
            <v>FDF22B</v>
          </cell>
          <cell r="H26" t="str">
            <v/>
          </cell>
          <cell r="I26" t="str">
            <v/>
          </cell>
          <cell r="J26" t="str">
            <v>组件(国产材料)</v>
          </cell>
          <cell r="K26">
            <v>38</v>
          </cell>
          <cell r="L26">
            <v>46079</v>
          </cell>
          <cell r="M26" t="str">
            <v>3-配货完成</v>
          </cell>
        </row>
        <row r="26">
          <cell r="O26">
            <v>0</v>
          </cell>
          <cell r="P26" t="str">
            <v>成都飞机工业（集团）有限责任公司</v>
          </cell>
          <cell r="Q26" t="str">
            <v>360</v>
          </cell>
        </row>
        <row r="26">
          <cell r="U26" t="str">
            <v>010000913837</v>
          </cell>
          <cell r="V26" t="str">
            <v>PANMINGTAO</v>
          </cell>
          <cell r="W26" t="str">
            <v/>
          </cell>
          <cell r="X26" t="str">
            <v>XC-33-1-2</v>
          </cell>
          <cell r="Y26" t="str">
            <v/>
          </cell>
          <cell r="Z26" t="str">
            <v>1902</v>
          </cell>
          <cell r="AA26" t="str">
            <v>1100160269</v>
          </cell>
          <cell r="AB26">
            <v>50</v>
          </cell>
          <cell r="AC26" t="str">
            <v/>
          </cell>
          <cell r="AD26">
            <v>90.7</v>
          </cell>
          <cell r="AE26" t="str">
            <v>G-100015632-260205-0074</v>
          </cell>
          <cell r="AF26" t="str">
            <v>1100160269/360</v>
          </cell>
        </row>
        <row r="27">
          <cell r="B27" t="str">
            <v>7101082097</v>
          </cell>
          <cell r="C27" t="str">
            <v>G2507-1026</v>
          </cell>
          <cell r="D27" t="str">
            <v>000042944000142073</v>
          </cell>
          <cell r="E27" t="str">
            <v>带垫P型卡箍</v>
          </cell>
          <cell r="F27" t="str">
            <v>Q/611S422-2017</v>
          </cell>
          <cell r="G27" t="str">
            <v>FDF50B</v>
          </cell>
          <cell r="H27" t="str">
            <v/>
          </cell>
          <cell r="I27" t="str">
            <v/>
          </cell>
          <cell r="J27" t="str">
            <v>组件(国产材料)</v>
          </cell>
          <cell r="K27">
            <v>170</v>
          </cell>
          <cell r="L27">
            <v>46084</v>
          </cell>
          <cell r="M27" t="str">
            <v>3-配货完成</v>
          </cell>
        </row>
        <row r="27">
          <cell r="O27">
            <v>0</v>
          </cell>
          <cell r="P27" t="str">
            <v>成都飞机工业（集团）有限责任公司</v>
          </cell>
          <cell r="Q27" t="str">
            <v>30</v>
          </cell>
        </row>
        <row r="27">
          <cell r="U27" t="str">
            <v>010000844690</v>
          </cell>
          <cell r="V27" t="str">
            <v>PANMINGTAO</v>
          </cell>
          <cell r="W27" t="str">
            <v/>
          </cell>
          <cell r="X27" t="str">
            <v>XC-33-1-5</v>
          </cell>
          <cell r="Y27" t="str">
            <v/>
          </cell>
          <cell r="Z27" t="str">
            <v>1902</v>
          </cell>
          <cell r="AA27" t="str">
            <v>1100160865</v>
          </cell>
          <cell r="AB27">
            <v>170</v>
          </cell>
          <cell r="AC27" t="str">
            <v/>
          </cell>
          <cell r="AD27">
            <v>77</v>
          </cell>
          <cell r="AE27" t="str">
            <v>G-100015632-260227-0090XH</v>
          </cell>
          <cell r="AF27" t="str">
            <v>1100160865/30</v>
          </cell>
        </row>
        <row r="28">
          <cell r="B28" t="str">
            <v>7101083566</v>
          </cell>
          <cell r="C28" t="str">
            <v>G2602-1171</v>
          </cell>
          <cell r="D28" t="str">
            <v>000036200000136261</v>
          </cell>
          <cell r="E28" t="str">
            <v>带垫P型卡箍</v>
          </cell>
          <cell r="F28" t="str">
            <v>Q/611S422-2017</v>
          </cell>
          <cell r="G28" t="str">
            <v>LBF20B</v>
          </cell>
          <cell r="H28" t="str">
            <v/>
          </cell>
          <cell r="I28" t="str">
            <v/>
          </cell>
          <cell r="J28" t="str">
            <v>组件(国产材料)</v>
          </cell>
          <cell r="K28">
            <v>7</v>
          </cell>
          <cell r="L28">
            <v>46087</v>
          </cell>
          <cell r="M28" t="str">
            <v>3-配货完成</v>
          </cell>
        </row>
        <row r="28">
          <cell r="O28">
            <v>0</v>
          </cell>
          <cell r="P28" t="str">
            <v>成都飞机工业（集团）有限责任公司</v>
          </cell>
          <cell r="Q28" t="str">
            <v>150</v>
          </cell>
        </row>
        <row r="28">
          <cell r="U28" t="str">
            <v>010000915794</v>
          </cell>
          <cell r="V28" t="str">
            <v>PANMINGTAO</v>
          </cell>
          <cell r="W28" t="str">
            <v/>
          </cell>
          <cell r="X28" t="str">
            <v>XC-33-1-5</v>
          </cell>
          <cell r="Y28" t="str">
            <v/>
          </cell>
          <cell r="Z28" t="str">
            <v>1902</v>
          </cell>
          <cell r="AA28" t="str">
            <v>1100160905</v>
          </cell>
          <cell r="AB28">
            <v>1180</v>
          </cell>
          <cell r="AC28" t="str">
            <v/>
          </cell>
          <cell r="AD28">
            <v>77.78</v>
          </cell>
          <cell r="AE28" t="str">
            <v>G-100015632-260227-0091</v>
          </cell>
          <cell r="AF28" t="str">
            <v>1100160905/150</v>
          </cell>
        </row>
        <row r="29">
          <cell r="B29" t="str">
            <v>7101085526</v>
          </cell>
          <cell r="C29" t="str">
            <v>G2602-0818</v>
          </cell>
          <cell r="D29" t="str">
            <v>000042944000141905</v>
          </cell>
          <cell r="E29" t="str">
            <v>带垫P型卡箍</v>
          </cell>
          <cell r="F29" t="str">
            <v>Q/611S422-2017</v>
          </cell>
          <cell r="G29" t="str">
            <v>LBF12B</v>
          </cell>
          <cell r="H29" t="str">
            <v/>
          </cell>
          <cell r="I29" t="str">
            <v/>
          </cell>
          <cell r="J29" t="str">
            <v>组件(国产材料)</v>
          </cell>
          <cell r="K29">
            <v>240</v>
          </cell>
          <cell r="L29">
            <v>46091</v>
          </cell>
          <cell r="M29" t="str">
            <v>3-配货完成</v>
          </cell>
        </row>
        <row r="29">
          <cell r="O29">
            <v>0</v>
          </cell>
          <cell r="P29" t="str">
            <v>成都飞机工业（集团）有限责任公司</v>
          </cell>
          <cell r="Q29" t="str">
            <v>40</v>
          </cell>
        </row>
        <row r="29">
          <cell r="U29" t="str">
            <v>010000913842</v>
          </cell>
          <cell r="V29" t="str">
            <v>PANMINGTAO</v>
          </cell>
          <cell r="W29" t="str">
            <v/>
          </cell>
          <cell r="X29" t="str">
            <v>XC-32-1-5</v>
          </cell>
          <cell r="Y29" t="str">
            <v/>
          </cell>
          <cell r="Z29" t="str">
            <v>1902</v>
          </cell>
          <cell r="AA29" t="str">
            <v>1100160269</v>
          </cell>
          <cell r="AB29">
            <v>650</v>
          </cell>
          <cell r="AC29" t="str">
            <v/>
          </cell>
          <cell r="AD29">
            <v>54</v>
          </cell>
          <cell r="AE29" t="str">
            <v>G-100015632-260205-0074</v>
          </cell>
          <cell r="AF29" t="str">
            <v>1100160269/40</v>
          </cell>
        </row>
        <row r="30">
          <cell r="B30" t="str">
            <v>7101088290</v>
          </cell>
          <cell r="C30" t="str">
            <v>G2509-3480</v>
          </cell>
          <cell r="D30" t="str">
            <v>000042944000143858</v>
          </cell>
          <cell r="E30" t="str">
            <v>带垫P型卡箍</v>
          </cell>
          <cell r="F30" t="str">
            <v>Q/611S422-2017</v>
          </cell>
          <cell r="G30" t="str">
            <v>LBF16B</v>
          </cell>
          <cell r="H30" t="str">
            <v/>
          </cell>
          <cell r="I30" t="str">
            <v/>
          </cell>
          <cell r="J30" t="str">
            <v>组件(国产材料)</v>
          </cell>
          <cell r="K30">
            <v>34</v>
          </cell>
          <cell r="L30">
            <v>46098</v>
          </cell>
          <cell r="M30" t="str">
            <v>3-配货完成</v>
          </cell>
        </row>
        <row r="30">
          <cell r="O30">
            <v>0</v>
          </cell>
          <cell r="P30" t="str">
            <v>成都飞机工业（集团）有限责任公司</v>
          </cell>
          <cell r="Q30" t="str">
            <v>110</v>
          </cell>
        </row>
        <row r="30">
          <cell r="U30" t="str">
            <v>010000870280</v>
          </cell>
          <cell r="V30" t="str">
            <v>PANMINGTAO</v>
          </cell>
          <cell r="W30" t="str">
            <v/>
          </cell>
          <cell r="X30" t="str">
            <v>XC-30-1-2</v>
          </cell>
          <cell r="Y30" t="str">
            <v/>
          </cell>
          <cell r="Z30" t="str">
            <v>1902</v>
          </cell>
          <cell r="AA30" t="str">
            <v>1100158449</v>
          </cell>
          <cell r="AB30">
            <v>830</v>
          </cell>
          <cell r="AC30" t="str">
            <v/>
          </cell>
          <cell r="AD30">
            <v>51.3</v>
          </cell>
          <cell r="AE30" t="str">
            <v>G-100015632-260107-0012</v>
          </cell>
          <cell r="AF30" t="str">
            <v>1100158449/110</v>
          </cell>
        </row>
        <row r="31">
          <cell r="B31" t="str">
            <v>7101089031</v>
          </cell>
          <cell r="C31" t="str">
            <v>G2603-0128</v>
          </cell>
          <cell r="D31" t="str">
            <v>000042944000138778</v>
          </cell>
          <cell r="E31" t="str">
            <v>带鞍座双面固定带垫卡箍</v>
          </cell>
          <cell r="F31" t="str">
            <v>Q/611S433-2023</v>
          </cell>
          <cell r="G31" t="str">
            <v>FDF70</v>
          </cell>
          <cell r="H31" t="str">
            <v/>
          </cell>
          <cell r="I31" t="str">
            <v/>
          </cell>
          <cell r="J31" t="str">
            <v>组件(国产材料)</v>
          </cell>
          <cell r="K31">
            <v>330</v>
          </cell>
          <cell r="L31">
            <v>46099</v>
          </cell>
          <cell r="M31" t="str">
            <v>3-配货完成</v>
          </cell>
        </row>
        <row r="31">
          <cell r="O31">
            <v>0</v>
          </cell>
          <cell r="P31" t="str">
            <v>成都飞机工业（集团）有限责任公司</v>
          </cell>
          <cell r="Q31" t="str">
            <v>180</v>
          </cell>
        </row>
        <row r="31">
          <cell r="U31" t="str">
            <v>010000919962</v>
          </cell>
          <cell r="V31" t="str">
            <v>PANMINGTAO</v>
          </cell>
          <cell r="W31" t="str">
            <v/>
          </cell>
          <cell r="X31" t="str">
            <v>XC-32-1-5</v>
          </cell>
          <cell r="Y31" t="str">
            <v/>
          </cell>
          <cell r="Z31" t="str">
            <v>1902</v>
          </cell>
          <cell r="AA31" t="str">
            <v>1100160905</v>
          </cell>
          <cell r="AB31">
            <v>330</v>
          </cell>
          <cell r="AC31" t="str">
            <v/>
          </cell>
          <cell r="AD31">
            <v>122.88</v>
          </cell>
          <cell r="AE31" t="str">
            <v>G-100015632-260227-0091</v>
          </cell>
          <cell r="AF31" t="str">
            <v>1100160905/180</v>
          </cell>
        </row>
        <row r="32">
          <cell r="B32" t="str">
            <v>7101089796</v>
          </cell>
          <cell r="C32" t="str">
            <v>G2511-0769</v>
          </cell>
          <cell r="D32" t="str">
            <v>000042944000156715</v>
          </cell>
          <cell r="E32" t="str">
            <v>17-7PH带垫P型卡箍</v>
          </cell>
          <cell r="F32" t="str">
            <v>Q/611S538-2017</v>
          </cell>
          <cell r="G32" t="str">
            <v>F18</v>
          </cell>
          <cell r="H32" t="str">
            <v/>
          </cell>
          <cell r="I32" t="str">
            <v/>
          </cell>
          <cell r="J32" t="str">
            <v>组件(国产材料)</v>
          </cell>
          <cell r="K32">
            <v>12</v>
          </cell>
          <cell r="L32">
            <v>46101</v>
          </cell>
          <cell r="M32" t="str">
            <v>3-配货完成</v>
          </cell>
        </row>
        <row r="32">
          <cell r="O32">
            <v>0</v>
          </cell>
          <cell r="P32" t="str">
            <v>成都飞机工业（集团）有限责任公司</v>
          </cell>
          <cell r="Q32" t="str">
            <v>160</v>
          </cell>
        </row>
        <row r="32">
          <cell r="U32" t="str">
            <v>010000882525</v>
          </cell>
          <cell r="V32" t="str">
            <v>PANMINGTAO</v>
          </cell>
          <cell r="W32" t="str">
            <v/>
          </cell>
          <cell r="X32" t="str">
            <v>XC-31-1-2</v>
          </cell>
          <cell r="Y32" t="str">
            <v/>
          </cell>
          <cell r="Z32" t="str">
            <v>1902</v>
          </cell>
          <cell r="AA32" t="str">
            <v>1100155478</v>
          </cell>
          <cell r="AB32">
            <v>50</v>
          </cell>
          <cell r="AC32" t="str">
            <v/>
          </cell>
          <cell r="AD32">
            <v>75.31</v>
          </cell>
          <cell r="AE32" t="str">
            <v>G-100015632-251107-0283</v>
          </cell>
          <cell r="AF32" t="str">
            <v>1100155478/160</v>
          </cell>
        </row>
        <row r="33">
          <cell r="B33" t="str">
            <v>7101089798</v>
          </cell>
          <cell r="C33" t="str">
            <v>G2511-0769</v>
          </cell>
          <cell r="D33" t="str">
            <v>000042944000156715</v>
          </cell>
          <cell r="E33" t="str">
            <v>17-7PH带垫P型卡箍</v>
          </cell>
          <cell r="F33" t="str">
            <v>Q/611S538-2017</v>
          </cell>
          <cell r="G33" t="str">
            <v>F18</v>
          </cell>
          <cell r="H33" t="str">
            <v/>
          </cell>
          <cell r="I33" t="str">
            <v/>
          </cell>
          <cell r="J33" t="str">
            <v>组件(国产材料)</v>
          </cell>
          <cell r="K33">
            <v>17</v>
          </cell>
          <cell r="L33">
            <v>46101</v>
          </cell>
          <cell r="M33" t="str">
            <v>3-配货完成</v>
          </cell>
        </row>
        <row r="33">
          <cell r="O33">
            <v>0</v>
          </cell>
          <cell r="P33" t="str">
            <v>成都飞机工业（集团）有限责任公司</v>
          </cell>
          <cell r="Q33" t="str">
            <v>30</v>
          </cell>
        </row>
        <row r="33">
          <cell r="U33" t="str">
            <v>010000882525</v>
          </cell>
          <cell r="V33" t="str">
            <v>PANMINGTAO</v>
          </cell>
          <cell r="W33" t="str">
            <v/>
          </cell>
          <cell r="X33" t="str">
            <v>XC-31-1-2</v>
          </cell>
          <cell r="Y33" t="str">
            <v/>
          </cell>
          <cell r="Z33" t="str">
            <v>1902</v>
          </cell>
          <cell r="AA33" t="str">
            <v>1100158449</v>
          </cell>
          <cell r="AB33">
            <v>110</v>
          </cell>
          <cell r="AC33" t="str">
            <v/>
          </cell>
          <cell r="AD33">
            <v>75.31</v>
          </cell>
          <cell r="AE33" t="str">
            <v>G-100015632-260107-0012</v>
          </cell>
          <cell r="AF33" t="str">
            <v>1100158449/30</v>
          </cell>
        </row>
        <row r="34">
          <cell r="B34" t="str">
            <v>7101089800</v>
          </cell>
          <cell r="C34" t="str">
            <v>G2603-0132</v>
          </cell>
          <cell r="D34" t="str">
            <v>000042944000143210</v>
          </cell>
          <cell r="E34" t="str">
            <v>带鞍座双面固定带垫卡箍</v>
          </cell>
          <cell r="F34" t="str">
            <v>Q/611S433-2023</v>
          </cell>
          <cell r="G34" t="str">
            <v>FDF50B</v>
          </cell>
          <cell r="H34" t="str">
            <v/>
          </cell>
          <cell r="I34" t="str">
            <v/>
          </cell>
          <cell r="J34" t="str">
            <v>组件(国产材料)</v>
          </cell>
          <cell r="K34">
            <v>70</v>
          </cell>
          <cell r="L34">
            <v>46101</v>
          </cell>
          <cell r="M34" t="str">
            <v>3-配货完成</v>
          </cell>
        </row>
        <row r="34">
          <cell r="O34">
            <v>0</v>
          </cell>
          <cell r="P34" t="str">
            <v>成都飞机工业（集团）有限责任公司</v>
          </cell>
          <cell r="Q34" t="str">
            <v>220</v>
          </cell>
        </row>
        <row r="34">
          <cell r="U34" t="str">
            <v>010000919966</v>
          </cell>
          <cell r="V34" t="str">
            <v>PANMINGTAO</v>
          </cell>
          <cell r="W34" t="str">
            <v/>
          </cell>
          <cell r="X34" t="str">
            <v>XC-30-1-2</v>
          </cell>
          <cell r="Y34" t="str">
            <v/>
          </cell>
          <cell r="Z34" t="str">
            <v>1902</v>
          </cell>
          <cell r="AA34" t="str">
            <v>1100160905</v>
          </cell>
          <cell r="AB34">
            <v>70</v>
          </cell>
          <cell r="AC34" t="str">
            <v/>
          </cell>
          <cell r="AD34">
            <v>114.46</v>
          </cell>
          <cell r="AE34" t="str">
            <v>G-100015632-260227-0091</v>
          </cell>
          <cell r="AF34" t="str">
            <v>1100160905/220</v>
          </cell>
        </row>
        <row r="35">
          <cell r="B35" t="str">
            <v>7101092597</v>
          </cell>
          <cell r="C35" t="str">
            <v>G2602-0817</v>
          </cell>
          <cell r="D35" t="str">
            <v>000042944000141905</v>
          </cell>
          <cell r="E35" t="str">
            <v>带垫P型卡箍</v>
          </cell>
          <cell r="F35" t="str">
            <v>Q/611S422-2017</v>
          </cell>
          <cell r="G35" t="str">
            <v>LBF12B</v>
          </cell>
          <cell r="H35" t="str">
            <v/>
          </cell>
          <cell r="I35" t="str">
            <v/>
          </cell>
          <cell r="J35" t="str">
            <v>组件(国产材料)</v>
          </cell>
          <cell r="K35">
            <v>394</v>
          </cell>
          <cell r="L35">
            <v>46106</v>
          </cell>
          <cell r="M35" t="str">
            <v>3-配货完成</v>
          </cell>
        </row>
        <row r="35">
          <cell r="O35">
            <v>0</v>
          </cell>
          <cell r="P35" t="str">
            <v>成都飞机工业（集团）有限责任公司</v>
          </cell>
          <cell r="Q35" t="str">
            <v>40</v>
          </cell>
        </row>
        <row r="35">
          <cell r="U35" t="str">
            <v>010000913841</v>
          </cell>
          <cell r="V35" t="str">
            <v>PANMINGTAO</v>
          </cell>
          <cell r="W35" t="str">
            <v/>
          </cell>
          <cell r="X35" t="str">
            <v>XC-31-1-2</v>
          </cell>
          <cell r="Y35" t="str">
            <v/>
          </cell>
          <cell r="Z35" t="str">
            <v>1902</v>
          </cell>
          <cell r="AA35" t="str">
            <v>1100160269</v>
          </cell>
          <cell r="AB35">
            <v>650</v>
          </cell>
          <cell r="AC35" t="str">
            <v/>
          </cell>
          <cell r="AD35">
            <v>54</v>
          </cell>
          <cell r="AE35" t="str">
            <v>G-100015632-260205-0074</v>
          </cell>
          <cell r="AF35" t="str">
            <v>1100160269/40</v>
          </cell>
        </row>
        <row r="36">
          <cell r="B36" t="str">
            <v>7101092903</v>
          </cell>
          <cell r="C36" t="str">
            <v>G2602-0821</v>
          </cell>
          <cell r="D36" t="str">
            <v>000042944000142077</v>
          </cell>
          <cell r="E36" t="str">
            <v>带垫P型卡箍</v>
          </cell>
          <cell r="F36" t="str">
            <v>Q/611S422-2017</v>
          </cell>
          <cell r="G36" t="str">
            <v>LBF40B</v>
          </cell>
          <cell r="H36" t="str">
            <v/>
          </cell>
          <cell r="I36" t="str">
            <v/>
          </cell>
          <cell r="J36" t="str">
            <v>组件(国产材料)</v>
          </cell>
          <cell r="K36">
            <v>170</v>
          </cell>
          <cell r="L36">
            <v>46106</v>
          </cell>
          <cell r="M36" t="str">
            <v>3-配货完成</v>
          </cell>
        </row>
        <row r="36">
          <cell r="O36">
            <v>0</v>
          </cell>
          <cell r="P36" t="str">
            <v>成都飞机工业（集团）有限责任公司</v>
          </cell>
          <cell r="Q36" t="str">
            <v>30</v>
          </cell>
        </row>
        <row r="36">
          <cell r="U36" t="str">
            <v>010000913845</v>
          </cell>
          <cell r="V36" t="str">
            <v>PANMINGTAO</v>
          </cell>
          <cell r="W36" t="str">
            <v/>
          </cell>
          <cell r="X36" t="str">
            <v>XC-30-1-2</v>
          </cell>
          <cell r="Y36" t="str">
            <v/>
          </cell>
          <cell r="Z36" t="str">
            <v>1902</v>
          </cell>
          <cell r="AA36" t="str">
            <v>1100160269</v>
          </cell>
          <cell r="AB36">
            <v>170</v>
          </cell>
          <cell r="AC36" t="str">
            <v/>
          </cell>
          <cell r="AD36">
            <v>87.74</v>
          </cell>
          <cell r="AE36" t="str">
            <v>G-100015632-260205-0074</v>
          </cell>
          <cell r="AF36" t="str">
            <v>1100160269/30</v>
          </cell>
        </row>
        <row r="37">
          <cell r="B37" t="str">
            <v>7101092989</v>
          </cell>
          <cell r="C37" t="str">
            <v>G2511-0768</v>
          </cell>
          <cell r="D37" t="str">
            <v>000042944000155223</v>
          </cell>
          <cell r="E37" t="str">
            <v>17-7PH带垫P型卡箍</v>
          </cell>
          <cell r="F37" t="str">
            <v>Q/611S538-2017</v>
          </cell>
          <cell r="G37" t="str">
            <v>F34</v>
          </cell>
          <cell r="H37" t="str">
            <v/>
          </cell>
          <cell r="I37" t="str">
            <v/>
          </cell>
          <cell r="J37" t="str">
            <v>组件(国产材料)</v>
          </cell>
          <cell r="K37">
            <v>60</v>
          </cell>
          <cell r="L37">
            <v>46108</v>
          </cell>
          <cell r="M37" t="str">
            <v>3-配货完成</v>
          </cell>
        </row>
        <row r="37">
          <cell r="O37">
            <v>0</v>
          </cell>
          <cell r="P37" t="str">
            <v>成都飞机工业（集团）有限责任公司</v>
          </cell>
          <cell r="Q37" t="str">
            <v>110</v>
          </cell>
        </row>
        <row r="37">
          <cell r="U37" t="str">
            <v>010000882524</v>
          </cell>
          <cell r="V37" t="str">
            <v>PANMINGTAO</v>
          </cell>
          <cell r="W37" t="str">
            <v/>
          </cell>
          <cell r="X37" t="str">
            <v>XC-30-1-2</v>
          </cell>
          <cell r="Y37" t="str">
            <v/>
          </cell>
          <cell r="Z37" t="str">
            <v>1902</v>
          </cell>
          <cell r="AA37" t="str">
            <v>1100155478</v>
          </cell>
          <cell r="AB37">
            <v>60</v>
          </cell>
          <cell r="AC37" t="str">
            <v/>
          </cell>
          <cell r="AD37">
            <v>78.19</v>
          </cell>
          <cell r="AE37" t="str">
            <v>G-100015632-251107-0283</v>
          </cell>
          <cell r="AF37" t="str">
            <v>1100155478/110</v>
          </cell>
        </row>
        <row r="38">
          <cell r="B38" t="str">
            <v>7101092990</v>
          </cell>
          <cell r="C38" t="str">
            <v>G2511-0767</v>
          </cell>
          <cell r="D38" t="str">
            <v>000042944000155222</v>
          </cell>
          <cell r="E38" t="str">
            <v>17-7PH带垫P型卡箍</v>
          </cell>
          <cell r="F38" t="str">
            <v>Q/611S538-2017</v>
          </cell>
          <cell r="G38" t="str">
            <v>F14B</v>
          </cell>
          <cell r="H38" t="str">
            <v/>
          </cell>
          <cell r="I38" t="str">
            <v/>
          </cell>
          <cell r="J38" t="str">
            <v>组件(国产材料)</v>
          </cell>
          <cell r="K38">
            <v>257</v>
          </cell>
          <cell r="L38">
            <v>46108</v>
          </cell>
          <cell r="M38" t="str">
            <v>3-配货完成</v>
          </cell>
        </row>
        <row r="38">
          <cell r="O38">
            <v>0</v>
          </cell>
          <cell r="P38" t="str">
            <v>成都飞机工业（集团）有限责任公司</v>
          </cell>
          <cell r="Q38" t="str">
            <v>150</v>
          </cell>
        </row>
        <row r="38">
          <cell r="U38" t="str">
            <v>010000882523</v>
          </cell>
          <cell r="V38" t="str">
            <v>PANMINGTAO</v>
          </cell>
          <cell r="W38" t="str">
            <v/>
          </cell>
          <cell r="X38" t="str">
            <v>XC-30-1-2</v>
          </cell>
          <cell r="Y38" t="str">
            <v/>
          </cell>
          <cell r="Z38" t="str">
            <v>1902</v>
          </cell>
          <cell r="AA38" t="str">
            <v>1100155478</v>
          </cell>
          <cell r="AB38">
            <v>300</v>
          </cell>
          <cell r="AC38" t="str">
            <v/>
          </cell>
          <cell r="AD38">
            <v>49.21</v>
          </cell>
          <cell r="AE38" t="str">
            <v>G-100015632-251107-0283</v>
          </cell>
          <cell r="AF38" t="str">
            <v>1100155478/150</v>
          </cell>
        </row>
        <row r="39">
          <cell r="B39" t="str">
            <v>7101093001</v>
          </cell>
          <cell r="C39" t="str">
            <v>G2511-0767</v>
          </cell>
          <cell r="D39" t="str">
            <v>000042944000155222</v>
          </cell>
          <cell r="E39" t="str">
            <v>17-7PH带垫P型卡箍</v>
          </cell>
          <cell r="F39" t="str">
            <v>Q/611S538-2017</v>
          </cell>
          <cell r="G39" t="str">
            <v>F14B</v>
          </cell>
          <cell r="H39" t="str">
            <v/>
          </cell>
          <cell r="I39" t="str">
            <v/>
          </cell>
          <cell r="J39" t="str">
            <v>组件(国产材料)</v>
          </cell>
          <cell r="K39">
            <v>197</v>
          </cell>
          <cell r="L39">
            <v>46108</v>
          </cell>
          <cell r="M39" t="str">
            <v>3-配货完成</v>
          </cell>
        </row>
        <row r="39">
          <cell r="O39">
            <v>0</v>
          </cell>
          <cell r="P39" t="str">
            <v>成都飞机工业（集团）有限责任公司</v>
          </cell>
          <cell r="Q39" t="str">
            <v>190</v>
          </cell>
        </row>
        <row r="39">
          <cell r="U39" t="str">
            <v>010000882523</v>
          </cell>
          <cell r="V39" t="str">
            <v>PANMINGTAO</v>
          </cell>
          <cell r="W39" t="str">
            <v/>
          </cell>
          <cell r="X39" t="str">
            <v>XC-30-1-2</v>
          </cell>
          <cell r="Y39" t="str">
            <v/>
          </cell>
          <cell r="Z39" t="str">
            <v>1902</v>
          </cell>
          <cell r="AA39" t="str">
            <v>1100160269</v>
          </cell>
          <cell r="AB39">
            <v>280</v>
          </cell>
          <cell r="AC39" t="str">
            <v/>
          </cell>
          <cell r="AD39">
            <v>49.21</v>
          </cell>
          <cell r="AE39" t="str">
            <v>G-100015632-260205-0074</v>
          </cell>
          <cell r="AF39" t="str">
            <v>1100160269/190</v>
          </cell>
        </row>
        <row r="40">
          <cell r="B40" t="str">
            <v>7101093848</v>
          </cell>
          <cell r="C40" t="str">
            <v>G2603-0133</v>
          </cell>
          <cell r="D40" t="str">
            <v>000042944000143216</v>
          </cell>
          <cell r="E40" t="str">
            <v>带鞍座双面固定带垫卡箍</v>
          </cell>
          <cell r="F40" t="str">
            <v>Q/611S433-2023</v>
          </cell>
          <cell r="G40" t="str">
            <v>FDJ75</v>
          </cell>
          <cell r="H40" t="str">
            <v/>
          </cell>
          <cell r="I40" t="str">
            <v/>
          </cell>
          <cell r="J40" t="str">
            <v>组件(国产材料)</v>
          </cell>
          <cell r="K40">
            <v>3</v>
          </cell>
          <cell r="L40">
            <v>46111</v>
          </cell>
          <cell r="M40" t="str">
            <v>3-配货完成</v>
          </cell>
        </row>
        <row r="40">
          <cell r="O40">
            <v>0</v>
          </cell>
          <cell r="P40" t="str">
            <v>成都飞机工业（集团）有限责任公司</v>
          </cell>
          <cell r="Q40" t="str">
            <v>110</v>
          </cell>
        </row>
        <row r="40">
          <cell r="U40" t="str">
            <v>010000919967</v>
          </cell>
          <cell r="V40" t="str">
            <v>PANMINGTAO</v>
          </cell>
          <cell r="W40" t="str">
            <v/>
          </cell>
          <cell r="X40" t="str">
            <v>XC-31-1-3</v>
          </cell>
          <cell r="Y40" t="str">
            <v/>
          </cell>
          <cell r="Z40" t="str">
            <v>1902</v>
          </cell>
          <cell r="AA40" t="str">
            <v>1100153602</v>
          </cell>
          <cell r="AB40">
            <v>50</v>
          </cell>
          <cell r="AC40" t="str">
            <v/>
          </cell>
          <cell r="AD40">
            <v>133.57</v>
          </cell>
          <cell r="AE40" t="str">
            <v>G-100015632-250928-0249</v>
          </cell>
          <cell r="AF40" t="str">
            <v>1100153602/110</v>
          </cell>
        </row>
        <row r="41">
          <cell r="B41" t="str">
            <v>7101093849</v>
          </cell>
          <cell r="C41" t="str">
            <v>G2603-0133</v>
          </cell>
          <cell r="D41" t="str">
            <v>000042944000143216</v>
          </cell>
          <cell r="E41" t="str">
            <v>带鞍座双面固定带垫卡箍</v>
          </cell>
          <cell r="F41" t="str">
            <v>Q/611S433-2023</v>
          </cell>
          <cell r="G41" t="str">
            <v>FDJ75</v>
          </cell>
          <cell r="H41" t="str">
            <v/>
          </cell>
          <cell r="I41" t="str">
            <v/>
          </cell>
          <cell r="J41" t="str">
            <v>组件(国产材料)</v>
          </cell>
          <cell r="K41">
            <v>50</v>
          </cell>
          <cell r="L41">
            <v>46111</v>
          </cell>
          <cell r="M41" t="str">
            <v>3-配货完成</v>
          </cell>
        </row>
        <row r="41">
          <cell r="O41">
            <v>0</v>
          </cell>
          <cell r="P41" t="str">
            <v>成都飞机工业（集团）有限责任公司</v>
          </cell>
          <cell r="Q41" t="str">
            <v>230</v>
          </cell>
        </row>
        <row r="41">
          <cell r="U41" t="str">
            <v>010000919967</v>
          </cell>
          <cell r="V41" t="str">
            <v>PANMINGTAO</v>
          </cell>
          <cell r="W41" t="str">
            <v/>
          </cell>
          <cell r="X41" t="str">
            <v>XC-31-1-3</v>
          </cell>
          <cell r="Y41" t="str">
            <v/>
          </cell>
          <cell r="Z41" t="str">
            <v>1902</v>
          </cell>
          <cell r="AA41" t="str">
            <v>1100160905</v>
          </cell>
          <cell r="AB41">
            <v>50</v>
          </cell>
          <cell r="AC41" t="str">
            <v/>
          </cell>
          <cell r="AD41">
            <v>133.57</v>
          </cell>
          <cell r="AE41" t="str">
            <v>G-100015632-260227-0091</v>
          </cell>
          <cell r="AF41" t="str">
            <v>1100160905/230</v>
          </cell>
        </row>
        <row r="42">
          <cell r="B42" t="str">
            <v>7101093851</v>
          </cell>
          <cell r="C42" t="str">
            <v>G2603-0127</v>
          </cell>
          <cell r="D42" t="str">
            <v>000042944000138773</v>
          </cell>
          <cell r="E42" t="str">
            <v>带鞍座双面固定带垫卡箍</v>
          </cell>
          <cell r="F42" t="str">
            <v>Q/611S433-2023</v>
          </cell>
          <cell r="G42" t="str">
            <v>FDF30</v>
          </cell>
          <cell r="H42" t="str">
            <v/>
          </cell>
          <cell r="I42" t="str">
            <v/>
          </cell>
          <cell r="J42" t="str">
            <v>组件(国产材料)</v>
          </cell>
          <cell r="K42">
            <v>50</v>
          </cell>
          <cell r="L42">
            <v>46111</v>
          </cell>
          <cell r="M42" t="str">
            <v>3-配货完成</v>
          </cell>
        </row>
        <row r="42">
          <cell r="O42">
            <v>0</v>
          </cell>
          <cell r="P42" t="str">
            <v>成都飞机工业（集团）有限责任公司</v>
          </cell>
          <cell r="Q42" t="str">
            <v>190</v>
          </cell>
        </row>
        <row r="42">
          <cell r="U42" t="str">
            <v>010000919961</v>
          </cell>
          <cell r="V42" t="str">
            <v>PANMINGTAO</v>
          </cell>
          <cell r="W42" t="str">
            <v/>
          </cell>
          <cell r="X42" t="str">
            <v>XC-DS</v>
          </cell>
          <cell r="Y42" t="str">
            <v/>
          </cell>
          <cell r="Z42" t="str">
            <v>1902</v>
          </cell>
          <cell r="AA42" t="str">
            <v>1100160905</v>
          </cell>
          <cell r="AB42">
            <v>50</v>
          </cell>
          <cell r="AC42" t="str">
            <v/>
          </cell>
          <cell r="AD42">
            <v>85</v>
          </cell>
          <cell r="AE42" t="str">
            <v>G-100015632-260227-0091</v>
          </cell>
          <cell r="AF42" t="str">
            <v>1100160905/190</v>
          </cell>
        </row>
        <row r="43">
          <cell r="B43" t="str">
            <v>7101093852</v>
          </cell>
          <cell r="C43" t="str">
            <v>G2603-0130</v>
          </cell>
          <cell r="D43" t="str">
            <v>000042944000141126</v>
          </cell>
          <cell r="E43" t="str">
            <v>带鞍座双面固定带垫卡箍</v>
          </cell>
          <cell r="F43" t="str">
            <v>Q/611S433-2023</v>
          </cell>
          <cell r="G43" t="str">
            <v>FDF38B</v>
          </cell>
          <cell r="H43" t="str">
            <v/>
          </cell>
          <cell r="I43" t="str">
            <v/>
          </cell>
          <cell r="J43" t="str">
            <v>组件(国产材料)</v>
          </cell>
          <cell r="K43">
            <v>70</v>
          </cell>
          <cell r="L43">
            <v>46111</v>
          </cell>
          <cell r="M43" t="str">
            <v>3-配货完成</v>
          </cell>
        </row>
        <row r="43">
          <cell r="O43">
            <v>0</v>
          </cell>
          <cell r="P43" t="str">
            <v>成都飞机工业（集团）有限责任公司</v>
          </cell>
          <cell r="Q43" t="str">
            <v>200</v>
          </cell>
        </row>
        <row r="43">
          <cell r="U43" t="str">
            <v>010000919964</v>
          </cell>
          <cell r="V43" t="str">
            <v>PANMINGTAO</v>
          </cell>
          <cell r="W43" t="str">
            <v/>
          </cell>
          <cell r="X43" t="str">
            <v>XC-31-1-2</v>
          </cell>
          <cell r="Y43" t="str">
            <v/>
          </cell>
          <cell r="Z43" t="str">
            <v>1902</v>
          </cell>
          <cell r="AA43" t="str">
            <v>1100160905</v>
          </cell>
          <cell r="AB43">
            <v>70</v>
          </cell>
          <cell r="AC43" t="str">
            <v/>
          </cell>
          <cell r="AD43">
            <v>114.46</v>
          </cell>
          <cell r="AE43" t="str">
            <v>G-100015632-260227-0091</v>
          </cell>
          <cell r="AF43" t="str">
            <v>1100160905/200</v>
          </cell>
        </row>
        <row r="44">
          <cell r="B44" t="str">
            <v>7101093855</v>
          </cell>
          <cell r="C44" t="str">
            <v>G2603-0129</v>
          </cell>
          <cell r="D44" t="str">
            <v>000042944000139029</v>
          </cell>
          <cell r="E44" t="str">
            <v>长圆型单面固定带垫卡箍</v>
          </cell>
          <cell r="F44" t="str">
            <v>Q/611S475-2023</v>
          </cell>
          <cell r="G44" t="str">
            <v>FDF20</v>
          </cell>
          <cell r="H44" t="str">
            <v/>
          </cell>
          <cell r="I44" t="str">
            <v/>
          </cell>
          <cell r="J44" t="str">
            <v>组件(国产材料)</v>
          </cell>
          <cell r="K44">
            <v>23</v>
          </cell>
          <cell r="L44">
            <v>46111</v>
          </cell>
          <cell r="M44" t="str">
            <v>3-配货完成</v>
          </cell>
        </row>
        <row r="44">
          <cell r="O44">
            <v>0</v>
          </cell>
          <cell r="P44" t="str">
            <v>成都飞机工业（集团）有限责任公司</v>
          </cell>
          <cell r="Q44" t="str">
            <v>130</v>
          </cell>
        </row>
        <row r="44">
          <cell r="U44" t="str">
            <v>010000919963</v>
          </cell>
          <cell r="V44" t="str">
            <v>PANMINGTAO</v>
          </cell>
          <cell r="W44" t="str">
            <v/>
          </cell>
          <cell r="X44" t="str">
            <v>XC-30-1-2</v>
          </cell>
          <cell r="Y44" t="str">
            <v/>
          </cell>
          <cell r="Z44" t="str">
            <v>1902</v>
          </cell>
          <cell r="AA44" t="str">
            <v>1100152032</v>
          </cell>
          <cell r="AB44">
            <v>160</v>
          </cell>
          <cell r="AC44" t="str">
            <v/>
          </cell>
          <cell r="AD44">
            <v>83.08</v>
          </cell>
          <cell r="AE44" t="str">
            <v>G-100015632-250827-0222</v>
          </cell>
          <cell r="AF44" t="str">
            <v>1100152032/130</v>
          </cell>
        </row>
        <row r="45">
          <cell r="B45" t="str">
            <v>7101093859</v>
          </cell>
          <cell r="C45" t="str">
            <v>G2603-0129</v>
          </cell>
          <cell r="D45" t="str">
            <v>000042944000139029</v>
          </cell>
          <cell r="E45" t="str">
            <v>长圆型单面固定带垫卡箍</v>
          </cell>
          <cell r="F45" t="str">
            <v>Q/611S475-2023</v>
          </cell>
          <cell r="G45" t="str">
            <v>FDF20</v>
          </cell>
          <cell r="H45" t="str">
            <v/>
          </cell>
          <cell r="I45" t="str">
            <v/>
          </cell>
          <cell r="J45" t="str">
            <v>组件(国产材料)</v>
          </cell>
          <cell r="K45">
            <v>145</v>
          </cell>
          <cell r="L45">
            <v>46111</v>
          </cell>
          <cell r="M45" t="str">
            <v>3-配货完成</v>
          </cell>
        </row>
        <row r="45">
          <cell r="O45">
            <v>0</v>
          </cell>
          <cell r="P45" t="str">
            <v>成都飞机工业（集团）有限责任公司</v>
          </cell>
          <cell r="Q45" t="str">
            <v>100</v>
          </cell>
        </row>
        <row r="45">
          <cell r="U45" t="str">
            <v>010000919963</v>
          </cell>
          <cell r="V45" t="str">
            <v>PANMINGTAO</v>
          </cell>
          <cell r="W45" t="str">
            <v/>
          </cell>
          <cell r="X45" t="str">
            <v>XC-30-1-2</v>
          </cell>
          <cell r="Y45" t="str">
            <v/>
          </cell>
          <cell r="Z45" t="str">
            <v>1902</v>
          </cell>
          <cell r="AA45" t="str">
            <v>1100160905</v>
          </cell>
          <cell r="AB45">
            <v>160</v>
          </cell>
          <cell r="AC45" t="str">
            <v/>
          </cell>
          <cell r="AD45">
            <v>83.08</v>
          </cell>
          <cell r="AE45" t="str">
            <v>G-100015632-260227-0091</v>
          </cell>
          <cell r="AF45" t="str">
            <v>1100160905/100</v>
          </cell>
        </row>
        <row r="46">
          <cell r="B46" t="str">
            <v>7101093873</v>
          </cell>
          <cell r="C46" t="str">
            <v>G2603-0143</v>
          </cell>
          <cell r="D46" t="str">
            <v>000042944000158423</v>
          </cell>
          <cell r="E46" t="str">
            <v>17-7PH带垫P型卡箍</v>
          </cell>
          <cell r="F46" t="str">
            <v>Q/611S538-2017</v>
          </cell>
          <cell r="G46" t="str">
            <v>F36B</v>
          </cell>
          <cell r="H46" t="str">
            <v/>
          </cell>
          <cell r="I46" t="str">
            <v/>
          </cell>
          <cell r="J46" t="str">
            <v>组件(国产材料)</v>
          </cell>
          <cell r="K46">
            <v>264</v>
          </cell>
          <cell r="L46">
            <v>46111</v>
          </cell>
          <cell r="M46" t="str">
            <v>3-配货完成</v>
          </cell>
        </row>
        <row r="46">
          <cell r="O46">
            <v>0</v>
          </cell>
          <cell r="P46" t="str">
            <v>成都飞机工业（集团）有限责任公司</v>
          </cell>
          <cell r="Q46" t="str">
            <v>60</v>
          </cell>
        </row>
        <row r="46">
          <cell r="U46" t="str">
            <v>010000919978</v>
          </cell>
          <cell r="V46" t="str">
            <v>PANMINGTAO</v>
          </cell>
          <cell r="W46" t="str">
            <v/>
          </cell>
          <cell r="X46" t="str">
            <v>XC-31-1-3</v>
          </cell>
          <cell r="Y46" t="str">
            <v/>
          </cell>
          <cell r="Z46" t="str">
            <v>1902</v>
          </cell>
          <cell r="AA46" t="str">
            <v>1100160905</v>
          </cell>
          <cell r="AB46">
            <v>740</v>
          </cell>
          <cell r="AC46" t="str">
            <v/>
          </cell>
          <cell r="AD46">
            <v>78.19</v>
          </cell>
          <cell r="AE46" t="str">
            <v>G-100015632-260227-0091</v>
          </cell>
          <cell r="AF46" t="str">
            <v>1100160905/60</v>
          </cell>
        </row>
        <row r="47">
          <cell r="B47" t="str">
            <v>7101093882</v>
          </cell>
          <cell r="C47" t="str">
            <v>G2602-0825</v>
          </cell>
          <cell r="D47" t="str">
            <v>000042944000143223</v>
          </cell>
          <cell r="E47" t="str">
            <v>长圆型单面固定带垫卡箍</v>
          </cell>
          <cell r="F47" t="str">
            <v>Q/611S475-2023</v>
          </cell>
          <cell r="G47" t="str">
            <v>FDF16</v>
          </cell>
          <cell r="H47" t="str">
            <v/>
          </cell>
          <cell r="I47" t="str">
            <v/>
          </cell>
          <cell r="J47" t="str">
            <v>组件(国产材料)</v>
          </cell>
          <cell r="K47">
            <v>110</v>
          </cell>
          <cell r="L47">
            <v>46111</v>
          </cell>
          <cell r="M47" t="str">
            <v>3-配货完成</v>
          </cell>
        </row>
        <row r="47">
          <cell r="O47">
            <v>0</v>
          </cell>
          <cell r="P47" t="str">
            <v>成都飞机工业（集团）有限责任公司</v>
          </cell>
          <cell r="Q47" t="str">
            <v>60</v>
          </cell>
        </row>
        <row r="47">
          <cell r="U47" t="str">
            <v>010000913849</v>
          </cell>
          <cell r="V47" t="str">
            <v>PANMINGTAO</v>
          </cell>
          <cell r="W47" t="str">
            <v/>
          </cell>
          <cell r="X47" t="str">
            <v>XC-DS</v>
          </cell>
          <cell r="Y47" t="str">
            <v/>
          </cell>
          <cell r="Z47" t="str">
            <v>1902</v>
          </cell>
          <cell r="AA47" t="str">
            <v>1100160269</v>
          </cell>
          <cell r="AB47">
            <v>110</v>
          </cell>
          <cell r="AC47" t="str">
            <v/>
          </cell>
          <cell r="AD47">
            <v>79.76</v>
          </cell>
          <cell r="AE47" t="str">
            <v>G-100015632-260205-0074</v>
          </cell>
          <cell r="AF47" t="str">
            <v>1100160269/60</v>
          </cell>
        </row>
        <row r="48">
          <cell r="B48" t="str">
            <v>7101093883</v>
          </cell>
          <cell r="C48" t="str">
            <v>G2602-0822</v>
          </cell>
          <cell r="D48" t="str">
            <v>000042944000143208</v>
          </cell>
          <cell r="E48" t="str">
            <v>带鞍座双面固定带垫卡箍</v>
          </cell>
          <cell r="F48" t="str">
            <v>Q/611S433-2023</v>
          </cell>
          <cell r="G48" t="str">
            <v>FDF20B</v>
          </cell>
          <cell r="H48" t="str">
            <v/>
          </cell>
          <cell r="I48" t="str">
            <v/>
          </cell>
          <cell r="J48" t="str">
            <v>组件(国产材料)</v>
          </cell>
          <cell r="K48">
            <v>70</v>
          </cell>
          <cell r="L48">
            <v>46111</v>
          </cell>
          <cell r="M48" t="str">
            <v>3-配货完成</v>
          </cell>
        </row>
        <row r="48">
          <cell r="O48">
            <v>0</v>
          </cell>
          <cell r="P48" t="str">
            <v>成都飞机工业（集团）有限责任公司</v>
          </cell>
          <cell r="Q48" t="str">
            <v>80</v>
          </cell>
        </row>
        <row r="48">
          <cell r="U48" t="str">
            <v>010000913846</v>
          </cell>
          <cell r="V48" t="str">
            <v>PANMINGTAO</v>
          </cell>
          <cell r="W48" t="str">
            <v/>
          </cell>
          <cell r="X48" t="str">
            <v>XC-30-1-2</v>
          </cell>
          <cell r="Y48" t="str">
            <v/>
          </cell>
          <cell r="Z48" t="str">
            <v>1902</v>
          </cell>
          <cell r="AA48" t="str">
            <v>1100160269</v>
          </cell>
          <cell r="AB48">
            <v>70</v>
          </cell>
          <cell r="AC48" t="str">
            <v/>
          </cell>
          <cell r="AD48">
            <v>98.59</v>
          </cell>
          <cell r="AE48" t="str">
            <v>G-100015632-260205-0074</v>
          </cell>
          <cell r="AF48" t="str">
            <v>1100160269/80</v>
          </cell>
        </row>
        <row r="49">
          <cell r="B49" t="str">
            <v>7101093884</v>
          </cell>
          <cell r="C49" t="str">
            <v>G2602-0824</v>
          </cell>
          <cell r="D49" t="str">
            <v>000042944000143212</v>
          </cell>
          <cell r="E49" t="str">
            <v>带鞍座双面固定带垫卡箍</v>
          </cell>
          <cell r="F49" t="str">
            <v>Q/611S433-2023</v>
          </cell>
          <cell r="G49" t="str">
            <v>FDF60B</v>
          </cell>
          <cell r="H49" t="str">
            <v/>
          </cell>
          <cell r="I49" t="str">
            <v/>
          </cell>
          <cell r="J49" t="str">
            <v>组件(国产材料)</v>
          </cell>
          <cell r="K49">
            <v>51</v>
          </cell>
          <cell r="L49">
            <v>46111</v>
          </cell>
          <cell r="M49" t="str">
            <v>3-配货完成</v>
          </cell>
        </row>
        <row r="49">
          <cell r="O49">
            <v>0</v>
          </cell>
          <cell r="P49" t="str">
            <v>成都飞机工业（集团）有限责任公司</v>
          </cell>
          <cell r="Q49" t="str">
            <v>120</v>
          </cell>
        </row>
        <row r="49">
          <cell r="U49" t="str">
            <v>010000913848</v>
          </cell>
          <cell r="V49" t="str">
            <v>PANMINGTAO</v>
          </cell>
          <cell r="W49" t="str">
            <v/>
          </cell>
          <cell r="X49" t="str">
            <v>XC-30-1-3</v>
          </cell>
          <cell r="Y49" t="str">
            <v/>
          </cell>
          <cell r="Z49" t="str">
            <v>1902</v>
          </cell>
          <cell r="AA49" t="str">
            <v>1100160269</v>
          </cell>
          <cell r="AB49">
            <v>70</v>
          </cell>
          <cell r="AC49" t="str">
            <v/>
          </cell>
          <cell r="AD49">
            <v>133.57</v>
          </cell>
          <cell r="AE49" t="str">
            <v>G-100015632-260205-0074</v>
          </cell>
          <cell r="AF49" t="str">
            <v>1100160269/120</v>
          </cell>
        </row>
        <row r="50">
          <cell r="B50" t="str">
            <v>7101093885</v>
          </cell>
          <cell r="C50" t="str">
            <v>G2602-0815</v>
          </cell>
          <cell r="D50" t="str">
            <v>000042944000141286</v>
          </cell>
          <cell r="E50" t="str">
            <v>长圆型单面固定带垫卡箍</v>
          </cell>
          <cell r="F50" t="str">
            <v>Q/611S475-2023</v>
          </cell>
          <cell r="G50" t="str">
            <v>FDF12</v>
          </cell>
          <cell r="H50" t="str">
            <v/>
          </cell>
          <cell r="I50" t="str">
            <v/>
          </cell>
          <cell r="J50" t="str">
            <v>组件(国产材料)</v>
          </cell>
          <cell r="K50">
            <v>100</v>
          </cell>
          <cell r="L50">
            <v>46111</v>
          </cell>
          <cell r="M50" t="str">
            <v>3-配货完成</v>
          </cell>
        </row>
        <row r="50">
          <cell r="O50">
            <v>0</v>
          </cell>
          <cell r="P50" t="str">
            <v>成都飞机工业（集团）有限责任公司</v>
          </cell>
          <cell r="Q50" t="str">
            <v>210</v>
          </cell>
        </row>
        <row r="50">
          <cell r="U50" t="str">
            <v>010000913839</v>
          </cell>
          <cell r="V50" t="str">
            <v>PANMINGTAO</v>
          </cell>
          <cell r="W50" t="str">
            <v/>
          </cell>
          <cell r="X50" t="str">
            <v>XC-DS</v>
          </cell>
          <cell r="Y50" t="str">
            <v/>
          </cell>
          <cell r="Z50" t="str">
            <v>1902</v>
          </cell>
          <cell r="AA50" t="str">
            <v>1100160269</v>
          </cell>
          <cell r="AB50">
            <v>100</v>
          </cell>
          <cell r="AC50" t="str">
            <v/>
          </cell>
          <cell r="AD50">
            <v>57.12</v>
          </cell>
          <cell r="AE50" t="str">
            <v>G-100015632-260205-0074</v>
          </cell>
          <cell r="AF50" t="str">
            <v>1100160269/210</v>
          </cell>
        </row>
        <row r="51">
          <cell r="B51" t="str">
            <v>7101093974</v>
          </cell>
          <cell r="C51" t="str">
            <v>G2603-1174</v>
          </cell>
          <cell r="D51" t="str">
            <v>000042944000141905</v>
          </cell>
          <cell r="E51" t="str">
            <v>带垫P型卡箍</v>
          </cell>
          <cell r="F51" t="str">
            <v>Q/611S422-2017</v>
          </cell>
          <cell r="G51" t="str">
            <v>LBF12B</v>
          </cell>
          <cell r="H51" t="str">
            <v/>
          </cell>
          <cell r="I51" t="str">
            <v/>
          </cell>
          <cell r="J51" t="str">
            <v>组件(国产材料)</v>
          </cell>
          <cell r="K51">
            <v>2</v>
          </cell>
          <cell r="L51">
            <v>46111</v>
          </cell>
          <cell r="M51" t="str">
            <v>3-配货完成</v>
          </cell>
        </row>
        <row r="51">
          <cell r="O51">
            <v>0</v>
          </cell>
          <cell r="P51" t="str">
            <v>成都飞机工业（集团）有限责任公司</v>
          </cell>
          <cell r="Q51" t="str">
            <v>30</v>
          </cell>
        </row>
        <row r="51">
          <cell r="U51" t="str">
            <v>010000926458</v>
          </cell>
          <cell r="V51" t="str">
            <v>PANMINGTAO</v>
          </cell>
          <cell r="W51" t="str">
            <v/>
          </cell>
          <cell r="X51" t="str">
            <v>XC-30-1-2</v>
          </cell>
          <cell r="Y51" t="str">
            <v/>
          </cell>
          <cell r="Z51" t="str">
            <v>1902</v>
          </cell>
          <cell r="AA51" t="str">
            <v>1100155478</v>
          </cell>
          <cell r="AB51">
            <v>1520</v>
          </cell>
          <cell r="AC51" t="str">
            <v/>
          </cell>
          <cell r="AD51">
            <v>54</v>
          </cell>
          <cell r="AE51" t="str">
            <v>G-100015632-251107-0283</v>
          </cell>
          <cell r="AF51" t="str">
            <v>1100155478/30</v>
          </cell>
        </row>
        <row r="52">
          <cell r="B52" t="str">
            <v>7101094621</v>
          </cell>
          <cell r="C52" t="str">
            <v>G2511-0879</v>
          </cell>
          <cell r="D52" t="str">
            <v>000042944320154905</v>
          </cell>
          <cell r="E52" t="str">
            <v>平圆头钛铌铆钉</v>
          </cell>
          <cell r="F52" t="str">
            <v>Q/611S310-2010</v>
          </cell>
          <cell r="G52" t="str">
            <v>30E-8</v>
          </cell>
          <cell r="H52" t="str">
            <v>退火</v>
          </cell>
          <cell r="I52" t="str">
            <v>镀铝</v>
          </cell>
          <cell r="J52" t="str">
            <v>Ti45Nb</v>
          </cell>
          <cell r="K52">
            <v>2000</v>
          </cell>
          <cell r="L52">
            <v>46112</v>
          </cell>
          <cell r="M52" t="str">
            <v>4-检验完成</v>
          </cell>
        </row>
        <row r="52">
          <cell r="O52">
            <v>0</v>
          </cell>
          <cell r="P52" t="str">
            <v>成都飞机工业（集团）有限责任公司</v>
          </cell>
          <cell r="Q52" t="str">
            <v>40</v>
          </cell>
          <cell r="R52">
            <v>46115</v>
          </cell>
        </row>
        <row r="52">
          <cell r="U52" t="str">
            <v>010000882817</v>
          </cell>
          <cell r="V52" t="str">
            <v>BIAOQIAN4</v>
          </cell>
          <cell r="W52" t="str">
            <v/>
          </cell>
          <cell r="X52" t="str">
            <v>CP-108-A</v>
          </cell>
          <cell r="Y52" t="str">
            <v/>
          </cell>
          <cell r="Z52" t="str">
            <v>1902</v>
          </cell>
          <cell r="AA52" t="str">
            <v>1100155468</v>
          </cell>
          <cell r="AB52">
            <v>2000</v>
          </cell>
          <cell r="AC52" t="str">
            <v/>
          </cell>
          <cell r="AD52">
            <v>4.46</v>
          </cell>
          <cell r="AE52" t="str">
            <v>G-100015632-251107-0284</v>
          </cell>
          <cell r="AF52" t="str">
            <v>1100155468/40</v>
          </cell>
        </row>
        <row r="53">
          <cell r="B53" t="str">
            <v>7101095563</v>
          </cell>
          <cell r="C53" t="str">
            <v>G2511-1617</v>
          </cell>
          <cell r="D53" t="str">
            <v>000042944000138779</v>
          </cell>
          <cell r="E53" t="str">
            <v>带鞍座双面固定带垫卡箍</v>
          </cell>
          <cell r="F53" t="str">
            <v>Q/611S433-2023</v>
          </cell>
          <cell r="G53" t="str">
            <v>FDF75</v>
          </cell>
          <cell r="H53" t="str">
            <v/>
          </cell>
          <cell r="I53" t="str">
            <v/>
          </cell>
          <cell r="J53" t="str">
            <v>组件(国产材料)</v>
          </cell>
          <cell r="K53">
            <v>177</v>
          </cell>
          <cell r="L53">
            <v>46113</v>
          </cell>
          <cell r="M53" t="str">
            <v>3-配货完成</v>
          </cell>
        </row>
        <row r="53">
          <cell r="O53">
            <v>0</v>
          </cell>
          <cell r="P53" t="str">
            <v>成都飞机工业（集团）有限责任公司</v>
          </cell>
          <cell r="Q53" t="str">
            <v>90</v>
          </cell>
        </row>
        <row r="53">
          <cell r="U53" t="str">
            <v>010000887288</v>
          </cell>
          <cell r="V53" t="str">
            <v>PANMINGTAO</v>
          </cell>
          <cell r="W53" t="str">
            <v/>
          </cell>
          <cell r="X53" t="str">
            <v>XC-30-1-2</v>
          </cell>
          <cell r="Y53" t="str">
            <v/>
          </cell>
          <cell r="Z53" t="str">
            <v>1902</v>
          </cell>
          <cell r="AA53" t="str">
            <v>1100153602</v>
          </cell>
          <cell r="AB53">
            <v>300</v>
          </cell>
          <cell r="AC53" t="str">
            <v/>
          </cell>
          <cell r="AD53">
            <v>133.57</v>
          </cell>
          <cell r="AE53" t="str">
            <v>G-100015632-250928-0249</v>
          </cell>
          <cell r="AF53" t="str">
            <v>1100153602/90</v>
          </cell>
        </row>
        <row r="54">
          <cell r="B54" t="str">
            <v>7101095590</v>
          </cell>
          <cell r="C54" t="str">
            <v>G2501-3078</v>
          </cell>
          <cell r="D54" t="str">
            <v>000042944000139014</v>
          </cell>
          <cell r="E54" t="str">
            <v>带鞍座双面固定带垫卡箍</v>
          </cell>
          <cell r="F54" t="str">
            <v>Q/611S433-2023</v>
          </cell>
          <cell r="G54" t="str">
            <v>FDF22B</v>
          </cell>
          <cell r="H54" t="str">
            <v/>
          </cell>
          <cell r="I54" t="str">
            <v/>
          </cell>
          <cell r="J54" t="str">
            <v>组件(国产材料)</v>
          </cell>
          <cell r="K54">
            <v>12</v>
          </cell>
          <cell r="L54">
            <v>46113</v>
          </cell>
          <cell r="M54" t="str">
            <v>0-初始未打印</v>
          </cell>
        </row>
        <row r="54">
          <cell r="O54">
            <v>0</v>
          </cell>
          <cell r="P54" t="str">
            <v>成都飞机工业（集团）有限责任公司</v>
          </cell>
          <cell r="Q54" t="str">
            <v>360</v>
          </cell>
        </row>
        <row r="54">
          <cell r="U54" t="str">
            <v>010000779339</v>
          </cell>
          <cell r="V54" t="str">
            <v/>
          </cell>
          <cell r="W54" t="str">
            <v/>
          </cell>
          <cell r="X54" t="str">
            <v>XC-1-1-7-1</v>
          </cell>
          <cell r="Y54" t="str">
            <v/>
          </cell>
          <cell r="Z54" t="str">
            <v>1902</v>
          </cell>
          <cell r="AA54" t="str">
            <v>1100160269</v>
          </cell>
          <cell r="AB54">
            <v>50</v>
          </cell>
          <cell r="AC54" t="str">
            <v/>
          </cell>
          <cell r="AD54">
            <v>90.7</v>
          </cell>
          <cell r="AE54" t="str">
            <v>G-100015632-260205-0074</v>
          </cell>
          <cell r="AF54" t="str">
            <v>1100160269/360</v>
          </cell>
        </row>
        <row r="55">
          <cell r="B55" t="str">
            <v>7101095597</v>
          </cell>
          <cell r="C55" t="str">
            <v>G2502-1575</v>
          </cell>
          <cell r="D55" t="str">
            <v>000042944000138772</v>
          </cell>
          <cell r="E55" t="str">
            <v>带鞍座双面固定带垫卡箍</v>
          </cell>
          <cell r="F55" t="str">
            <v>Q/611S433-2023</v>
          </cell>
          <cell r="G55" t="str">
            <v>FDF27</v>
          </cell>
          <cell r="H55" t="str">
            <v/>
          </cell>
          <cell r="I55" t="str">
            <v/>
          </cell>
          <cell r="J55" t="str">
            <v>组件(国产材料)</v>
          </cell>
          <cell r="K55">
            <v>24</v>
          </cell>
          <cell r="L55">
            <v>46113</v>
          </cell>
          <cell r="M55" t="str">
            <v>0-初始未打印</v>
          </cell>
        </row>
        <row r="55">
          <cell r="O55">
            <v>0</v>
          </cell>
          <cell r="P55" t="str">
            <v>成都飞机工业（集团）有限责任公司</v>
          </cell>
          <cell r="Q55" t="str">
            <v>370</v>
          </cell>
        </row>
        <row r="55">
          <cell r="U55" t="str">
            <v>010000783656</v>
          </cell>
          <cell r="V55" t="str">
            <v/>
          </cell>
          <cell r="W55" t="str">
            <v/>
          </cell>
          <cell r="X55" t="str">
            <v>XC-2-1-10-2</v>
          </cell>
          <cell r="Y55" t="str">
            <v/>
          </cell>
          <cell r="Z55" t="str">
            <v>1902</v>
          </cell>
          <cell r="AA55" t="str">
            <v>1100160269</v>
          </cell>
          <cell r="AB55">
            <v>380</v>
          </cell>
          <cell r="AC55" t="str">
            <v/>
          </cell>
          <cell r="AD55">
            <v>90.7</v>
          </cell>
          <cell r="AE55" t="str">
            <v>G-100015632-260205-0074</v>
          </cell>
          <cell r="AF55" t="str">
            <v>1100160269/370</v>
          </cell>
        </row>
        <row r="56">
          <cell r="B56" t="str">
            <v>7101095692</v>
          </cell>
          <cell r="C56" t="str">
            <v>G2501-3528</v>
          </cell>
          <cell r="D56" t="str">
            <v>000042944320011318</v>
          </cell>
          <cell r="E56" t="str">
            <v>100°沉头钛铌铆钉</v>
          </cell>
          <cell r="F56" t="str">
            <v>Q/611S309-2010</v>
          </cell>
          <cell r="G56" t="str">
            <v>40W-8</v>
          </cell>
          <cell r="H56" t="str">
            <v>τ=345-410MPa</v>
          </cell>
          <cell r="I56" t="str">
            <v>蓝色阳极化</v>
          </cell>
          <cell r="J56" t="str">
            <v>Ti45Nb</v>
          </cell>
          <cell r="K56">
            <v>4903</v>
          </cell>
          <cell r="L56">
            <v>46114</v>
          </cell>
          <cell r="M56" t="str">
            <v>4-检验完成</v>
          </cell>
        </row>
        <row r="56">
          <cell r="O56">
            <v>0</v>
          </cell>
          <cell r="P56" t="str">
            <v>成都飞机工业（集团）有限责任公司</v>
          </cell>
          <cell r="Q56" t="str">
            <v>40</v>
          </cell>
          <cell r="R56">
            <v>46118</v>
          </cell>
        </row>
        <row r="56">
          <cell r="U56" t="str">
            <v>010000779940</v>
          </cell>
          <cell r="V56" t="str">
            <v>BIAOQIAN2</v>
          </cell>
          <cell r="W56" t="str">
            <v/>
          </cell>
          <cell r="X56" t="str">
            <v>CP-108-A</v>
          </cell>
          <cell r="Y56" t="str">
            <v/>
          </cell>
          <cell r="Z56" t="str">
            <v>1902</v>
          </cell>
          <cell r="AA56" t="str">
            <v>1100147965</v>
          </cell>
          <cell r="AB56">
            <v>11680</v>
          </cell>
          <cell r="AC56" t="str">
            <v/>
          </cell>
          <cell r="AD56">
            <v>4.7</v>
          </cell>
          <cell r="AE56" t="str">
            <v>G-100015632-250530-0116</v>
          </cell>
          <cell r="AF56" t="str">
            <v>1100147965/40</v>
          </cell>
        </row>
        <row r="57">
          <cell r="B57" t="str">
            <v>7101097152</v>
          </cell>
          <cell r="C57" t="str">
            <v>G2603-0125</v>
          </cell>
          <cell r="D57" t="str">
            <v>000036200000136261</v>
          </cell>
          <cell r="E57" t="str">
            <v>带垫P型卡箍</v>
          </cell>
          <cell r="F57" t="str">
            <v>Q/611S422-2017</v>
          </cell>
          <cell r="G57" t="str">
            <v>LBF20B</v>
          </cell>
          <cell r="H57" t="str">
            <v/>
          </cell>
          <cell r="I57" t="str">
            <v/>
          </cell>
          <cell r="J57" t="str">
            <v>组件(国产材料)</v>
          </cell>
          <cell r="K57">
            <v>801</v>
          </cell>
          <cell r="L57">
            <v>46118</v>
          </cell>
          <cell r="M57" t="str">
            <v>3-配货完成</v>
          </cell>
        </row>
        <row r="57">
          <cell r="O57">
            <v>0</v>
          </cell>
          <cell r="P57" t="str">
            <v>成都飞机工业（集团）有限责任公司</v>
          </cell>
          <cell r="Q57" t="str">
            <v>150</v>
          </cell>
        </row>
        <row r="57">
          <cell r="U57" t="str">
            <v>010000919959</v>
          </cell>
          <cell r="V57" t="str">
            <v>PANMINGTAO</v>
          </cell>
          <cell r="W57" t="str">
            <v/>
          </cell>
          <cell r="X57" t="str">
            <v>XC-31-1-2</v>
          </cell>
          <cell r="Y57" t="str">
            <v/>
          </cell>
          <cell r="Z57" t="str">
            <v>1902</v>
          </cell>
          <cell r="AA57" t="str">
            <v>1100160905</v>
          </cell>
          <cell r="AB57">
            <v>1180</v>
          </cell>
          <cell r="AC57" t="str">
            <v/>
          </cell>
          <cell r="AD57">
            <v>77.78</v>
          </cell>
          <cell r="AE57" t="str">
            <v>G-100015632-260227-0091</v>
          </cell>
          <cell r="AF57" t="str">
            <v>1100160905/150</v>
          </cell>
        </row>
        <row r="58">
          <cell r="B58" t="str">
            <v>7101100467</v>
          </cell>
          <cell r="C58" t="str">
            <v>G2511-0758</v>
          </cell>
          <cell r="D58" t="str">
            <v>000042944000142074</v>
          </cell>
          <cell r="E58" t="str">
            <v>带垫P型卡箍</v>
          </cell>
          <cell r="F58" t="str">
            <v>Q/611S422-2017</v>
          </cell>
          <cell r="G58" t="str">
            <v>LBF10B</v>
          </cell>
          <cell r="H58" t="str">
            <v/>
          </cell>
          <cell r="I58" t="str">
            <v/>
          </cell>
          <cell r="J58" t="str">
            <v>组件(国产材料)</v>
          </cell>
          <cell r="K58">
            <v>700</v>
          </cell>
          <cell r="L58">
            <v>46124</v>
          </cell>
          <cell r="M58" t="str">
            <v>3-配货完成</v>
          </cell>
        </row>
        <row r="58">
          <cell r="O58">
            <v>0</v>
          </cell>
          <cell r="P58" t="str">
            <v>成都飞机工业（集团）有限责任公司</v>
          </cell>
          <cell r="Q58" t="str">
            <v>40</v>
          </cell>
        </row>
        <row r="58">
          <cell r="U58" t="str">
            <v>010000882475</v>
          </cell>
          <cell r="V58" t="str">
            <v>PANMINGTAO</v>
          </cell>
          <cell r="W58" t="str">
            <v/>
          </cell>
          <cell r="X58" t="str">
            <v>XC-31-1-3</v>
          </cell>
          <cell r="Y58" t="str">
            <v/>
          </cell>
          <cell r="Z58" t="str">
            <v>1902</v>
          </cell>
          <cell r="AA58" t="str">
            <v>1100155478</v>
          </cell>
          <cell r="AB58">
            <v>850</v>
          </cell>
          <cell r="AC58" t="str">
            <v/>
          </cell>
          <cell r="AD58">
            <v>54</v>
          </cell>
          <cell r="AE58" t="str">
            <v>G-100015632-251107-0283</v>
          </cell>
          <cell r="AF58" t="str">
            <v>1100155478/40</v>
          </cell>
        </row>
        <row r="59">
          <cell r="B59" t="str">
            <v>7101101324</v>
          </cell>
          <cell r="C59" t="str">
            <v>G2508-0762</v>
          </cell>
          <cell r="D59" t="str">
            <v>000042944319001604</v>
          </cell>
          <cell r="E59" t="str">
            <v>侧面托板螺母组件</v>
          </cell>
          <cell r="F59" t="str">
            <v>Q/611S428-2011</v>
          </cell>
          <cell r="G59" t="str">
            <v>A5-2</v>
          </cell>
          <cell r="H59" t="str">
            <v/>
          </cell>
          <cell r="I59" t="str">
            <v/>
          </cell>
          <cell r="J59" t="str">
            <v>组件</v>
          </cell>
          <cell r="K59">
            <v>207</v>
          </cell>
          <cell r="L59">
            <v>46126</v>
          </cell>
          <cell r="M59" t="str">
            <v>3-配货完成</v>
          </cell>
        </row>
        <row r="59">
          <cell r="O59">
            <v>0</v>
          </cell>
          <cell r="P59" t="str">
            <v>成都飞机工业（集团）有限责任公司</v>
          </cell>
          <cell r="Q59" t="str">
            <v>60</v>
          </cell>
        </row>
        <row r="59">
          <cell r="U59" t="str">
            <v>010000853658</v>
          </cell>
          <cell r="V59" t="str">
            <v>BIAOQIAN2</v>
          </cell>
          <cell r="W59" t="str">
            <v/>
          </cell>
          <cell r="X59" t="str">
            <v>CP-108-A</v>
          </cell>
          <cell r="Y59" t="str">
            <v/>
          </cell>
          <cell r="Z59" t="str">
            <v>1902</v>
          </cell>
          <cell r="AA59" t="str">
            <v>1100144149</v>
          </cell>
          <cell r="AB59">
            <v>1350</v>
          </cell>
          <cell r="AC59" t="str">
            <v/>
          </cell>
          <cell r="AD59">
            <v>41.44</v>
          </cell>
          <cell r="AE59" t="str">
            <v>G-100015632-250326-0035</v>
          </cell>
          <cell r="AF59" t="str">
            <v>1100144149/60</v>
          </cell>
        </row>
        <row r="60">
          <cell r="B60" t="str">
            <v>7101101338</v>
          </cell>
          <cell r="C60" t="str">
            <v>G2511-0760</v>
          </cell>
          <cell r="D60" t="str">
            <v>000042944000142081</v>
          </cell>
          <cell r="E60" t="str">
            <v>17-7PH带垫P型卡箍</v>
          </cell>
          <cell r="F60" t="str">
            <v>Q/611S538-2017</v>
          </cell>
          <cell r="G60" t="str">
            <v>F18B</v>
          </cell>
          <cell r="H60" t="str">
            <v/>
          </cell>
          <cell r="I60" t="str">
            <v/>
          </cell>
          <cell r="J60" t="str">
            <v>组件(国产材料)</v>
          </cell>
          <cell r="K60">
            <v>454</v>
          </cell>
          <cell r="L60">
            <v>46126</v>
          </cell>
          <cell r="M60" t="str">
            <v>3-配货完成</v>
          </cell>
        </row>
        <row r="60">
          <cell r="O60">
            <v>0</v>
          </cell>
          <cell r="P60" t="str">
            <v>成都飞机工业（集团）有限责任公司</v>
          </cell>
          <cell r="Q60" t="str">
            <v>80</v>
          </cell>
        </row>
        <row r="60">
          <cell r="U60" t="str">
            <v>010000882477</v>
          </cell>
          <cell r="V60" t="str">
            <v>BIAOQIAN8</v>
          </cell>
          <cell r="W60" t="str">
            <v/>
          </cell>
          <cell r="X60" t="str">
            <v>XC-33-1-5</v>
          </cell>
          <cell r="Y60" t="str">
            <v/>
          </cell>
          <cell r="Z60" t="str">
            <v>1902</v>
          </cell>
          <cell r="AA60" t="str">
            <v>1100151030</v>
          </cell>
          <cell r="AB60">
            <v>760</v>
          </cell>
          <cell r="AC60" t="str">
            <v/>
          </cell>
          <cell r="AD60">
            <v>75.31</v>
          </cell>
          <cell r="AE60" t="str">
            <v>G-100015632-250801-0189</v>
          </cell>
          <cell r="AF60" t="str">
            <v>1100151030/80</v>
          </cell>
        </row>
        <row r="61">
          <cell r="B61" t="str">
            <v>7101101396</v>
          </cell>
          <cell r="C61" t="str">
            <v>G2511-0760</v>
          </cell>
          <cell r="D61" t="str">
            <v>000042944000142081</v>
          </cell>
          <cell r="E61" t="str">
            <v>17-7PH带垫P型卡箍</v>
          </cell>
          <cell r="F61" t="str">
            <v>Q/611S538-2017</v>
          </cell>
          <cell r="G61" t="str">
            <v>F18B</v>
          </cell>
          <cell r="H61" t="str">
            <v/>
          </cell>
          <cell r="I61" t="str">
            <v/>
          </cell>
          <cell r="J61" t="str">
            <v>组件(国产材料)</v>
          </cell>
          <cell r="K61">
            <v>160</v>
          </cell>
          <cell r="L61">
            <v>46126</v>
          </cell>
          <cell r="M61" t="str">
            <v>3-配货完成</v>
          </cell>
        </row>
        <row r="61">
          <cell r="O61">
            <v>0</v>
          </cell>
          <cell r="P61" t="str">
            <v>成都飞机工业（集团）有限责任公司</v>
          </cell>
          <cell r="Q61" t="str">
            <v>140</v>
          </cell>
        </row>
        <row r="61">
          <cell r="U61" t="str">
            <v>010000882477</v>
          </cell>
          <cell r="V61" t="str">
            <v>BIAOQIAN8</v>
          </cell>
          <cell r="W61" t="str">
            <v/>
          </cell>
          <cell r="X61" t="str">
            <v>XC-33-1-5</v>
          </cell>
          <cell r="Y61" t="str">
            <v/>
          </cell>
          <cell r="Z61" t="str">
            <v>1902</v>
          </cell>
          <cell r="AA61" t="str">
            <v>1100155478</v>
          </cell>
          <cell r="AB61">
            <v>740</v>
          </cell>
          <cell r="AC61" t="str">
            <v/>
          </cell>
          <cell r="AD61">
            <v>75.31</v>
          </cell>
          <cell r="AE61" t="str">
            <v>G-100015632-251107-0283</v>
          </cell>
          <cell r="AF61" t="str">
            <v>1100155478/140</v>
          </cell>
        </row>
        <row r="62">
          <cell r="B62" t="str">
            <v>7101101943</v>
          </cell>
          <cell r="C62" t="str">
            <v>G2603-0143</v>
          </cell>
          <cell r="D62" t="str">
            <v>000042944000158423</v>
          </cell>
          <cell r="E62" t="str">
            <v>17-7PH带垫P型卡箍</v>
          </cell>
          <cell r="F62" t="str">
            <v>Q/611S538-2017</v>
          </cell>
          <cell r="G62" t="str">
            <v>F36B</v>
          </cell>
          <cell r="H62" t="str">
            <v/>
          </cell>
          <cell r="I62" t="str">
            <v/>
          </cell>
          <cell r="J62" t="str">
            <v>组件(国产材料)</v>
          </cell>
          <cell r="K62">
            <v>128</v>
          </cell>
          <cell r="L62">
            <v>46127</v>
          </cell>
          <cell r="M62" t="str">
            <v>3-配货完成</v>
          </cell>
        </row>
        <row r="62">
          <cell r="O62">
            <v>0</v>
          </cell>
          <cell r="P62" t="str">
            <v>成都飞机工业（集团）有限责任公司</v>
          </cell>
          <cell r="Q62" t="str">
            <v>60</v>
          </cell>
        </row>
        <row r="62">
          <cell r="U62" t="str">
            <v>010000919978</v>
          </cell>
          <cell r="V62" t="str">
            <v>PANMINGTAO</v>
          </cell>
          <cell r="W62" t="str">
            <v/>
          </cell>
          <cell r="X62" t="str">
            <v>XC-33-1-5</v>
          </cell>
          <cell r="Y62" t="str">
            <v/>
          </cell>
          <cell r="Z62" t="str">
            <v>1902</v>
          </cell>
          <cell r="AA62" t="str">
            <v>1100160905</v>
          </cell>
          <cell r="AB62">
            <v>740</v>
          </cell>
          <cell r="AC62" t="str">
            <v/>
          </cell>
          <cell r="AD62">
            <v>78.19</v>
          </cell>
          <cell r="AE62" t="str">
            <v>G-100015632-260227-0091</v>
          </cell>
          <cell r="AF62" t="str">
            <v>1100160905/60</v>
          </cell>
        </row>
        <row r="63">
          <cell r="B63" t="str">
            <v>7101102037</v>
          </cell>
          <cell r="C63" t="str">
            <v>G2604-0408</v>
          </cell>
          <cell r="D63" t="str">
            <v>000036200000136261</v>
          </cell>
          <cell r="E63" t="str">
            <v>带垫P型卡箍</v>
          </cell>
          <cell r="F63" t="str">
            <v>Q/611S422-2017</v>
          </cell>
          <cell r="G63" t="str">
            <v>LBF20B</v>
          </cell>
          <cell r="H63" t="str">
            <v/>
          </cell>
          <cell r="I63" t="str">
            <v/>
          </cell>
          <cell r="J63" t="str">
            <v>组件(国产材料)</v>
          </cell>
          <cell r="K63">
            <v>367</v>
          </cell>
          <cell r="L63">
            <v>46127</v>
          </cell>
          <cell r="M63" t="str">
            <v>3-配货完成</v>
          </cell>
        </row>
        <row r="63">
          <cell r="O63">
            <v>0</v>
          </cell>
          <cell r="P63" t="str">
            <v>成都飞机工业（集团）有限责任公司</v>
          </cell>
          <cell r="Q63" t="str">
            <v>150</v>
          </cell>
        </row>
        <row r="63">
          <cell r="U63" t="str">
            <v>010000934545</v>
          </cell>
          <cell r="V63" t="str">
            <v>PANMINGTAO</v>
          </cell>
          <cell r="W63" t="str">
            <v/>
          </cell>
          <cell r="X63" t="str">
            <v>XC-33-1-3</v>
          </cell>
          <cell r="Y63" t="str">
            <v/>
          </cell>
          <cell r="Z63" t="str">
            <v>1902</v>
          </cell>
          <cell r="AA63" t="str">
            <v>1100160905</v>
          </cell>
          <cell r="AB63">
            <v>1180</v>
          </cell>
          <cell r="AC63" t="str">
            <v/>
          </cell>
          <cell r="AD63">
            <v>77.78</v>
          </cell>
          <cell r="AE63" t="str">
            <v>G-100015632-260227-0091</v>
          </cell>
          <cell r="AF63" t="str">
            <v>1100160905/150</v>
          </cell>
        </row>
        <row r="64">
          <cell r="B64" t="str">
            <v>7101105556</v>
          </cell>
          <cell r="C64" t="str">
            <v>G2604-0917</v>
          </cell>
          <cell r="D64" t="str">
            <v>000036200000154877</v>
          </cell>
          <cell r="E64" t="str">
            <v>圆截面橡胶圈密封结构</v>
          </cell>
          <cell r="F64" t="str">
            <v>HB4-57J9-1987(CGB)</v>
          </cell>
          <cell r="G64" t="str">
            <v>28</v>
          </cell>
          <cell r="H64" t="str">
            <v/>
          </cell>
          <cell r="I64" t="str">
            <v/>
          </cell>
          <cell r="J64" t="str">
            <v>5860</v>
          </cell>
          <cell r="K64">
            <v>46</v>
          </cell>
          <cell r="L64">
            <v>46134</v>
          </cell>
          <cell r="M64" t="str">
            <v>4-检验完成</v>
          </cell>
        </row>
        <row r="64">
          <cell r="O64">
            <v>0</v>
          </cell>
          <cell r="P64" t="str">
            <v>成都飞机工业（集团）有限责任公司</v>
          </cell>
          <cell r="Q64" t="str">
            <v>50</v>
          </cell>
          <cell r="R64">
            <v>46136</v>
          </cell>
        </row>
        <row r="64">
          <cell r="U64" t="str">
            <v>010000936252</v>
          </cell>
          <cell r="V64" t="str">
            <v>BIAOQIAN8</v>
          </cell>
          <cell r="W64" t="str">
            <v/>
          </cell>
          <cell r="X64" t="str">
            <v>XC-29-1-1-5</v>
          </cell>
          <cell r="Y64" t="str">
            <v/>
          </cell>
          <cell r="Z64" t="str">
            <v>1902</v>
          </cell>
          <cell r="AA64" t="str">
            <v>1100162715</v>
          </cell>
          <cell r="AB64">
            <v>90</v>
          </cell>
          <cell r="AC64" t="str">
            <v/>
          </cell>
          <cell r="AD64">
            <v>19</v>
          </cell>
          <cell r="AE64" t="str">
            <v>G-100015632-260331-0108</v>
          </cell>
          <cell r="AF64" t="str">
            <v>1100162715/50</v>
          </cell>
        </row>
        <row r="65">
          <cell r="B65" t="str">
            <v>7101105623</v>
          </cell>
          <cell r="C65" t="str">
            <v>G2604-1536</v>
          </cell>
          <cell r="D65" t="str">
            <v>000036200000136259</v>
          </cell>
          <cell r="E65" t="str">
            <v>带垫P型卡箍</v>
          </cell>
          <cell r="F65" t="str">
            <v>Q/611S422-2017</v>
          </cell>
          <cell r="G65" t="str">
            <v>LBF12aB</v>
          </cell>
          <cell r="H65" t="str">
            <v/>
          </cell>
          <cell r="I65" t="str">
            <v/>
          </cell>
          <cell r="J65" t="str">
            <v>组件(国产材料)</v>
          </cell>
          <cell r="K65">
            <v>40</v>
          </cell>
          <cell r="L65">
            <v>46134</v>
          </cell>
          <cell r="M65" t="str">
            <v>3-配货完成</v>
          </cell>
        </row>
        <row r="65">
          <cell r="O65">
            <v>0</v>
          </cell>
          <cell r="P65" t="str">
            <v>成都飞机工业（集团）有限责任公司</v>
          </cell>
          <cell r="Q65" t="str">
            <v>90</v>
          </cell>
        </row>
        <row r="65">
          <cell r="U65" t="str">
            <v>010000939553</v>
          </cell>
          <cell r="V65" t="str">
            <v>BIAOQIAN8</v>
          </cell>
          <cell r="W65" t="str">
            <v/>
          </cell>
          <cell r="X65" t="str">
            <v>XC-31-1-2</v>
          </cell>
          <cell r="Y65" t="str">
            <v/>
          </cell>
          <cell r="Z65" t="str">
            <v>1902</v>
          </cell>
          <cell r="AA65" t="str">
            <v>1100163589</v>
          </cell>
          <cell r="AB65">
            <v>40</v>
          </cell>
          <cell r="AC65" t="str">
            <v/>
          </cell>
          <cell r="AD65">
            <v>40</v>
          </cell>
          <cell r="AE65" t="str">
            <v>G-100015632-260414-0133</v>
          </cell>
          <cell r="AF65" t="str">
            <v>1100163589/90</v>
          </cell>
        </row>
        <row r="66">
          <cell r="B66" t="str">
            <v>7101106586</v>
          </cell>
          <cell r="C66" t="str">
            <v>G2602-0808</v>
          </cell>
          <cell r="D66" t="str">
            <v>000036200000145124</v>
          </cell>
          <cell r="E66" t="str">
            <v>带垫P型卡箍</v>
          </cell>
          <cell r="F66" t="str">
            <v>Q/611S422-2017</v>
          </cell>
          <cell r="G66" t="str">
            <v>LBF55B</v>
          </cell>
          <cell r="H66" t="str">
            <v/>
          </cell>
          <cell r="I66" t="str">
            <v/>
          </cell>
          <cell r="J66" t="str">
            <v>组件(国产材料)</v>
          </cell>
          <cell r="K66">
            <v>200</v>
          </cell>
          <cell r="L66">
            <v>46135</v>
          </cell>
          <cell r="M66" t="str">
            <v>3-配货完成</v>
          </cell>
        </row>
        <row r="66">
          <cell r="O66">
            <v>0</v>
          </cell>
          <cell r="P66" t="str">
            <v>成都飞机工业（集团）有限责任公司</v>
          </cell>
          <cell r="Q66" t="str">
            <v>70</v>
          </cell>
        </row>
        <row r="66">
          <cell r="U66" t="str">
            <v>010000913832</v>
          </cell>
          <cell r="V66" t="str">
            <v>BIAOQIAN8</v>
          </cell>
          <cell r="W66" t="str">
            <v/>
          </cell>
          <cell r="X66" t="str">
            <v>XC-33-1-2</v>
          </cell>
          <cell r="Y66" t="str">
            <v/>
          </cell>
          <cell r="Z66" t="str">
            <v>1902</v>
          </cell>
          <cell r="AA66" t="str">
            <v>1100160269</v>
          </cell>
          <cell r="AB66">
            <v>200</v>
          </cell>
          <cell r="AC66" t="str">
            <v/>
          </cell>
          <cell r="AD66">
            <v>86.53</v>
          </cell>
          <cell r="AE66" t="str">
            <v>G-100015632-260205-0074</v>
          </cell>
          <cell r="AF66" t="str">
            <v>1100160269/70</v>
          </cell>
        </row>
        <row r="67">
          <cell r="B67" t="str">
            <v>7101106589</v>
          </cell>
          <cell r="C67" t="str">
            <v>G2511-0763</v>
          </cell>
          <cell r="D67" t="str">
            <v>000036200000145121</v>
          </cell>
          <cell r="E67" t="str">
            <v>带垫P型卡箍</v>
          </cell>
          <cell r="F67" t="str">
            <v>Q/611S422-2017</v>
          </cell>
          <cell r="G67" t="str">
            <v>LBF34B</v>
          </cell>
          <cell r="H67" t="str">
            <v/>
          </cell>
          <cell r="I67" t="str">
            <v/>
          </cell>
          <cell r="J67" t="str">
            <v>组件(国产材料)</v>
          </cell>
          <cell r="K67">
            <v>33</v>
          </cell>
          <cell r="L67">
            <v>46135</v>
          </cell>
          <cell r="M67" t="str">
            <v>3-配货完成</v>
          </cell>
        </row>
        <row r="67">
          <cell r="O67">
            <v>0</v>
          </cell>
          <cell r="P67" t="str">
            <v>成都飞机工业（集团）有限责任公司</v>
          </cell>
          <cell r="Q67" t="str">
            <v>60</v>
          </cell>
        </row>
        <row r="67">
          <cell r="U67" t="str">
            <v>010000882496</v>
          </cell>
          <cell r="V67" t="str">
            <v>BIAOQIAN8</v>
          </cell>
          <cell r="W67" t="str">
            <v/>
          </cell>
          <cell r="X67" t="str">
            <v>XC-33-1-2</v>
          </cell>
          <cell r="Y67" t="str">
            <v/>
          </cell>
          <cell r="Z67" t="str">
            <v>1902</v>
          </cell>
          <cell r="AA67" t="str">
            <v>1100151302</v>
          </cell>
          <cell r="AB67">
            <v>410</v>
          </cell>
          <cell r="AC67" t="str">
            <v/>
          </cell>
          <cell r="AD67">
            <v>80.85</v>
          </cell>
          <cell r="AE67" t="str">
            <v>G-100015632-250811-0202</v>
          </cell>
          <cell r="AF67" t="str">
            <v>1100151302/60</v>
          </cell>
        </row>
        <row r="68">
          <cell r="B68" t="str">
            <v>7101106596</v>
          </cell>
          <cell r="C68" t="str">
            <v>G2511-0763</v>
          </cell>
          <cell r="D68" t="str">
            <v>000036200000145121</v>
          </cell>
          <cell r="E68" t="str">
            <v>带垫P型卡箍</v>
          </cell>
          <cell r="F68" t="str">
            <v>Q/611S422-2017</v>
          </cell>
          <cell r="G68" t="str">
            <v>LBF34B</v>
          </cell>
          <cell r="H68" t="str">
            <v/>
          </cell>
          <cell r="I68" t="str">
            <v/>
          </cell>
          <cell r="J68" t="str">
            <v>组件(国产材料)</v>
          </cell>
          <cell r="K68">
            <v>470</v>
          </cell>
          <cell r="L68">
            <v>46135</v>
          </cell>
          <cell r="M68" t="str">
            <v>3-配货完成</v>
          </cell>
        </row>
        <row r="68">
          <cell r="O68">
            <v>0</v>
          </cell>
          <cell r="P68" t="str">
            <v>成都飞机工业（集团）有限责任公司</v>
          </cell>
          <cell r="Q68" t="str">
            <v>350</v>
          </cell>
        </row>
        <row r="68">
          <cell r="U68" t="str">
            <v>010000882496</v>
          </cell>
          <cell r="V68" t="str">
            <v>BIAOQIAN8</v>
          </cell>
          <cell r="W68" t="str">
            <v/>
          </cell>
          <cell r="X68" t="str">
            <v>XC-33-1-2</v>
          </cell>
          <cell r="Y68" t="str">
            <v/>
          </cell>
          <cell r="Z68" t="str">
            <v>1902</v>
          </cell>
          <cell r="AA68" t="str">
            <v>1100160269</v>
          </cell>
          <cell r="AB68">
            <v>470</v>
          </cell>
          <cell r="AC68" t="str">
            <v/>
          </cell>
          <cell r="AD68">
            <v>80.85</v>
          </cell>
          <cell r="AE68" t="str">
            <v>G-100015632-260205-0074</v>
          </cell>
          <cell r="AF68" t="str">
            <v>1100160269/350</v>
          </cell>
        </row>
        <row r="69">
          <cell r="B69" t="str">
            <v>7101106600</v>
          </cell>
          <cell r="C69" t="str">
            <v>G2511-0763</v>
          </cell>
          <cell r="D69" t="str">
            <v>000036200000145121</v>
          </cell>
          <cell r="E69" t="str">
            <v>带垫P型卡箍</v>
          </cell>
          <cell r="F69" t="str">
            <v>Q/611S422-2017</v>
          </cell>
          <cell r="G69" t="str">
            <v>LBF34B</v>
          </cell>
          <cell r="H69" t="str">
            <v/>
          </cell>
          <cell r="I69" t="str">
            <v/>
          </cell>
          <cell r="J69" t="str">
            <v>组件(国产材料)</v>
          </cell>
          <cell r="K69">
            <v>404</v>
          </cell>
          <cell r="L69">
            <v>46135</v>
          </cell>
          <cell r="M69" t="str">
            <v>3-配货完成</v>
          </cell>
        </row>
        <row r="69">
          <cell r="O69">
            <v>0</v>
          </cell>
          <cell r="P69" t="str">
            <v>成都飞机工业（集团）有限责任公司</v>
          </cell>
          <cell r="Q69" t="str">
            <v>120</v>
          </cell>
        </row>
        <row r="69">
          <cell r="U69" t="str">
            <v>010000882496</v>
          </cell>
          <cell r="V69" t="str">
            <v>BIAOQIAN8</v>
          </cell>
          <cell r="W69" t="str">
            <v/>
          </cell>
          <cell r="X69" t="str">
            <v>XC-33-1-2</v>
          </cell>
          <cell r="Y69" t="str">
            <v/>
          </cell>
          <cell r="Z69" t="str">
            <v>1902</v>
          </cell>
          <cell r="AA69" t="str">
            <v>1100155478</v>
          </cell>
          <cell r="AB69">
            <v>800</v>
          </cell>
          <cell r="AC69" t="str">
            <v/>
          </cell>
          <cell r="AD69">
            <v>80.85</v>
          </cell>
          <cell r="AE69" t="str">
            <v>G-100015632-251107-0283</v>
          </cell>
          <cell r="AF69" t="str">
            <v>1100155478/120</v>
          </cell>
        </row>
        <row r="70">
          <cell r="B70" t="str">
            <v>7101106602</v>
          </cell>
          <cell r="C70" t="str">
            <v>G2601-0879</v>
          </cell>
          <cell r="D70" t="str">
            <v>000042944999157341</v>
          </cell>
          <cell r="E70" t="str">
            <v>17-7PH带垫P型卡箍</v>
          </cell>
          <cell r="F70" t="str">
            <v>Q/611S538-2017</v>
          </cell>
          <cell r="G70" t="str">
            <v>J10</v>
          </cell>
          <cell r="H70" t="str">
            <v/>
          </cell>
          <cell r="I70" t="str">
            <v/>
          </cell>
          <cell r="J70" t="str">
            <v>组件(国产材料)</v>
          </cell>
          <cell r="K70">
            <v>3</v>
          </cell>
          <cell r="L70">
            <v>46135</v>
          </cell>
          <cell r="M70" t="str">
            <v>3-配货完成</v>
          </cell>
        </row>
        <row r="70">
          <cell r="O70">
            <v>0</v>
          </cell>
          <cell r="P70" t="str">
            <v>成都飞机工业（集团）有限责任公司</v>
          </cell>
          <cell r="Q70" t="str">
            <v>240</v>
          </cell>
        </row>
        <row r="70">
          <cell r="U70" t="str">
            <v>010000902126</v>
          </cell>
          <cell r="V70" t="str">
            <v>BIAOQIAN8</v>
          </cell>
          <cell r="W70" t="str">
            <v/>
          </cell>
          <cell r="X70" t="str">
            <v>XC-32-1-2</v>
          </cell>
          <cell r="Y70" t="str">
            <v/>
          </cell>
          <cell r="Z70" t="str">
            <v>1902</v>
          </cell>
          <cell r="AA70" t="str">
            <v>1100151302</v>
          </cell>
          <cell r="AB70">
            <v>130</v>
          </cell>
          <cell r="AC70" t="str">
            <v/>
          </cell>
          <cell r="AD70">
            <v>39.58</v>
          </cell>
          <cell r="AE70" t="str">
            <v>G-100015632-250811-0202</v>
          </cell>
          <cell r="AF70" t="str">
            <v>1100151302/240</v>
          </cell>
        </row>
        <row r="71">
          <cell r="B71" t="str">
            <v>7101106604</v>
          </cell>
          <cell r="C71" t="str">
            <v>G2601-0879</v>
          </cell>
          <cell r="D71" t="str">
            <v>000042944999157341</v>
          </cell>
          <cell r="E71" t="str">
            <v>17-7PH带垫P型卡箍</v>
          </cell>
          <cell r="F71" t="str">
            <v>Q/611S538-2017</v>
          </cell>
          <cell r="G71" t="str">
            <v>J10</v>
          </cell>
          <cell r="H71" t="str">
            <v/>
          </cell>
          <cell r="I71" t="str">
            <v/>
          </cell>
          <cell r="J71" t="str">
            <v>组件(国产材料)</v>
          </cell>
          <cell r="K71">
            <v>70</v>
          </cell>
          <cell r="L71">
            <v>46135</v>
          </cell>
          <cell r="M71" t="str">
            <v>3-配货完成</v>
          </cell>
        </row>
        <row r="71">
          <cell r="O71">
            <v>0</v>
          </cell>
          <cell r="P71" t="str">
            <v>成都飞机工业（集团）有限责任公司</v>
          </cell>
          <cell r="Q71" t="str">
            <v>260</v>
          </cell>
        </row>
        <row r="71">
          <cell r="U71" t="str">
            <v>010000902126</v>
          </cell>
          <cell r="V71" t="str">
            <v>BIAOQIAN8</v>
          </cell>
          <cell r="W71" t="str">
            <v/>
          </cell>
          <cell r="X71" t="str">
            <v>XC-32-1-2</v>
          </cell>
          <cell r="Y71" t="str">
            <v/>
          </cell>
          <cell r="Z71" t="str">
            <v>1902</v>
          </cell>
          <cell r="AA71" t="str">
            <v>1100153602</v>
          </cell>
          <cell r="AB71">
            <v>70</v>
          </cell>
          <cell r="AC71" t="str">
            <v/>
          </cell>
          <cell r="AD71">
            <v>39.58</v>
          </cell>
          <cell r="AE71" t="str">
            <v>G-100015632-250928-0249</v>
          </cell>
          <cell r="AF71" t="str">
            <v>1100153602/260</v>
          </cell>
        </row>
        <row r="72">
          <cell r="B72" t="str">
            <v>7101106605</v>
          </cell>
          <cell r="C72" t="str">
            <v>G2601-0879</v>
          </cell>
          <cell r="D72" t="str">
            <v>000042944999157341</v>
          </cell>
          <cell r="E72" t="str">
            <v>17-7PH带垫P型卡箍</v>
          </cell>
          <cell r="F72" t="str">
            <v>Q/611S538-2017</v>
          </cell>
          <cell r="G72" t="str">
            <v>J10</v>
          </cell>
          <cell r="H72" t="str">
            <v/>
          </cell>
          <cell r="I72" t="str">
            <v/>
          </cell>
          <cell r="J72" t="str">
            <v>组件(国产材料)</v>
          </cell>
          <cell r="K72">
            <v>64</v>
          </cell>
          <cell r="L72">
            <v>46135</v>
          </cell>
          <cell r="M72" t="str">
            <v>3-配货完成</v>
          </cell>
        </row>
        <row r="72">
          <cell r="O72">
            <v>0</v>
          </cell>
          <cell r="P72" t="str">
            <v>成都飞机工业（集团）有限责任公司</v>
          </cell>
          <cell r="Q72" t="str">
            <v>40</v>
          </cell>
        </row>
        <row r="72">
          <cell r="U72" t="str">
            <v>010000902126</v>
          </cell>
          <cell r="V72" t="str">
            <v>BIAOQIAN8</v>
          </cell>
          <cell r="W72" t="str">
            <v/>
          </cell>
          <cell r="X72" t="str">
            <v>XC-32-1-2</v>
          </cell>
          <cell r="Y72" t="str">
            <v/>
          </cell>
          <cell r="Z72" t="str">
            <v>1902</v>
          </cell>
          <cell r="AA72" t="str">
            <v>1100158449</v>
          </cell>
          <cell r="AB72">
            <v>64</v>
          </cell>
          <cell r="AC72" t="str">
            <v/>
          </cell>
          <cell r="AD72">
            <v>39.58</v>
          </cell>
          <cell r="AE72" t="str">
            <v>G-100015632-260107-0012</v>
          </cell>
          <cell r="AF72" t="str">
            <v>1100158449/40</v>
          </cell>
        </row>
        <row r="73">
          <cell r="B73" t="str">
            <v>7101107548</v>
          </cell>
          <cell r="C73" t="str">
            <v>G2604-1535</v>
          </cell>
          <cell r="D73" t="str">
            <v>000042944439001629</v>
          </cell>
          <cell r="E73" t="str">
            <v>螺纹连接密封垫圈</v>
          </cell>
          <cell r="F73" t="str">
            <v>HB1-504-1983(CGB)</v>
          </cell>
          <cell r="G73" t="str">
            <v>5</v>
          </cell>
          <cell r="H73" t="str">
            <v/>
          </cell>
          <cell r="I73" t="str">
            <v/>
          </cell>
          <cell r="J73" t="str">
            <v>组件</v>
          </cell>
          <cell r="K73">
            <v>400</v>
          </cell>
          <cell r="L73">
            <v>46137</v>
          </cell>
          <cell r="M73" t="str">
            <v>3-配货完成</v>
          </cell>
        </row>
        <row r="73">
          <cell r="O73">
            <v>0</v>
          </cell>
          <cell r="P73" t="str">
            <v>成都飞机工业（集团）有限责任公司</v>
          </cell>
          <cell r="Q73" t="str">
            <v>50</v>
          </cell>
        </row>
        <row r="73">
          <cell r="U73" t="str">
            <v>010000939567</v>
          </cell>
          <cell r="V73" t="str">
            <v>BIAOQIAN8</v>
          </cell>
          <cell r="W73" t="str">
            <v/>
          </cell>
          <cell r="X73" t="str">
            <v>XC-1-2-8-2</v>
          </cell>
          <cell r="Y73" t="str">
            <v/>
          </cell>
          <cell r="Z73" t="str">
            <v>1902</v>
          </cell>
          <cell r="AA73" t="str">
            <v>1100163589</v>
          </cell>
          <cell r="AB73">
            <v>400</v>
          </cell>
          <cell r="AC73" t="str">
            <v/>
          </cell>
          <cell r="AD73">
            <v>4.2</v>
          </cell>
          <cell r="AE73" t="str">
            <v>G-100015632-260414-0133</v>
          </cell>
          <cell r="AF73" t="str">
            <v>1100163589/50</v>
          </cell>
        </row>
        <row r="74">
          <cell r="B74" t="str">
            <v>7101107564</v>
          </cell>
          <cell r="C74" t="str">
            <v>G2604-0819</v>
          </cell>
          <cell r="D74" t="str">
            <v>000042944288154861</v>
          </cell>
          <cell r="E74" t="str">
            <v>气密单耳托板自锁螺母</v>
          </cell>
          <cell r="F74" t="str">
            <v>GB932-1988(CGB)</v>
          </cell>
          <cell r="G74" t="str">
            <v>M5</v>
          </cell>
          <cell r="H74" t="str">
            <v>33-39HRC</v>
          </cell>
          <cell r="I74" t="str">
            <v>Ep·Cd·c2C</v>
          </cell>
          <cell r="J74" t="str">
            <v>组件(螺母体ML25)</v>
          </cell>
          <cell r="K74">
            <v>72</v>
          </cell>
          <cell r="L74">
            <v>46137</v>
          </cell>
          <cell r="M74" t="str">
            <v>3-配货完成</v>
          </cell>
        </row>
        <row r="74">
          <cell r="O74">
            <v>0</v>
          </cell>
          <cell r="P74" t="str">
            <v>成都飞机工业（集团）有限责任公司</v>
          </cell>
          <cell r="Q74" t="str">
            <v>90</v>
          </cell>
        </row>
        <row r="74">
          <cell r="U74" t="str">
            <v>010000936249</v>
          </cell>
          <cell r="V74" t="str">
            <v>BIAOQIAN8</v>
          </cell>
          <cell r="W74" t="str">
            <v/>
          </cell>
          <cell r="X74" t="str">
            <v>XC-1-2-8-1</v>
          </cell>
          <cell r="Y74" t="str">
            <v/>
          </cell>
          <cell r="Z74" t="str">
            <v>1902</v>
          </cell>
          <cell r="AA74" t="str">
            <v>1100162715</v>
          </cell>
          <cell r="AB74">
            <v>72</v>
          </cell>
          <cell r="AC74" t="str">
            <v/>
          </cell>
          <cell r="AD74">
            <v>17.5</v>
          </cell>
          <cell r="AE74" t="str">
            <v>G-100015632-260331-0108</v>
          </cell>
          <cell r="AF74" t="str">
            <v>1100162715/90</v>
          </cell>
        </row>
        <row r="75">
          <cell r="B75" t="str">
            <v>7101107741</v>
          </cell>
          <cell r="C75" t="str">
            <v>G2602-0967</v>
          </cell>
          <cell r="D75" t="str">
            <v>000042944439138152</v>
          </cell>
          <cell r="E75" t="str">
            <v>垫圈</v>
          </cell>
          <cell r="F75" t="str">
            <v>HB1-521LB-2002(CGB)</v>
          </cell>
          <cell r="G75" t="str">
            <v>10×14×1</v>
          </cell>
          <cell r="H75" t="str">
            <v/>
          </cell>
          <cell r="I75" t="str">
            <v>Et·A(S)·Cs</v>
          </cell>
          <cell r="J75" t="str">
            <v>LY12</v>
          </cell>
          <cell r="K75">
            <v>250</v>
          </cell>
          <cell r="L75">
            <v>46137</v>
          </cell>
          <cell r="M75" t="str">
            <v>3-配货完成</v>
          </cell>
        </row>
        <row r="75">
          <cell r="O75">
            <v>0</v>
          </cell>
          <cell r="P75" t="str">
            <v>成都飞机工业（集团）有限责任公司</v>
          </cell>
          <cell r="Q75" t="str">
            <v>150</v>
          </cell>
        </row>
        <row r="75">
          <cell r="U75" t="str">
            <v>010000915034</v>
          </cell>
          <cell r="V75" t="str">
            <v>BIAOQIAN3</v>
          </cell>
          <cell r="W75" t="str">
            <v/>
          </cell>
          <cell r="X75" t="str">
            <v>CP-108-A</v>
          </cell>
          <cell r="Y75" t="str">
            <v/>
          </cell>
          <cell r="Z75" t="str">
            <v>1902</v>
          </cell>
          <cell r="AA75" t="str">
            <v>1100160291</v>
          </cell>
          <cell r="AB75">
            <v>250</v>
          </cell>
          <cell r="AC75" t="str">
            <v/>
          </cell>
          <cell r="AD75">
            <v>1.2</v>
          </cell>
          <cell r="AE75" t="str">
            <v>G-100015632-260205-0072</v>
          </cell>
          <cell r="AF75" t="str">
            <v>1100160291/150</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Sheet1"/>
      <sheetName val="匹配"/>
    </sheetNames>
    <sheetDataSet>
      <sheetData sheetId="0" refreshError="1"/>
      <sheetData sheetId="1">
        <row r="1">
          <cell r="B1" t="str">
            <v>提货单号</v>
          </cell>
          <cell r="C1" t="str">
            <v>批号</v>
          </cell>
          <cell r="D1" t="str">
            <v>物料编号</v>
          </cell>
          <cell r="E1" t="str">
            <v>物品名称</v>
          </cell>
          <cell r="F1" t="str">
            <v>采用标准</v>
          </cell>
          <cell r="G1" t="str">
            <v>规格</v>
          </cell>
          <cell r="H1" t="str">
            <v>性能等级</v>
          </cell>
          <cell r="I1" t="str">
            <v>表面处理</v>
          </cell>
          <cell r="J1" t="str">
            <v>材质</v>
          </cell>
          <cell r="K1" t="str">
            <v>已提货数量</v>
          </cell>
          <cell r="L1" t="str">
            <v>提货创建日期</v>
          </cell>
          <cell r="M1" t="str">
            <v>提货单状态</v>
          </cell>
          <cell r="N1" t="str">
            <v>运单回填日期</v>
          </cell>
          <cell r="O1" t="str">
            <v>运单回填时间</v>
          </cell>
          <cell r="P1" t="str">
            <v>售达方描述</v>
          </cell>
          <cell r="Q1" t="str">
            <v>销售凭证项目</v>
          </cell>
          <cell r="R1" t="str">
            <v>检验日期</v>
          </cell>
          <cell r="S1" t="str">
            <v>包装日期</v>
          </cell>
          <cell r="T1" t="str">
            <v>过帐日期</v>
          </cell>
          <cell r="U1" t="str">
            <v>生产订单</v>
          </cell>
          <cell r="V1" t="str">
            <v>配货人</v>
          </cell>
          <cell r="W1" t="str">
            <v>取消原因</v>
          </cell>
          <cell r="X1" t="str">
            <v>货位号</v>
          </cell>
          <cell r="Y1" t="str">
            <v>包装人</v>
          </cell>
          <cell r="Z1" t="str">
            <v>销售办公室</v>
          </cell>
          <cell r="AA1" t="str">
            <v>销售凭证</v>
          </cell>
          <cell r="AB1" t="str">
            <v>订单数量</v>
          </cell>
          <cell r="AC1" t="str">
            <v>调度令号码</v>
          </cell>
          <cell r="AD1" t="str">
            <v>价格</v>
          </cell>
          <cell r="AE1" t="str">
            <v>客户采购订单编号</v>
          </cell>
          <cell r="AF1" t="str">
            <v>销售订单行</v>
          </cell>
        </row>
        <row r="2">
          <cell r="B2" t="str">
            <v>7101107676</v>
          </cell>
          <cell r="C2" t="str">
            <v>G2512-0621</v>
          </cell>
          <cell r="D2" t="str">
            <v>000042944000134148</v>
          </cell>
          <cell r="E2" t="str">
            <v>1/8英寸沉头注油嘴</v>
          </cell>
          <cell r="F2" t="str">
            <v>YSD601</v>
          </cell>
          <cell r="G2" t="str">
            <v>1A</v>
          </cell>
          <cell r="H2" t="str">
            <v/>
          </cell>
          <cell r="I2" t="str">
            <v/>
          </cell>
          <cell r="J2" t="str">
            <v>组件</v>
          </cell>
          <cell r="K2">
            <v>41</v>
          </cell>
          <cell r="L2">
            <v>46137</v>
          </cell>
          <cell r="M2" t="str">
            <v>3-配货完成</v>
          </cell>
        </row>
        <row r="2">
          <cell r="O2">
            <v>0</v>
          </cell>
          <cell r="P2" t="str">
            <v>陕西飞机工业有限责任公司</v>
          </cell>
          <cell r="Q2" t="str">
            <v>10</v>
          </cell>
        </row>
        <row r="2">
          <cell r="U2" t="str">
            <v>010000891700</v>
          </cell>
          <cell r="V2" t="str">
            <v>BIAOQIAN3</v>
          </cell>
          <cell r="W2" t="str">
            <v/>
          </cell>
          <cell r="X2" t="str">
            <v>CP-108-A</v>
          </cell>
          <cell r="Y2" t="str">
            <v/>
          </cell>
          <cell r="Z2" t="str">
            <v>1915</v>
          </cell>
          <cell r="AA2" t="str">
            <v>1100156818</v>
          </cell>
          <cell r="AB2">
            <v>86</v>
          </cell>
          <cell r="AC2" t="str">
            <v/>
          </cell>
          <cell r="AD2">
            <v>60</v>
          </cell>
          <cell r="AE2" t="str">
            <v>G-100027906-251202-0102</v>
          </cell>
          <cell r="AF2" t="str">
            <v>1100156818/10</v>
          </cell>
        </row>
        <row r="3">
          <cell r="B3" t="str">
            <v>7101106122</v>
          </cell>
          <cell r="C3" t="str">
            <v>G2604-1458</v>
          </cell>
          <cell r="D3" t="str">
            <v>000036200000153855</v>
          </cell>
          <cell r="E3" t="str">
            <v>带垫的夹紧卡箍</v>
          </cell>
          <cell r="F3" t="str">
            <v>Q/16A3-805</v>
          </cell>
          <cell r="G3" t="str">
            <v>DJ34B</v>
          </cell>
          <cell r="H3" t="str">
            <v/>
          </cell>
          <cell r="I3" t="str">
            <v/>
          </cell>
          <cell r="J3" t="str">
            <v>组件</v>
          </cell>
          <cell r="K3">
            <v>70</v>
          </cell>
          <cell r="L3">
            <v>46135</v>
          </cell>
          <cell r="M3" t="str">
            <v>4-检验完成</v>
          </cell>
        </row>
        <row r="3">
          <cell r="O3">
            <v>0</v>
          </cell>
          <cell r="P3" t="str">
            <v>陕西飞机工业有限责任公司</v>
          </cell>
          <cell r="Q3" t="str">
            <v>10</v>
          </cell>
          <cell r="R3">
            <v>46136</v>
          </cell>
        </row>
        <row r="3">
          <cell r="U3" t="str">
            <v>010000939093</v>
          </cell>
          <cell r="V3" t="str">
            <v>BIAOQIAN8</v>
          </cell>
          <cell r="W3" t="str">
            <v/>
          </cell>
          <cell r="X3" t="str">
            <v>XC-33-1-2</v>
          </cell>
          <cell r="Y3" t="str">
            <v/>
          </cell>
          <cell r="Z3" t="str">
            <v>1915</v>
          </cell>
          <cell r="AA3" t="str">
            <v>1100163487</v>
          </cell>
          <cell r="AB3">
            <v>70</v>
          </cell>
          <cell r="AC3" t="str">
            <v/>
          </cell>
          <cell r="AD3">
            <v>48</v>
          </cell>
          <cell r="AE3" t="str">
            <v>G-100027906-260414-0093</v>
          </cell>
          <cell r="AF3" t="str">
            <v>1100163487/10</v>
          </cell>
        </row>
        <row r="4">
          <cell r="B4" t="str">
            <v>7101105529</v>
          </cell>
          <cell r="C4" t="str">
            <v>G2510-0077</v>
          </cell>
          <cell r="D4" t="str">
            <v>000042944401043535</v>
          </cell>
          <cell r="E4" t="str">
            <v>压紧垫圈</v>
          </cell>
          <cell r="F4" t="str">
            <v>HB4-50FA-2002</v>
          </cell>
          <cell r="G4" t="str">
            <v>2-14</v>
          </cell>
          <cell r="H4" t="str">
            <v>固溶</v>
          </cell>
          <cell r="I4" t="str">
            <v>Ct·P</v>
          </cell>
          <cell r="J4" t="str">
            <v>1Cr18Ni9Ti</v>
          </cell>
          <cell r="K4">
            <v>50</v>
          </cell>
          <cell r="L4">
            <v>46134</v>
          </cell>
          <cell r="M4" t="str">
            <v>4-检验完成</v>
          </cell>
        </row>
        <row r="4">
          <cell r="O4">
            <v>0</v>
          </cell>
          <cell r="P4" t="str">
            <v>陕西飞机工业有限责任公司</v>
          </cell>
          <cell r="Q4" t="str">
            <v>40</v>
          </cell>
          <cell r="R4">
            <v>46137</v>
          </cell>
        </row>
        <row r="4">
          <cell r="U4" t="str">
            <v>010000870685</v>
          </cell>
          <cell r="V4" t="str">
            <v>BIAOQIAN4</v>
          </cell>
          <cell r="W4" t="str">
            <v/>
          </cell>
          <cell r="X4" t="str">
            <v>CP-108-A</v>
          </cell>
          <cell r="Y4" t="str">
            <v/>
          </cell>
          <cell r="Z4" t="str">
            <v>1915</v>
          </cell>
          <cell r="AA4" t="str">
            <v>1100153704</v>
          </cell>
          <cell r="AB4">
            <v>50</v>
          </cell>
          <cell r="AC4" t="str">
            <v/>
          </cell>
          <cell r="AD4">
            <v>4.7</v>
          </cell>
          <cell r="AE4" t="str">
            <v>G-100027906-250929-0065</v>
          </cell>
          <cell r="AF4" t="str">
            <v>1100153704/40</v>
          </cell>
        </row>
        <row r="5">
          <cell r="B5" t="str">
            <v>7101102291</v>
          </cell>
          <cell r="C5" t="str">
            <v>G2504-4295</v>
          </cell>
          <cell r="D5" t="str">
            <v>000036200000000695</v>
          </cell>
          <cell r="E5" t="str">
            <v>圆截面橡胶圈密封结构</v>
          </cell>
          <cell r="F5" t="str">
            <v>HB4-57J1-1987</v>
          </cell>
          <cell r="G5" t="str">
            <v>17</v>
          </cell>
          <cell r="H5" t="str">
            <v/>
          </cell>
          <cell r="I5" t="str">
            <v/>
          </cell>
          <cell r="J5" t="str">
            <v>试5171</v>
          </cell>
          <cell r="K5">
            <v>1</v>
          </cell>
          <cell r="L5">
            <v>46127</v>
          </cell>
          <cell r="M5" t="str">
            <v>4-检验完成</v>
          </cell>
        </row>
        <row r="5">
          <cell r="O5">
            <v>0</v>
          </cell>
          <cell r="P5" t="str">
            <v>陕西飞机工业有限责任公司</v>
          </cell>
          <cell r="Q5" t="str">
            <v>20</v>
          </cell>
          <cell r="R5">
            <v>46137</v>
          </cell>
        </row>
        <row r="5">
          <cell r="U5" t="str">
            <v>010000817993</v>
          </cell>
          <cell r="V5" t="str">
            <v>PANMINGTAO</v>
          </cell>
          <cell r="W5" t="str">
            <v/>
          </cell>
          <cell r="X5" t="str">
            <v>XC-2-1-7-1</v>
          </cell>
          <cell r="Y5" t="str">
            <v/>
          </cell>
          <cell r="Z5" t="str">
            <v>1915</v>
          </cell>
          <cell r="AA5" t="str">
            <v>1400005439</v>
          </cell>
          <cell r="AB5">
            <v>1</v>
          </cell>
          <cell r="AC5" t="str">
            <v/>
          </cell>
          <cell r="AD5">
            <v>0</v>
          </cell>
          <cell r="AE5" t="str">
            <v>G-100027906-260228-0047XH</v>
          </cell>
          <cell r="AF5" t="str">
            <v>1400005439/20</v>
          </cell>
        </row>
        <row r="6">
          <cell r="B6" t="str">
            <v>7101102291</v>
          </cell>
          <cell r="C6" t="str">
            <v>G2504-4294</v>
          </cell>
          <cell r="D6" t="str">
            <v>000036200000000687</v>
          </cell>
          <cell r="E6" t="str">
            <v>圆截面橡胶圈密封结构</v>
          </cell>
          <cell r="F6" t="str">
            <v>HB4-57J1-1987</v>
          </cell>
          <cell r="G6" t="str">
            <v>16</v>
          </cell>
          <cell r="H6" t="str">
            <v/>
          </cell>
          <cell r="I6" t="str">
            <v/>
          </cell>
          <cell r="J6" t="str">
            <v>试5171</v>
          </cell>
          <cell r="K6">
            <v>4</v>
          </cell>
          <cell r="L6">
            <v>46127</v>
          </cell>
          <cell r="M6" t="str">
            <v>4-检验完成</v>
          </cell>
        </row>
        <row r="6">
          <cell r="O6">
            <v>0</v>
          </cell>
          <cell r="P6" t="str">
            <v>陕西飞机工业有限责任公司</v>
          </cell>
          <cell r="Q6" t="str">
            <v>10</v>
          </cell>
          <cell r="R6">
            <v>46137</v>
          </cell>
        </row>
        <row r="6">
          <cell r="U6" t="str">
            <v>010000817992</v>
          </cell>
          <cell r="V6" t="str">
            <v>PANMINGTAO</v>
          </cell>
          <cell r="W6" t="str">
            <v/>
          </cell>
          <cell r="X6" t="str">
            <v>XC-2-1-7-1</v>
          </cell>
          <cell r="Y6" t="str">
            <v/>
          </cell>
          <cell r="Z6" t="str">
            <v>1915</v>
          </cell>
          <cell r="AA6" t="str">
            <v>1400005439</v>
          </cell>
          <cell r="AB6">
            <v>4</v>
          </cell>
          <cell r="AC6" t="str">
            <v/>
          </cell>
          <cell r="AD6">
            <v>0</v>
          </cell>
          <cell r="AE6" t="str">
            <v>G-100027906-260228-0047XH</v>
          </cell>
          <cell r="AF6" t="str">
            <v>1400005439/10</v>
          </cell>
        </row>
        <row r="7">
          <cell r="B7" t="str">
            <v>7101102291</v>
          </cell>
          <cell r="C7" t="str">
            <v>G2504-4295</v>
          </cell>
          <cell r="D7" t="str">
            <v>000036200000000695</v>
          </cell>
          <cell r="E7" t="str">
            <v>圆截面橡胶圈密封结构</v>
          </cell>
          <cell r="F7" t="str">
            <v>HB4-57J1-1987</v>
          </cell>
          <cell r="G7" t="str">
            <v>17</v>
          </cell>
          <cell r="H7" t="str">
            <v/>
          </cell>
          <cell r="I7" t="str">
            <v/>
          </cell>
          <cell r="J7" t="str">
            <v>试5171</v>
          </cell>
          <cell r="K7">
            <v>1</v>
          </cell>
          <cell r="L7">
            <v>46127</v>
          </cell>
          <cell r="M7" t="str">
            <v>3-配货完成</v>
          </cell>
        </row>
        <row r="7">
          <cell r="O7">
            <v>0</v>
          </cell>
          <cell r="P7" t="str">
            <v>陕西飞机工业有限责任公司</v>
          </cell>
          <cell r="Q7" t="str">
            <v>20</v>
          </cell>
        </row>
        <row r="7">
          <cell r="U7" t="str">
            <v>010000817993</v>
          </cell>
          <cell r="V7" t="str">
            <v>PANMINGTAO</v>
          </cell>
          <cell r="W7" t="str">
            <v/>
          </cell>
          <cell r="X7" t="str">
            <v>XC-2-1-7-1</v>
          </cell>
          <cell r="Y7" t="str">
            <v/>
          </cell>
          <cell r="Z7" t="str">
            <v>1915</v>
          </cell>
          <cell r="AA7" t="str">
            <v>1400005439</v>
          </cell>
          <cell r="AB7">
            <v>1</v>
          </cell>
          <cell r="AC7" t="str">
            <v/>
          </cell>
          <cell r="AD7">
            <v>0</v>
          </cell>
          <cell r="AE7" t="str">
            <v>G-100027906-260228-0047XH</v>
          </cell>
          <cell r="AF7" t="str">
            <v>1400005439/20</v>
          </cell>
        </row>
      </sheetData>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数据"/>
      <sheetName val="C2A张毕轩"/>
      <sheetName val="C1A董芮"/>
      <sheetName val="史磊"/>
      <sheetName val="刘声宏"/>
      <sheetName val="李玲"/>
      <sheetName val="朱毅"/>
      <sheetName val="郑洪亮"/>
      <sheetName val="冯成成"/>
      <sheetName val="覃文"/>
    </sheetNames>
    <sheetDataSet>
      <sheetData sheetId="0">
        <row r="1">
          <cell r="B1" t="str">
            <v>提货单号</v>
          </cell>
          <cell r="C1" t="str">
            <v>批号</v>
          </cell>
          <cell r="D1" t="str">
            <v>物料编号</v>
          </cell>
          <cell r="E1" t="str">
            <v>物品名称</v>
          </cell>
          <cell r="F1" t="str">
            <v>采用标准</v>
          </cell>
          <cell r="G1" t="str">
            <v>规格</v>
          </cell>
          <cell r="H1" t="str">
            <v>性能等级</v>
          </cell>
          <cell r="I1" t="str">
            <v>表面处理</v>
          </cell>
          <cell r="J1" t="str">
            <v>材质</v>
          </cell>
          <cell r="K1" t="str">
            <v>已提货数量</v>
          </cell>
          <cell r="L1" t="str">
            <v>提货创建日期</v>
          </cell>
          <cell r="M1" t="str">
            <v>提货单状态</v>
          </cell>
          <cell r="N1" t="str">
            <v>运单回填日期</v>
          </cell>
          <cell r="O1" t="str">
            <v>运单回填时间</v>
          </cell>
          <cell r="P1" t="str">
            <v>售达方描述</v>
          </cell>
          <cell r="Q1" t="str">
            <v>销售凭证项目</v>
          </cell>
          <cell r="R1" t="str">
            <v>检验日期</v>
          </cell>
          <cell r="S1" t="str">
            <v>包装日期</v>
          </cell>
          <cell r="T1" t="str">
            <v>过帐日期</v>
          </cell>
          <cell r="U1" t="str">
            <v>生产订单</v>
          </cell>
          <cell r="V1" t="str">
            <v>配货人</v>
          </cell>
          <cell r="W1" t="str">
            <v>取消原因</v>
          </cell>
          <cell r="X1" t="str">
            <v>货位号</v>
          </cell>
          <cell r="Y1" t="str">
            <v>包装人</v>
          </cell>
          <cell r="Z1" t="str">
            <v>销售办公室</v>
          </cell>
          <cell r="AA1" t="str">
            <v>销售凭证</v>
          </cell>
          <cell r="AB1" t="str">
            <v>订单数量</v>
          </cell>
          <cell r="AC1" t="str">
            <v>调度令号码</v>
          </cell>
          <cell r="AD1" t="str">
            <v>价格</v>
          </cell>
          <cell r="AE1" t="str">
            <v>客户采购订单编号</v>
          </cell>
        </row>
        <row r="2">
          <cell r="B2" t="str">
            <v>7101023433</v>
          </cell>
          <cell r="C2" t="str">
            <v>G2301-0974</v>
          </cell>
          <cell r="D2" t="str">
            <v>000042944320006074</v>
          </cell>
          <cell r="E2" t="str">
            <v>120°沉头高抗剪铆钉</v>
          </cell>
          <cell r="F2" t="str">
            <v>HB1-607-2002</v>
          </cell>
          <cell r="G2" t="str">
            <v>5×7</v>
          </cell>
          <cell r="H2" t="str">
            <v/>
          </cell>
          <cell r="I2" t="str">
            <v/>
          </cell>
          <cell r="J2" t="str">
            <v>组件</v>
          </cell>
          <cell r="K2">
            <v>3156</v>
          </cell>
          <cell r="L2">
            <v>45948</v>
          </cell>
          <cell r="M2" t="str">
            <v>3-配货完成</v>
          </cell>
        </row>
        <row r="2">
          <cell r="O2">
            <v>0</v>
          </cell>
          <cell r="P2" t="str">
            <v>中国航发航空科技股份有限公司</v>
          </cell>
          <cell r="Q2" t="str">
            <v>670</v>
          </cell>
        </row>
        <row r="2">
          <cell r="U2" t="str">
            <v>010000563740</v>
          </cell>
          <cell r="V2" t="str">
            <v>BIAOQIAN4</v>
          </cell>
          <cell r="W2" t="str">
            <v/>
          </cell>
          <cell r="X2" t="str">
            <v>CP-108-A/CP-26-2-2-2</v>
          </cell>
          <cell r="Y2" t="str">
            <v/>
          </cell>
          <cell r="Z2" t="str">
            <v>1902</v>
          </cell>
          <cell r="AA2" t="str">
            <v>1100108189</v>
          </cell>
          <cell r="AB2">
            <v>6520</v>
          </cell>
          <cell r="AC2" t="str">
            <v/>
          </cell>
          <cell r="AD2">
            <v>30.14</v>
          </cell>
          <cell r="AE2" t="str">
            <v>G0552-221228-352-4</v>
          </cell>
        </row>
        <row r="3">
          <cell r="B3" t="str">
            <v>7101023435</v>
          </cell>
          <cell r="C3" t="str">
            <v>G2305-0586</v>
          </cell>
          <cell r="D3" t="str">
            <v>000042944320006074</v>
          </cell>
          <cell r="E3" t="str">
            <v>120°沉头高抗剪铆钉</v>
          </cell>
          <cell r="F3" t="str">
            <v>HB1-607-2002</v>
          </cell>
          <cell r="G3" t="str">
            <v>5×7</v>
          </cell>
          <cell r="H3" t="str">
            <v/>
          </cell>
          <cell r="I3" t="str">
            <v/>
          </cell>
          <cell r="J3" t="str">
            <v>组件</v>
          </cell>
          <cell r="K3">
            <v>455</v>
          </cell>
          <cell r="L3">
            <v>45948</v>
          </cell>
          <cell r="M3" t="str">
            <v>3-配货完成</v>
          </cell>
        </row>
        <row r="3">
          <cell r="O3">
            <v>0</v>
          </cell>
          <cell r="P3" t="str">
            <v>中国航发航空科技股份有限公司</v>
          </cell>
          <cell r="Q3" t="str">
            <v>670</v>
          </cell>
        </row>
        <row r="3">
          <cell r="U3" t="str">
            <v>010000599571</v>
          </cell>
          <cell r="V3" t="str">
            <v>BIAOQIAN4</v>
          </cell>
          <cell r="W3" t="str">
            <v/>
          </cell>
          <cell r="X3" t="str">
            <v>CP-108-A/CP-26-2-2-3</v>
          </cell>
          <cell r="Y3" t="str">
            <v/>
          </cell>
          <cell r="Z3" t="str">
            <v>1902</v>
          </cell>
          <cell r="AA3" t="str">
            <v>1100108189</v>
          </cell>
          <cell r="AB3">
            <v>6520</v>
          </cell>
          <cell r="AC3" t="str">
            <v/>
          </cell>
          <cell r="AD3">
            <v>30.14</v>
          </cell>
          <cell r="AE3" t="str">
            <v>G0552-221228-352-4</v>
          </cell>
        </row>
        <row r="4">
          <cell r="B4" t="str">
            <v>7101023481</v>
          </cell>
          <cell r="C4" t="str">
            <v>GW2003-089</v>
          </cell>
          <cell r="D4" t="str">
            <v>000042944360004729</v>
          </cell>
          <cell r="E4" t="str">
            <v>开口销</v>
          </cell>
          <cell r="F4" t="str">
            <v>GB91-1986</v>
          </cell>
          <cell r="G4" t="str">
            <v>2×30</v>
          </cell>
          <cell r="H4" t="str">
            <v/>
          </cell>
          <cell r="I4" t="str">
            <v>ECP</v>
          </cell>
          <cell r="J4" t="str">
            <v>1Cr18Ni9Ti</v>
          </cell>
          <cell r="K4">
            <v>8</v>
          </cell>
          <cell r="L4">
            <v>45948</v>
          </cell>
          <cell r="M4" t="str">
            <v>3-配货完成</v>
          </cell>
        </row>
        <row r="4">
          <cell r="O4">
            <v>0</v>
          </cell>
          <cell r="P4" t="str">
            <v>中国航发航空科技股份有限公司</v>
          </cell>
          <cell r="Q4" t="str">
            <v>40</v>
          </cell>
        </row>
        <row r="4">
          <cell r="U4" t="str">
            <v/>
          </cell>
          <cell r="V4" t="str">
            <v>BIAOQIAN4</v>
          </cell>
          <cell r="W4" t="str">
            <v/>
          </cell>
          <cell r="X4" t="str">
            <v>CP-14-4-1-1</v>
          </cell>
          <cell r="Y4" t="str">
            <v/>
          </cell>
          <cell r="Z4" t="str">
            <v>1902</v>
          </cell>
          <cell r="AA4" t="str">
            <v>1100138754</v>
          </cell>
          <cell r="AB4">
            <v>27</v>
          </cell>
          <cell r="AC4" t="str">
            <v/>
          </cell>
          <cell r="AD4">
            <v>8</v>
          </cell>
          <cell r="AE4" t="str">
            <v>G-100015358-241213-0301-1</v>
          </cell>
        </row>
        <row r="5">
          <cell r="B5" t="str">
            <v>7101025856</v>
          </cell>
          <cell r="C5" t="str">
            <v>G2503-2231</v>
          </cell>
          <cell r="D5" t="str">
            <v>000042944439150605</v>
          </cell>
          <cell r="E5" t="str">
            <v>调整垫圈</v>
          </cell>
          <cell r="F5" t="str">
            <v>S10.5.1650(QC500)</v>
          </cell>
          <cell r="G5" t="str">
            <v>1.0</v>
          </cell>
          <cell r="H5" t="str">
            <v/>
          </cell>
          <cell r="I5" t="str">
            <v/>
          </cell>
          <cell r="J5" t="str">
            <v>T2</v>
          </cell>
          <cell r="K5">
            <v>2</v>
          </cell>
          <cell r="L5">
            <v>45953</v>
          </cell>
          <cell r="M5" t="str">
            <v>3-配货完成</v>
          </cell>
        </row>
        <row r="5">
          <cell r="O5">
            <v>0</v>
          </cell>
          <cell r="P5" t="str">
            <v>中国航发航空科技股份有限公司</v>
          </cell>
          <cell r="Q5" t="str">
            <v>150</v>
          </cell>
        </row>
        <row r="5">
          <cell r="U5" t="str">
            <v>010000799595</v>
          </cell>
          <cell r="V5" t="str">
            <v>BIAOQIAN3</v>
          </cell>
          <cell r="W5" t="str">
            <v/>
          </cell>
          <cell r="X5" t="str">
            <v>CP-30-2-1-7</v>
          </cell>
          <cell r="Y5" t="str">
            <v/>
          </cell>
          <cell r="Z5" t="str">
            <v>1902</v>
          </cell>
          <cell r="AA5" t="str">
            <v>1100143117</v>
          </cell>
          <cell r="AB5">
            <v>2</v>
          </cell>
          <cell r="AC5" t="str">
            <v/>
          </cell>
          <cell r="AD5">
            <v>37</v>
          </cell>
          <cell r="AE5" t="str">
            <v>G-100015358-250305-0052</v>
          </cell>
        </row>
        <row r="6">
          <cell r="B6" t="str">
            <v>7101035732</v>
          </cell>
          <cell r="C6" t="str">
            <v>G2303-0748</v>
          </cell>
          <cell r="D6" t="str">
            <v>000042944239062417</v>
          </cell>
          <cell r="E6" t="str">
            <v>螺栓</v>
          </cell>
          <cell r="F6" t="str">
            <v>S18C.40.1262</v>
          </cell>
          <cell r="G6" t="str">
            <v>-</v>
          </cell>
          <cell r="H6" t="str">
            <v>d=3.3-3.55</v>
          </cell>
          <cell r="I6" t="str">
            <v/>
          </cell>
          <cell r="J6" t="str">
            <v>GH4698</v>
          </cell>
          <cell r="K6">
            <v>13</v>
          </cell>
          <cell r="L6">
            <v>45975</v>
          </cell>
          <cell r="M6" t="str">
            <v>3-配货完成</v>
          </cell>
        </row>
        <row r="6">
          <cell r="O6">
            <v>0</v>
          </cell>
          <cell r="P6" t="str">
            <v>中国航发航空科技股份有限公司</v>
          </cell>
          <cell r="Q6" t="str">
            <v>250</v>
          </cell>
        </row>
        <row r="6">
          <cell r="U6" t="str">
            <v>010000582277</v>
          </cell>
          <cell r="V6" t="str">
            <v>BIAOQIAN2</v>
          </cell>
          <cell r="W6" t="str">
            <v/>
          </cell>
          <cell r="X6" t="str">
            <v>CP-34-5-3-2</v>
          </cell>
          <cell r="Y6" t="str">
            <v/>
          </cell>
          <cell r="Z6" t="str">
            <v>1902</v>
          </cell>
          <cell r="AA6" t="str">
            <v>1100155755</v>
          </cell>
          <cell r="AB6">
            <v>900</v>
          </cell>
          <cell r="AC6" t="str">
            <v/>
          </cell>
          <cell r="AD6">
            <v>120.29</v>
          </cell>
          <cell r="AE6" t="str">
            <v>G-100015358-251110-0310-1</v>
          </cell>
        </row>
        <row r="7">
          <cell r="B7" t="str">
            <v>7101036935</v>
          </cell>
          <cell r="C7" t="str">
            <v>G02511-006</v>
          </cell>
          <cell r="D7" t="str">
            <v>000042944360004729</v>
          </cell>
          <cell r="E7" t="str">
            <v>开口销</v>
          </cell>
          <cell r="F7" t="str">
            <v>GB91-1986</v>
          </cell>
          <cell r="G7" t="str">
            <v>2×30</v>
          </cell>
          <cell r="H7" t="str">
            <v/>
          </cell>
          <cell r="I7" t="str">
            <v>ECP</v>
          </cell>
          <cell r="J7" t="str">
            <v>1Cr18Ni9Ti</v>
          </cell>
          <cell r="K7">
            <v>19</v>
          </cell>
          <cell r="L7">
            <v>45978</v>
          </cell>
          <cell r="M7" t="str">
            <v>3-配货完成</v>
          </cell>
        </row>
        <row r="7">
          <cell r="O7">
            <v>0</v>
          </cell>
          <cell r="P7" t="str">
            <v>中国航发航空科技股份有限公司</v>
          </cell>
          <cell r="Q7" t="str">
            <v>40</v>
          </cell>
        </row>
        <row r="7">
          <cell r="U7" t="str">
            <v/>
          </cell>
          <cell r="V7" t="str">
            <v>BIAOQIAN1</v>
          </cell>
          <cell r="W7" t="str">
            <v/>
          </cell>
          <cell r="X7" t="str">
            <v>XH-000</v>
          </cell>
          <cell r="Y7" t="str">
            <v/>
          </cell>
          <cell r="Z7" t="str">
            <v>1902</v>
          </cell>
          <cell r="AA7" t="str">
            <v>1100138754</v>
          </cell>
          <cell r="AB7">
            <v>27</v>
          </cell>
          <cell r="AC7" t="str">
            <v/>
          </cell>
          <cell r="AD7">
            <v>8</v>
          </cell>
          <cell r="AE7" t="str">
            <v>G-100015358-241213-0301-1</v>
          </cell>
        </row>
        <row r="8">
          <cell r="B8" t="str">
            <v>7101039943</v>
          </cell>
          <cell r="C8" t="str">
            <v>G2403-0777</v>
          </cell>
          <cell r="D8" t="str">
            <v>000042944999008896</v>
          </cell>
          <cell r="E8" t="str">
            <v>螺桩</v>
          </cell>
          <cell r="F8" t="str">
            <v>S18.3.0004</v>
          </cell>
          <cell r="G8" t="str">
            <v>Ⅰ</v>
          </cell>
          <cell r="H8" t="str">
            <v>27-35HRC</v>
          </cell>
          <cell r="I8" t="str">
            <v>Ep·Cd5-8·c2C</v>
          </cell>
          <cell r="J8" t="str">
            <v>38CrA</v>
          </cell>
          <cell r="K8">
            <v>389</v>
          </cell>
          <cell r="L8">
            <v>45985</v>
          </cell>
          <cell r="M8" t="str">
            <v>0-初始未打印</v>
          </cell>
        </row>
        <row r="8">
          <cell r="O8">
            <v>0</v>
          </cell>
          <cell r="P8" t="str">
            <v>中国航发航空科技股份有限公司</v>
          </cell>
          <cell r="Q8" t="str">
            <v>60</v>
          </cell>
        </row>
        <row r="8">
          <cell r="U8" t="str">
            <v>010000680205</v>
          </cell>
          <cell r="V8" t="str">
            <v/>
          </cell>
          <cell r="W8" t="str">
            <v/>
          </cell>
          <cell r="X8" t="str">
            <v>CP-108-A/CP-26-5-1-6</v>
          </cell>
          <cell r="Y8" t="str">
            <v/>
          </cell>
          <cell r="Z8" t="str">
            <v>1902</v>
          </cell>
          <cell r="AA8" t="str">
            <v>1100125152</v>
          </cell>
          <cell r="AB8">
            <v>389</v>
          </cell>
          <cell r="AC8" t="str">
            <v/>
          </cell>
          <cell r="AD8">
            <v>17.55</v>
          </cell>
          <cell r="AE8" t="str">
            <v>G0555-240226-352-6</v>
          </cell>
        </row>
        <row r="9">
          <cell r="B9" t="str">
            <v>7101039947</v>
          </cell>
          <cell r="C9" t="str">
            <v>G2301-7136</v>
          </cell>
          <cell r="D9" t="str">
            <v>000042944319002062</v>
          </cell>
          <cell r="E9" t="str">
            <v>螺母</v>
          </cell>
          <cell r="F9" t="str">
            <v>S18.4.0011</v>
          </cell>
          <cell r="G9" t="str">
            <v>-</v>
          </cell>
          <cell r="H9" t="str">
            <v>27-35HRC</v>
          </cell>
          <cell r="I9" t="str">
            <v>Ep·Cd5-8·c2C</v>
          </cell>
          <cell r="J9" t="str">
            <v>30CrMnSiA</v>
          </cell>
          <cell r="K9">
            <v>163</v>
          </cell>
          <cell r="L9">
            <v>45985</v>
          </cell>
          <cell r="M9" t="str">
            <v>0-初始未打印</v>
          </cell>
        </row>
        <row r="9">
          <cell r="O9">
            <v>0</v>
          </cell>
          <cell r="P9" t="str">
            <v>中国航发航空科技股份有限公司</v>
          </cell>
          <cell r="Q9" t="str">
            <v>70</v>
          </cell>
        </row>
        <row r="9">
          <cell r="U9" t="str">
            <v/>
          </cell>
          <cell r="V9" t="str">
            <v/>
          </cell>
          <cell r="W9" t="str">
            <v/>
          </cell>
          <cell r="X9" t="str">
            <v>XH-000/CP-26-5-1-3</v>
          </cell>
          <cell r="Y9" t="str">
            <v/>
          </cell>
          <cell r="Z9" t="str">
            <v>1902</v>
          </cell>
          <cell r="AA9" t="str">
            <v>1100125152</v>
          </cell>
          <cell r="AB9">
            <v>328</v>
          </cell>
          <cell r="AC9" t="str">
            <v/>
          </cell>
          <cell r="AD9">
            <v>14.42</v>
          </cell>
          <cell r="AE9" t="str">
            <v>G0555-240226-352-6</v>
          </cell>
        </row>
        <row r="10">
          <cell r="B10" t="str">
            <v>7101040174</v>
          </cell>
          <cell r="C10" t="str">
            <v>G2305-2653</v>
          </cell>
          <cell r="D10" t="str">
            <v>000042944239048746</v>
          </cell>
          <cell r="E10" t="str">
            <v>螺栓</v>
          </cell>
          <cell r="F10" t="str">
            <v>S18.42.4119</v>
          </cell>
          <cell r="G10" t="str">
            <v>Ⅰ</v>
          </cell>
          <cell r="H10" t="str">
            <v>d=3.3-3.55</v>
          </cell>
          <cell r="I10" t="str">
            <v/>
          </cell>
          <cell r="J10" t="str">
            <v>GH4698</v>
          </cell>
          <cell r="K10">
            <v>740</v>
          </cell>
          <cell r="L10">
            <v>45985</v>
          </cell>
          <cell r="M10" t="str">
            <v>0-初始未打印</v>
          </cell>
        </row>
        <row r="10">
          <cell r="O10">
            <v>0</v>
          </cell>
          <cell r="P10" t="str">
            <v>中国航发航空科技股份有限公司</v>
          </cell>
          <cell r="Q10" t="str">
            <v>1380</v>
          </cell>
        </row>
        <row r="10">
          <cell r="U10" t="str">
            <v>010000605766</v>
          </cell>
          <cell r="V10" t="str">
            <v/>
          </cell>
          <cell r="W10" t="str">
            <v/>
          </cell>
          <cell r="X10" t="str">
            <v>CP-30-5-2-10</v>
          </cell>
          <cell r="Y10" t="str">
            <v/>
          </cell>
          <cell r="Z10" t="str">
            <v>1902</v>
          </cell>
          <cell r="AA10" t="str">
            <v>1100096087</v>
          </cell>
          <cell r="AB10">
            <v>8586</v>
          </cell>
          <cell r="AC10" t="str">
            <v/>
          </cell>
          <cell r="AD10">
            <v>130.68</v>
          </cell>
          <cell r="AE10" t="str">
            <v>G0552-220228-352-1-3</v>
          </cell>
        </row>
        <row r="11">
          <cell r="B11" t="str">
            <v>7101040182</v>
          </cell>
          <cell r="C11" t="str">
            <v>G2302-7096</v>
          </cell>
          <cell r="D11" t="str">
            <v>000042944319002065</v>
          </cell>
          <cell r="E11" t="str">
            <v>螺母</v>
          </cell>
          <cell r="F11" t="str">
            <v>S18.4.0019</v>
          </cell>
          <cell r="G11" t="str">
            <v>-</v>
          </cell>
          <cell r="H11" t="str">
            <v>31-38HRC</v>
          </cell>
          <cell r="I11" t="str">
            <v>Ep·Cd5-8·c2C</v>
          </cell>
          <cell r="J11" t="str">
            <v>30CrMnSiA</v>
          </cell>
          <cell r="K11">
            <v>78</v>
          </cell>
          <cell r="L11">
            <v>45985</v>
          </cell>
          <cell r="M11" t="str">
            <v>0-初始未打印</v>
          </cell>
        </row>
        <row r="11">
          <cell r="O11">
            <v>0</v>
          </cell>
          <cell r="P11" t="str">
            <v>中国航发航空科技股份有限公司</v>
          </cell>
          <cell r="Q11" t="str">
            <v>80</v>
          </cell>
        </row>
        <row r="11">
          <cell r="U11" t="str">
            <v/>
          </cell>
          <cell r="V11" t="str">
            <v/>
          </cell>
          <cell r="W11" t="str">
            <v/>
          </cell>
          <cell r="X11" t="str">
            <v>XH-000</v>
          </cell>
          <cell r="Y11" t="str">
            <v/>
          </cell>
          <cell r="Z11" t="str">
            <v>1902</v>
          </cell>
          <cell r="AA11" t="str">
            <v>1100125152</v>
          </cell>
          <cell r="AB11">
            <v>78</v>
          </cell>
          <cell r="AC11" t="str">
            <v/>
          </cell>
          <cell r="AD11">
            <v>16.2</v>
          </cell>
          <cell r="AE11" t="str">
            <v>G0555-240226-352-6</v>
          </cell>
        </row>
        <row r="12">
          <cell r="B12" t="str">
            <v>7101040189</v>
          </cell>
          <cell r="C12" t="str">
            <v>G2108-7128</v>
          </cell>
          <cell r="D12" t="str">
            <v>000042944319002066</v>
          </cell>
          <cell r="E12" t="str">
            <v>螺母</v>
          </cell>
          <cell r="F12" t="str">
            <v>S18.4.0021</v>
          </cell>
          <cell r="G12" t="str">
            <v>-</v>
          </cell>
          <cell r="H12" t="str">
            <v>27-35HRC</v>
          </cell>
          <cell r="I12" t="str">
            <v>Ep·Cd5-8·c2C</v>
          </cell>
          <cell r="J12" t="str">
            <v>30CrMnSiA</v>
          </cell>
          <cell r="K12">
            <v>138</v>
          </cell>
          <cell r="L12">
            <v>45985</v>
          </cell>
          <cell r="M12" t="str">
            <v>0-初始未打印</v>
          </cell>
        </row>
        <row r="12">
          <cell r="O12">
            <v>0</v>
          </cell>
          <cell r="P12" t="str">
            <v>中国航发航空科技股份有限公司</v>
          </cell>
          <cell r="Q12" t="str">
            <v>90</v>
          </cell>
        </row>
        <row r="12">
          <cell r="U12" t="str">
            <v/>
          </cell>
          <cell r="V12" t="str">
            <v/>
          </cell>
          <cell r="W12" t="str">
            <v/>
          </cell>
          <cell r="X12" t="str">
            <v>CP-26-5-1-4</v>
          </cell>
          <cell r="Y12" t="str">
            <v/>
          </cell>
          <cell r="Z12" t="str">
            <v>1902</v>
          </cell>
          <cell r="AA12" t="str">
            <v>1100125152</v>
          </cell>
          <cell r="AB12">
            <v>138</v>
          </cell>
          <cell r="AC12" t="str">
            <v/>
          </cell>
          <cell r="AD12">
            <v>15.3</v>
          </cell>
          <cell r="AE12" t="str">
            <v>G0555-240226-352-6</v>
          </cell>
        </row>
        <row r="13">
          <cell r="B13" t="str">
            <v>7101040198</v>
          </cell>
          <cell r="C13" t="str">
            <v>G2301-7543</v>
          </cell>
          <cell r="D13" t="str">
            <v>000042944999008920</v>
          </cell>
          <cell r="E13" t="str">
            <v>螺帽</v>
          </cell>
          <cell r="F13" t="str">
            <v>S18.40.4037</v>
          </cell>
          <cell r="G13" t="str">
            <v>-</v>
          </cell>
          <cell r="H13" t="str">
            <v>d=3.4-3.8</v>
          </cell>
          <cell r="I13" t="str">
            <v>Ct·P</v>
          </cell>
          <cell r="J13" t="str">
            <v>GH4033</v>
          </cell>
          <cell r="K13">
            <v>211</v>
          </cell>
          <cell r="L13">
            <v>45985</v>
          </cell>
          <cell r="M13" t="str">
            <v>0-初始未打印</v>
          </cell>
        </row>
        <row r="13">
          <cell r="O13">
            <v>0</v>
          </cell>
          <cell r="P13" t="str">
            <v>中国航发航空科技股份有限公司</v>
          </cell>
          <cell r="Q13" t="str">
            <v>110</v>
          </cell>
        </row>
        <row r="13">
          <cell r="U13" t="str">
            <v/>
          </cell>
          <cell r="V13" t="str">
            <v/>
          </cell>
          <cell r="W13" t="str">
            <v/>
          </cell>
          <cell r="X13" t="str">
            <v>XH-000/CP-C8-5-3-3</v>
          </cell>
          <cell r="Y13" t="str">
            <v/>
          </cell>
          <cell r="Z13" t="str">
            <v>1902</v>
          </cell>
          <cell r="AA13" t="str">
            <v>1100125152</v>
          </cell>
          <cell r="AB13">
            <v>211</v>
          </cell>
          <cell r="AC13" t="str">
            <v/>
          </cell>
          <cell r="AD13">
            <v>41.4</v>
          </cell>
          <cell r="AE13" t="str">
            <v>G0555-240226-352-6</v>
          </cell>
        </row>
        <row r="14">
          <cell r="B14" t="str">
            <v>7101040203</v>
          </cell>
          <cell r="C14" t="str">
            <v>G2403-7022</v>
          </cell>
          <cell r="D14" t="str">
            <v>000042944319002072</v>
          </cell>
          <cell r="E14" t="str">
            <v>螺母</v>
          </cell>
          <cell r="F14" t="str">
            <v>S18.42.3026</v>
          </cell>
          <cell r="G14" t="str">
            <v>-</v>
          </cell>
          <cell r="H14" t="str">
            <v>285-341HB</v>
          </cell>
          <cell r="I14" t="str">
            <v/>
          </cell>
          <cell r="J14" t="str">
            <v>GH2696-Ⅲ</v>
          </cell>
          <cell r="K14">
            <v>388</v>
          </cell>
          <cell r="L14">
            <v>45985</v>
          </cell>
          <cell r="M14" t="str">
            <v>0-初始未打印</v>
          </cell>
        </row>
        <row r="14">
          <cell r="O14">
            <v>0</v>
          </cell>
          <cell r="P14" t="str">
            <v>中国航发航空科技股份有限公司</v>
          </cell>
          <cell r="Q14" t="str">
            <v>130</v>
          </cell>
        </row>
        <row r="14">
          <cell r="U14" t="str">
            <v/>
          </cell>
          <cell r="V14" t="str">
            <v/>
          </cell>
          <cell r="W14" t="str">
            <v/>
          </cell>
          <cell r="X14" t="str">
            <v>XH-000/CP-26-5-1-3</v>
          </cell>
          <cell r="Y14" t="str">
            <v/>
          </cell>
          <cell r="Z14" t="str">
            <v>1902</v>
          </cell>
          <cell r="AA14" t="str">
            <v>1100125152</v>
          </cell>
          <cell r="AB14">
            <v>388</v>
          </cell>
          <cell r="AC14" t="str">
            <v/>
          </cell>
          <cell r="AD14">
            <v>56.7</v>
          </cell>
          <cell r="AE14" t="str">
            <v>G0555-240226-352-6</v>
          </cell>
        </row>
        <row r="15">
          <cell r="B15" t="str">
            <v>7101040478</v>
          </cell>
          <cell r="C15" t="str">
            <v>G2406-1181</v>
          </cell>
          <cell r="D15" t="str">
            <v>000042944000137019</v>
          </cell>
          <cell r="E15" t="str">
            <v>垫片(0.375,多组)</v>
          </cell>
          <cell r="F15" t="str">
            <v>7225C2A077P00</v>
          </cell>
          <cell r="G15" t="str">
            <v>4</v>
          </cell>
          <cell r="H15" t="str">
            <v/>
          </cell>
          <cell r="I15" t="str">
            <v/>
          </cell>
          <cell r="J15" t="str">
            <v>T2</v>
          </cell>
          <cell r="K15">
            <v>78</v>
          </cell>
          <cell r="L15">
            <v>45985</v>
          </cell>
          <cell r="M15" t="str">
            <v>3-配货完成</v>
          </cell>
        </row>
        <row r="15">
          <cell r="O15">
            <v>0</v>
          </cell>
          <cell r="P15" t="str">
            <v>中国航发航空科技股份有限公司</v>
          </cell>
          <cell r="Q15" t="str">
            <v>130</v>
          </cell>
        </row>
        <row r="15">
          <cell r="U15" t="str">
            <v>010000711315</v>
          </cell>
          <cell r="V15" t="str">
            <v>BIAOQIAN1</v>
          </cell>
          <cell r="W15" t="str">
            <v/>
          </cell>
          <cell r="X15" t="str">
            <v>CP-108-A/CP-C8-1-3-2</v>
          </cell>
          <cell r="Y15" t="str">
            <v/>
          </cell>
          <cell r="Z15" t="str">
            <v>1902</v>
          </cell>
          <cell r="AA15" t="str">
            <v>1100154551</v>
          </cell>
          <cell r="AB15">
            <v>900</v>
          </cell>
          <cell r="AC15" t="str">
            <v/>
          </cell>
          <cell r="AD15">
            <v>8</v>
          </cell>
          <cell r="AE15" t="str">
            <v>G-100015358-251013-0283</v>
          </cell>
        </row>
        <row r="16">
          <cell r="B16" t="str">
            <v>7101040551</v>
          </cell>
          <cell r="C16" t="str">
            <v>G2301-2695</v>
          </cell>
          <cell r="D16" t="str">
            <v>000042944999008906</v>
          </cell>
          <cell r="E16" t="str">
            <v>螺桩</v>
          </cell>
          <cell r="F16" t="str">
            <v>S18.3.0007</v>
          </cell>
          <cell r="G16" t="str">
            <v>Ⅰ</v>
          </cell>
          <cell r="H16" t="str">
            <v>27-35HRC</v>
          </cell>
          <cell r="I16" t="str">
            <v>Ep·Cd5-8·c2C</v>
          </cell>
          <cell r="J16" t="str">
            <v>38CrA</v>
          </cell>
          <cell r="K16">
            <v>330</v>
          </cell>
          <cell r="L16">
            <v>45985</v>
          </cell>
          <cell r="M16" t="str">
            <v>0-初始未打印</v>
          </cell>
        </row>
        <row r="16">
          <cell r="O16">
            <v>0</v>
          </cell>
          <cell r="P16" t="str">
            <v>中国航发航空科技股份有限公司</v>
          </cell>
          <cell r="Q16" t="str">
            <v>10</v>
          </cell>
        </row>
        <row r="16">
          <cell r="U16" t="str">
            <v>010000568444</v>
          </cell>
          <cell r="V16" t="str">
            <v/>
          </cell>
          <cell r="W16" t="str">
            <v/>
          </cell>
          <cell r="X16" t="str">
            <v>CP-80-3-1-8</v>
          </cell>
          <cell r="Y16" t="str">
            <v/>
          </cell>
          <cell r="Z16" t="str">
            <v>1902</v>
          </cell>
          <cell r="AA16" t="str">
            <v>1100108189</v>
          </cell>
          <cell r="AB16">
            <v>330</v>
          </cell>
          <cell r="AC16" t="str">
            <v/>
          </cell>
          <cell r="AD16">
            <v>19.87</v>
          </cell>
          <cell r="AE16" t="str">
            <v>G0552-221228-352-4</v>
          </cell>
        </row>
        <row r="17">
          <cell r="B17" t="str">
            <v>7101040589</v>
          </cell>
          <cell r="C17" t="str">
            <v>G2301-2698</v>
          </cell>
          <cell r="D17" t="str">
            <v>000042944999008918</v>
          </cell>
          <cell r="E17" t="str">
            <v>螺桩</v>
          </cell>
          <cell r="F17" t="str">
            <v>S18.3.0037</v>
          </cell>
          <cell r="G17" t="str">
            <v>Ⅲ</v>
          </cell>
          <cell r="H17" t="str">
            <v>27-35HRC</v>
          </cell>
          <cell r="I17" t="str">
            <v>Ep·Cd5-8·c2C</v>
          </cell>
          <cell r="J17" t="str">
            <v>38CrA</v>
          </cell>
          <cell r="K17">
            <v>60</v>
          </cell>
          <cell r="L17">
            <v>45985</v>
          </cell>
          <cell r="M17" t="str">
            <v>0-初始未打印</v>
          </cell>
        </row>
        <row r="17">
          <cell r="O17">
            <v>0</v>
          </cell>
          <cell r="P17" t="str">
            <v>中国航发航空科技股份有限公司</v>
          </cell>
          <cell r="Q17" t="str">
            <v>60</v>
          </cell>
        </row>
        <row r="17">
          <cell r="U17" t="str">
            <v>010000568448</v>
          </cell>
          <cell r="V17" t="str">
            <v/>
          </cell>
          <cell r="W17" t="str">
            <v/>
          </cell>
          <cell r="X17" t="str">
            <v>CP-73-4-3-5</v>
          </cell>
          <cell r="Y17" t="str">
            <v/>
          </cell>
          <cell r="Z17" t="str">
            <v>1902</v>
          </cell>
          <cell r="AA17" t="str">
            <v>1100108189</v>
          </cell>
          <cell r="AB17">
            <v>60</v>
          </cell>
          <cell r="AC17" t="str">
            <v/>
          </cell>
          <cell r="AD17">
            <v>39.26</v>
          </cell>
          <cell r="AE17" t="str">
            <v>G0552-221228-352-4</v>
          </cell>
        </row>
        <row r="18">
          <cell r="B18" t="str">
            <v>7101040594</v>
          </cell>
          <cell r="C18" t="str">
            <v>G2301-2696</v>
          </cell>
          <cell r="D18" t="str">
            <v>000042944999008908</v>
          </cell>
          <cell r="E18" t="str">
            <v>螺桩</v>
          </cell>
          <cell r="F18" t="str">
            <v>S18.3.0007</v>
          </cell>
          <cell r="G18" t="str">
            <v>Ⅲ</v>
          </cell>
          <cell r="H18" t="str">
            <v>27-35HRC</v>
          </cell>
          <cell r="I18" t="str">
            <v>Ep·Cd5-8·c2C</v>
          </cell>
          <cell r="J18" t="str">
            <v>38CrA</v>
          </cell>
          <cell r="K18">
            <v>240</v>
          </cell>
          <cell r="L18">
            <v>45985</v>
          </cell>
          <cell r="M18" t="str">
            <v>0-初始未打印</v>
          </cell>
        </row>
        <row r="18">
          <cell r="O18">
            <v>0</v>
          </cell>
          <cell r="P18" t="str">
            <v>中国航发航空科技股份有限公司</v>
          </cell>
          <cell r="Q18" t="str">
            <v>20</v>
          </cell>
        </row>
        <row r="18">
          <cell r="U18" t="str">
            <v>010000568445</v>
          </cell>
          <cell r="V18" t="str">
            <v/>
          </cell>
          <cell r="W18" t="str">
            <v/>
          </cell>
          <cell r="X18" t="str">
            <v>CP-69-2-2-3</v>
          </cell>
          <cell r="Y18" t="str">
            <v/>
          </cell>
          <cell r="Z18" t="str">
            <v>1902</v>
          </cell>
          <cell r="AA18" t="str">
            <v>1100108189</v>
          </cell>
          <cell r="AB18">
            <v>240</v>
          </cell>
          <cell r="AC18" t="str">
            <v/>
          </cell>
          <cell r="AD18">
            <v>19.87</v>
          </cell>
          <cell r="AE18" t="str">
            <v>G0552-221228-352-4</v>
          </cell>
        </row>
        <row r="19">
          <cell r="B19" t="str">
            <v>7101040614</v>
          </cell>
          <cell r="C19" t="str">
            <v>G2301-0085</v>
          </cell>
          <cell r="D19" t="str">
            <v>000042944320012577</v>
          </cell>
          <cell r="E19" t="str">
            <v>铆钉</v>
          </cell>
          <cell r="F19" t="str">
            <v>S18.7.0103</v>
          </cell>
          <cell r="G19" t="str">
            <v>-</v>
          </cell>
          <cell r="H19" t="str">
            <v>固溶</v>
          </cell>
          <cell r="I19" t="str">
            <v>Ct·P</v>
          </cell>
          <cell r="J19" t="str">
            <v>ML1Cr18Ni9Ti-R</v>
          </cell>
          <cell r="K19">
            <v>1350</v>
          </cell>
          <cell r="L19">
            <v>45985</v>
          </cell>
          <cell r="M19" t="str">
            <v>0-初始未打印</v>
          </cell>
        </row>
        <row r="19">
          <cell r="O19">
            <v>0</v>
          </cell>
          <cell r="P19" t="str">
            <v>中国航发航空科技股份有限公司</v>
          </cell>
          <cell r="Q19" t="str">
            <v>150</v>
          </cell>
        </row>
        <row r="19">
          <cell r="U19" t="str">
            <v>010000561196</v>
          </cell>
          <cell r="V19" t="str">
            <v/>
          </cell>
          <cell r="W19" t="str">
            <v/>
          </cell>
          <cell r="X19" t="str">
            <v>CP-69-2-4-13</v>
          </cell>
          <cell r="Y19" t="str">
            <v/>
          </cell>
          <cell r="Z19" t="str">
            <v>1902</v>
          </cell>
          <cell r="AA19" t="str">
            <v>1100125152</v>
          </cell>
          <cell r="AB19">
            <v>1350</v>
          </cell>
          <cell r="AC19" t="str">
            <v/>
          </cell>
          <cell r="AD19">
            <v>4.05</v>
          </cell>
          <cell r="AE19" t="str">
            <v>G0555-240226-352-6</v>
          </cell>
        </row>
        <row r="20">
          <cell r="B20" t="str">
            <v>7101040616</v>
          </cell>
          <cell r="C20" t="str">
            <v>G2301-0112</v>
          </cell>
          <cell r="D20" t="str">
            <v>000042944320012582</v>
          </cell>
          <cell r="E20" t="str">
            <v>铆钉</v>
          </cell>
          <cell r="F20" t="str">
            <v>S18.7.0108</v>
          </cell>
          <cell r="G20" t="str">
            <v>-</v>
          </cell>
          <cell r="H20" t="str">
            <v>固溶</v>
          </cell>
          <cell r="I20" t="str">
            <v>Ct·P</v>
          </cell>
          <cell r="J20" t="str">
            <v>ML1Cr18Ni9Ti-R</v>
          </cell>
          <cell r="K20">
            <v>240</v>
          </cell>
          <cell r="L20">
            <v>45985</v>
          </cell>
          <cell r="M20" t="str">
            <v>0-初始未打印</v>
          </cell>
        </row>
        <row r="20">
          <cell r="O20">
            <v>0</v>
          </cell>
          <cell r="P20" t="str">
            <v>中国航发航空科技股份有限公司</v>
          </cell>
          <cell r="Q20" t="str">
            <v>160</v>
          </cell>
        </row>
        <row r="20">
          <cell r="U20" t="str">
            <v>010000561308</v>
          </cell>
          <cell r="V20" t="str">
            <v/>
          </cell>
          <cell r="W20" t="str">
            <v/>
          </cell>
          <cell r="X20" t="str">
            <v>CP-108-A/CP-26-3-2-5</v>
          </cell>
          <cell r="Y20" t="str">
            <v/>
          </cell>
          <cell r="Z20" t="str">
            <v>1902</v>
          </cell>
          <cell r="AA20" t="str">
            <v>1100125152</v>
          </cell>
          <cell r="AB20">
            <v>240</v>
          </cell>
          <cell r="AC20" t="str">
            <v/>
          </cell>
          <cell r="AD20">
            <v>4.05</v>
          </cell>
          <cell r="AE20" t="str">
            <v>G0555-240226-352-6</v>
          </cell>
        </row>
        <row r="21">
          <cell r="B21" t="str">
            <v>7101040617</v>
          </cell>
          <cell r="C21" t="str">
            <v>G2403-0749</v>
          </cell>
          <cell r="D21" t="str">
            <v>000042944320012606</v>
          </cell>
          <cell r="E21" t="str">
            <v>铆钉</v>
          </cell>
          <cell r="F21" t="str">
            <v>S18.7.0211</v>
          </cell>
          <cell r="G21" t="str">
            <v>Ⅱ</v>
          </cell>
          <cell r="H21" t="str">
            <v>固溶</v>
          </cell>
          <cell r="I21" t="str">
            <v>Ct·P</v>
          </cell>
          <cell r="J21" t="str">
            <v>ML1Cr18Ni9Ti-R</v>
          </cell>
          <cell r="K21">
            <v>446</v>
          </cell>
          <cell r="L21">
            <v>45985</v>
          </cell>
          <cell r="M21" t="str">
            <v>0-初始未打印</v>
          </cell>
        </row>
        <row r="21">
          <cell r="O21">
            <v>0</v>
          </cell>
          <cell r="P21" t="str">
            <v>中国航发航空科技股份有限公司</v>
          </cell>
          <cell r="Q21" t="str">
            <v>170</v>
          </cell>
        </row>
        <row r="21">
          <cell r="U21" t="str">
            <v>010000680162</v>
          </cell>
          <cell r="V21" t="str">
            <v/>
          </cell>
          <cell r="W21" t="str">
            <v/>
          </cell>
          <cell r="X21" t="str">
            <v>CP-62-4-1-16</v>
          </cell>
          <cell r="Y21" t="str">
            <v/>
          </cell>
          <cell r="Z21" t="str">
            <v>1902</v>
          </cell>
          <cell r="AA21" t="str">
            <v>1100125152</v>
          </cell>
          <cell r="AB21">
            <v>446</v>
          </cell>
          <cell r="AC21" t="str">
            <v/>
          </cell>
          <cell r="AD21">
            <v>4.05</v>
          </cell>
          <cell r="AE21" t="str">
            <v>G0555-240226-352-6</v>
          </cell>
        </row>
        <row r="22">
          <cell r="B22" t="str">
            <v>7101040618</v>
          </cell>
          <cell r="C22" t="str">
            <v>G2404-2880</v>
          </cell>
          <cell r="D22" t="str">
            <v>000042944320012613</v>
          </cell>
          <cell r="E22" t="str">
            <v>铆钉</v>
          </cell>
          <cell r="F22" t="str">
            <v>S18.7.0216</v>
          </cell>
          <cell r="G22" t="str">
            <v>-</v>
          </cell>
          <cell r="H22" t="str">
            <v>固溶</v>
          </cell>
          <cell r="I22" t="str">
            <v>Ct·P</v>
          </cell>
          <cell r="J22" t="str">
            <v>ML1Cr18Ni9Ti-R</v>
          </cell>
          <cell r="K22">
            <v>2539</v>
          </cell>
          <cell r="L22">
            <v>45985</v>
          </cell>
          <cell r="M22" t="str">
            <v>0-初始未打印</v>
          </cell>
        </row>
        <row r="22">
          <cell r="O22">
            <v>0</v>
          </cell>
          <cell r="P22" t="str">
            <v>中国航发航空科技股份有限公司</v>
          </cell>
          <cell r="Q22" t="str">
            <v>180</v>
          </cell>
        </row>
        <row r="22">
          <cell r="U22" t="str">
            <v>010000696719</v>
          </cell>
          <cell r="V22" t="str">
            <v/>
          </cell>
          <cell r="W22" t="str">
            <v/>
          </cell>
          <cell r="X22" t="str">
            <v>CP-108-A/CP-26-5-1-3</v>
          </cell>
          <cell r="Y22" t="str">
            <v/>
          </cell>
          <cell r="Z22" t="str">
            <v>1902</v>
          </cell>
          <cell r="AA22" t="str">
            <v>1100125152</v>
          </cell>
          <cell r="AB22">
            <v>2539</v>
          </cell>
          <cell r="AC22" t="str">
            <v/>
          </cell>
          <cell r="AD22">
            <v>4.05</v>
          </cell>
          <cell r="AE22" t="str">
            <v>G0555-240226-352-6</v>
          </cell>
        </row>
        <row r="23">
          <cell r="B23" t="str">
            <v>7101040619</v>
          </cell>
          <cell r="C23" t="str">
            <v>G2203-7170</v>
          </cell>
          <cell r="D23" t="str">
            <v>000042944319002062</v>
          </cell>
          <cell r="E23" t="str">
            <v>螺母</v>
          </cell>
          <cell r="F23" t="str">
            <v>S18.4.0011</v>
          </cell>
          <cell r="G23" t="str">
            <v>-</v>
          </cell>
          <cell r="H23" t="str">
            <v>27-35HRC</v>
          </cell>
          <cell r="I23" t="str">
            <v>Ep·Cd5-8·c2C</v>
          </cell>
          <cell r="J23" t="str">
            <v>30CrMnSiA</v>
          </cell>
          <cell r="K23">
            <v>327</v>
          </cell>
          <cell r="L23">
            <v>45985</v>
          </cell>
          <cell r="M23" t="str">
            <v>0-初始未打印</v>
          </cell>
        </row>
        <row r="23">
          <cell r="O23">
            <v>0</v>
          </cell>
          <cell r="P23" t="str">
            <v>中国航发航空科技股份有限公司</v>
          </cell>
          <cell r="Q23" t="str">
            <v>60</v>
          </cell>
        </row>
        <row r="23">
          <cell r="U23" t="str">
            <v>010000469541</v>
          </cell>
          <cell r="V23" t="str">
            <v/>
          </cell>
          <cell r="W23" t="str">
            <v/>
          </cell>
          <cell r="X23" t="str">
            <v>XH-000</v>
          </cell>
          <cell r="Y23" t="str">
            <v/>
          </cell>
          <cell r="Z23" t="str">
            <v>1902</v>
          </cell>
          <cell r="AA23" t="str">
            <v>1100125161</v>
          </cell>
          <cell r="AB23">
            <v>327</v>
          </cell>
          <cell r="AC23" t="str">
            <v/>
          </cell>
          <cell r="AD23">
            <v>13.95</v>
          </cell>
          <cell r="AE23" t="str">
            <v>G0555-240226-352-6-1</v>
          </cell>
        </row>
        <row r="24">
          <cell r="B24" t="str">
            <v>7101040661</v>
          </cell>
          <cell r="C24" t="str">
            <v>G2404-2880</v>
          </cell>
          <cell r="D24" t="str">
            <v>000042944320012613</v>
          </cell>
          <cell r="E24" t="str">
            <v>铆钉</v>
          </cell>
          <cell r="F24" t="str">
            <v>S18.7.0216</v>
          </cell>
          <cell r="G24" t="str">
            <v>-</v>
          </cell>
          <cell r="H24" t="str">
            <v>固溶</v>
          </cell>
          <cell r="I24" t="str">
            <v>Ct·P</v>
          </cell>
          <cell r="J24" t="str">
            <v>ML1Cr18Ni9Ti-R</v>
          </cell>
          <cell r="K24">
            <v>2472</v>
          </cell>
          <cell r="L24">
            <v>45985</v>
          </cell>
          <cell r="M24" t="str">
            <v>0-初始未打印</v>
          </cell>
        </row>
        <row r="24">
          <cell r="O24">
            <v>0</v>
          </cell>
          <cell r="P24" t="str">
            <v>中国航发航空科技股份有限公司</v>
          </cell>
          <cell r="Q24" t="str">
            <v>90</v>
          </cell>
        </row>
        <row r="24">
          <cell r="U24" t="str">
            <v>010000696719</v>
          </cell>
          <cell r="V24" t="str">
            <v/>
          </cell>
          <cell r="W24" t="str">
            <v/>
          </cell>
          <cell r="X24" t="str">
            <v>CP-108-A/CP-26-5-1-3</v>
          </cell>
          <cell r="Y24" t="str">
            <v/>
          </cell>
          <cell r="Z24" t="str">
            <v>1902</v>
          </cell>
          <cell r="AA24" t="str">
            <v>1100125161</v>
          </cell>
          <cell r="AB24">
            <v>2472</v>
          </cell>
          <cell r="AC24" t="str">
            <v/>
          </cell>
          <cell r="AD24">
            <v>4.05</v>
          </cell>
          <cell r="AE24" t="str">
            <v>G0555-240226-352-6-1</v>
          </cell>
        </row>
        <row r="25">
          <cell r="B25" t="str">
            <v>7101040662</v>
          </cell>
          <cell r="C25" t="str">
            <v>G2303-0185</v>
          </cell>
          <cell r="D25" t="str">
            <v>000042944201084789</v>
          </cell>
          <cell r="E25" t="str">
            <v>螺栓</v>
          </cell>
          <cell r="F25" t="str">
            <v>S18.1.0044</v>
          </cell>
          <cell r="G25" t="str">
            <v>-</v>
          </cell>
          <cell r="H25" t="str">
            <v>35-41HRC</v>
          </cell>
          <cell r="I25" t="str">
            <v>Ep·Cd3-5·c2C</v>
          </cell>
          <cell r="J25" t="str">
            <v>30CrMnSiA</v>
          </cell>
          <cell r="K25">
            <v>40</v>
          </cell>
          <cell r="L25">
            <v>45985</v>
          </cell>
          <cell r="M25" t="str">
            <v>0-初始未打印</v>
          </cell>
        </row>
        <row r="25">
          <cell r="O25">
            <v>0</v>
          </cell>
          <cell r="P25" t="str">
            <v>中国航发航空科技股份有限公司</v>
          </cell>
          <cell r="Q25" t="str">
            <v>30</v>
          </cell>
        </row>
        <row r="25">
          <cell r="U25" t="str">
            <v>010000580047</v>
          </cell>
          <cell r="V25" t="str">
            <v/>
          </cell>
          <cell r="W25" t="str">
            <v/>
          </cell>
          <cell r="X25" t="str">
            <v>CP-34-2-4-5</v>
          </cell>
          <cell r="Y25" t="str">
            <v/>
          </cell>
          <cell r="Z25" t="str">
            <v>1902</v>
          </cell>
          <cell r="AA25" t="str">
            <v>1100109987</v>
          </cell>
          <cell r="AB25">
            <v>40</v>
          </cell>
          <cell r="AC25" t="str">
            <v/>
          </cell>
          <cell r="AD25">
            <v>19.29</v>
          </cell>
          <cell r="AE25" t="str">
            <v>G0552-230220-062</v>
          </cell>
        </row>
        <row r="26">
          <cell r="B26" t="str">
            <v>7101040666</v>
          </cell>
          <cell r="C26" t="str">
            <v>G2302-3243</v>
          </cell>
          <cell r="D26" t="str">
            <v>000042944239100646</v>
          </cell>
          <cell r="E26" t="str">
            <v>螺栓</v>
          </cell>
          <cell r="F26" t="str">
            <v>S18C.42.1118</v>
          </cell>
          <cell r="G26" t="str">
            <v>Ⅱ</v>
          </cell>
          <cell r="H26" t="str">
            <v>d=3.3-3.55</v>
          </cell>
          <cell r="I26" t="str">
            <v/>
          </cell>
          <cell r="J26" t="str">
            <v>GH4698</v>
          </cell>
          <cell r="K26">
            <v>44</v>
          </cell>
          <cell r="L26">
            <v>45985</v>
          </cell>
          <cell r="M26" t="str">
            <v>0-初始未打印</v>
          </cell>
        </row>
        <row r="26">
          <cell r="O26">
            <v>0</v>
          </cell>
          <cell r="P26" t="str">
            <v>中国航发航空科技股份有限公司</v>
          </cell>
          <cell r="Q26" t="str">
            <v>1050</v>
          </cell>
        </row>
        <row r="26">
          <cell r="U26" t="str">
            <v>010000579094</v>
          </cell>
          <cell r="V26" t="str">
            <v/>
          </cell>
          <cell r="W26" t="str">
            <v/>
          </cell>
          <cell r="X26" t="str">
            <v>CP-33-2-2-13</v>
          </cell>
          <cell r="Y26" t="str">
            <v/>
          </cell>
          <cell r="Z26" t="str">
            <v>1902</v>
          </cell>
          <cell r="AA26" t="str">
            <v>1100109987</v>
          </cell>
          <cell r="AB26">
            <v>44</v>
          </cell>
          <cell r="AC26" t="str">
            <v/>
          </cell>
          <cell r="AD26">
            <v>104.9</v>
          </cell>
          <cell r="AE26" t="str">
            <v>G0552-230220-062</v>
          </cell>
        </row>
        <row r="27">
          <cell r="B27" t="str">
            <v>7101040667</v>
          </cell>
          <cell r="C27" t="str">
            <v>G2305-0285</v>
          </cell>
          <cell r="D27" t="str">
            <v>000042944288002568</v>
          </cell>
          <cell r="E27" t="str">
            <v>自锁螺母</v>
          </cell>
          <cell r="F27" t="str">
            <v>S18.4.0208</v>
          </cell>
          <cell r="G27" t="str">
            <v>-</v>
          </cell>
          <cell r="H27" t="str">
            <v>27-35HRC</v>
          </cell>
          <cell r="I27" t="str">
            <v>Ep·Cd3-5·c2C</v>
          </cell>
          <cell r="J27" t="str">
            <v>ML16CrSiNi</v>
          </cell>
          <cell r="K27">
            <v>230</v>
          </cell>
          <cell r="L27">
            <v>45985</v>
          </cell>
          <cell r="M27" t="str">
            <v>0-初始未打印</v>
          </cell>
        </row>
        <row r="27">
          <cell r="O27">
            <v>0</v>
          </cell>
          <cell r="P27" t="str">
            <v>中国航发航空科技股份有限公司</v>
          </cell>
          <cell r="Q27" t="str">
            <v>1160</v>
          </cell>
        </row>
        <row r="27">
          <cell r="U27" t="str">
            <v>010000598526</v>
          </cell>
          <cell r="V27" t="str">
            <v/>
          </cell>
          <cell r="W27" t="str">
            <v/>
          </cell>
          <cell r="X27" t="str">
            <v>CP-108-A/CP-26-4-1-5</v>
          </cell>
          <cell r="Y27" t="str">
            <v/>
          </cell>
          <cell r="Z27" t="str">
            <v>1902</v>
          </cell>
          <cell r="AA27" t="str">
            <v>1100109987</v>
          </cell>
          <cell r="AB27">
            <v>230</v>
          </cell>
          <cell r="AC27" t="str">
            <v/>
          </cell>
          <cell r="AD27">
            <v>8.16</v>
          </cell>
          <cell r="AE27" t="str">
            <v>G0552-230220-062</v>
          </cell>
        </row>
        <row r="28">
          <cell r="B28" t="str">
            <v>7101040668</v>
          </cell>
          <cell r="C28" t="str">
            <v>G2308-0332</v>
          </cell>
          <cell r="D28" t="str">
            <v>000042944239095125</v>
          </cell>
          <cell r="E28" t="str">
            <v>螺栓</v>
          </cell>
          <cell r="F28" t="str">
            <v>S18.30.4042</v>
          </cell>
          <cell r="G28" t="str">
            <v>-</v>
          </cell>
          <cell r="H28" t="str">
            <v>d=3.4-3.7</v>
          </cell>
          <cell r="I28" t="str">
            <v>Ct·P</v>
          </cell>
          <cell r="J28" t="str">
            <v>13Cr11Ni2W2MoV</v>
          </cell>
          <cell r="K28">
            <v>350</v>
          </cell>
          <cell r="L28">
            <v>45985</v>
          </cell>
          <cell r="M28" t="str">
            <v>0-初始未打印</v>
          </cell>
        </row>
        <row r="28">
          <cell r="O28">
            <v>0</v>
          </cell>
          <cell r="P28" t="str">
            <v>中国航发航空科技股份有限公司</v>
          </cell>
          <cell r="Q28" t="str">
            <v>1440</v>
          </cell>
        </row>
        <row r="28">
          <cell r="U28" t="str">
            <v>010000625095</v>
          </cell>
          <cell r="V28" t="str">
            <v/>
          </cell>
          <cell r="W28" t="str">
            <v/>
          </cell>
          <cell r="X28" t="str">
            <v>CP-32-3-1-3</v>
          </cell>
          <cell r="Y28" t="str">
            <v/>
          </cell>
          <cell r="Z28" t="str">
            <v>1902</v>
          </cell>
          <cell r="AA28" t="str">
            <v>1100109987</v>
          </cell>
          <cell r="AB28">
            <v>350</v>
          </cell>
          <cell r="AC28" t="str">
            <v/>
          </cell>
          <cell r="AD28">
            <v>22.58</v>
          </cell>
          <cell r="AE28" t="str">
            <v>G0552-230220-062</v>
          </cell>
        </row>
        <row r="29">
          <cell r="B29" t="str">
            <v>7101040681</v>
          </cell>
          <cell r="C29" t="str">
            <v>G2301-0106</v>
          </cell>
          <cell r="D29" t="str">
            <v>000042944999008910</v>
          </cell>
          <cell r="E29" t="str">
            <v>螺桩</v>
          </cell>
          <cell r="F29" t="str">
            <v>S18.3.0009</v>
          </cell>
          <cell r="G29" t="str">
            <v>Ⅱ</v>
          </cell>
          <cell r="H29" t="str">
            <v>27-35HRC</v>
          </cell>
          <cell r="I29" t="str">
            <v>Ep·Cd5-8·c2C</v>
          </cell>
          <cell r="J29" t="str">
            <v>38CrA</v>
          </cell>
          <cell r="K29">
            <v>196</v>
          </cell>
          <cell r="L29">
            <v>45985</v>
          </cell>
          <cell r="M29" t="str">
            <v>0-初始未打印</v>
          </cell>
        </row>
        <row r="29">
          <cell r="O29">
            <v>0</v>
          </cell>
          <cell r="P29" t="str">
            <v>中国航发航空科技股份有限公司</v>
          </cell>
          <cell r="Q29" t="str">
            <v>30</v>
          </cell>
        </row>
        <row r="29">
          <cell r="U29" t="str">
            <v>010000561259</v>
          </cell>
          <cell r="V29" t="str">
            <v/>
          </cell>
          <cell r="W29" t="str">
            <v/>
          </cell>
          <cell r="X29" t="str">
            <v>CP-108-A/CP-26-3-3-5</v>
          </cell>
          <cell r="Y29" t="str">
            <v/>
          </cell>
          <cell r="Z29" t="str">
            <v>1902</v>
          </cell>
          <cell r="AA29" t="str">
            <v>1100108189</v>
          </cell>
          <cell r="AB29">
            <v>201</v>
          </cell>
          <cell r="AC29" t="str">
            <v/>
          </cell>
          <cell r="AD29">
            <v>28.9</v>
          </cell>
          <cell r="AE29" t="str">
            <v>G0552-221228-352-4</v>
          </cell>
        </row>
        <row r="30">
          <cell r="B30" t="str">
            <v>7101040682</v>
          </cell>
          <cell r="C30" t="str">
            <v>G2302-3293</v>
          </cell>
          <cell r="D30" t="str">
            <v>000042944999008910</v>
          </cell>
          <cell r="E30" t="str">
            <v>螺桩</v>
          </cell>
          <cell r="F30" t="str">
            <v>S18.3.0009</v>
          </cell>
          <cell r="G30" t="str">
            <v>Ⅱ</v>
          </cell>
          <cell r="H30" t="str">
            <v>27-35HRC</v>
          </cell>
          <cell r="I30" t="str">
            <v>Ep·Cd5-8·c2C</v>
          </cell>
          <cell r="J30" t="str">
            <v>38CrA</v>
          </cell>
          <cell r="K30">
            <v>5</v>
          </cell>
          <cell r="L30">
            <v>45985</v>
          </cell>
          <cell r="M30" t="str">
            <v>0-初始未打印</v>
          </cell>
        </row>
        <row r="30">
          <cell r="O30">
            <v>0</v>
          </cell>
          <cell r="P30" t="str">
            <v>中国航发航空科技股份有限公司</v>
          </cell>
          <cell r="Q30" t="str">
            <v>30</v>
          </cell>
        </row>
        <row r="30">
          <cell r="U30" t="str">
            <v>010000579149</v>
          </cell>
          <cell r="V30" t="str">
            <v/>
          </cell>
          <cell r="W30" t="str">
            <v/>
          </cell>
          <cell r="X30" t="str">
            <v>CP-62-4-4-2</v>
          </cell>
          <cell r="Y30" t="str">
            <v/>
          </cell>
          <cell r="Z30" t="str">
            <v>1902</v>
          </cell>
          <cell r="AA30" t="str">
            <v>1100108189</v>
          </cell>
          <cell r="AB30">
            <v>201</v>
          </cell>
          <cell r="AC30" t="str">
            <v/>
          </cell>
          <cell r="AD30">
            <v>28.9</v>
          </cell>
          <cell r="AE30" t="str">
            <v>G0552-221228-352-4</v>
          </cell>
        </row>
        <row r="31">
          <cell r="B31" t="str">
            <v>7101040684</v>
          </cell>
          <cell r="C31" t="str">
            <v>G2203-1118</v>
          </cell>
          <cell r="D31" t="str">
            <v>000042944999008911</v>
          </cell>
          <cell r="E31" t="str">
            <v>螺桩</v>
          </cell>
          <cell r="F31" t="str">
            <v>S18.3.0009</v>
          </cell>
          <cell r="G31" t="str">
            <v>Ⅲ</v>
          </cell>
          <cell r="H31" t="str">
            <v>27-35HRC</v>
          </cell>
          <cell r="I31" t="str">
            <v>Ep·Cd5-8·c2C</v>
          </cell>
          <cell r="J31" t="str">
            <v>38CrA</v>
          </cell>
          <cell r="K31">
            <v>25</v>
          </cell>
          <cell r="L31">
            <v>45985</v>
          </cell>
          <cell r="M31" t="str">
            <v>0-初始未打印</v>
          </cell>
        </row>
        <row r="31">
          <cell r="O31">
            <v>0</v>
          </cell>
          <cell r="P31" t="str">
            <v>中国航发航空科技股份有限公司</v>
          </cell>
          <cell r="Q31" t="str">
            <v>40</v>
          </cell>
        </row>
        <row r="31">
          <cell r="U31" t="str">
            <v>010000469740</v>
          </cell>
          <cell r="V31" t="str">
            <v/>
          </cell>
          <cell r="W31" t="str">
            <v/>
          </cell>
          <cell r="X31" t="str">
            <v>CP-108-A</v>
          </cell>
          <cell r="Y31" t="str">
            <v/>
          </cell>
          <cell r="Z31" t="str">
            <v>1902</v>
          </cell>
          <cell r="AA31" t="str">
            <v>1100108189</v>
          </cell>
          <cell r="AB31">
            <v>370</v>
          </cell>
          <cell r="AC31" t="str">
            <v/>
          </cell>
          <cell r="AD31">
            <v>28.9</v>
          </cell>
          <cell r="AE31" t="str">
            <v>G0552-221228-352-4</v>
          </cell>
        </row>
        <row r="32">
          <cell r="B32" t="str">
            <v>7101040685</v>
          </cell>
          <cell r="C32" t="str">
            <v>G2301-0107</v>
          </cell>
          <cell r="D32" t="str">
            <v>000042944999008911</v>
          </cell>
          <cell r="E32" t="str">
            <v>螺桩</v>
          </cell>
          <cell r="F32" t="str">
            <v>S18.3.0009</v>
          </cell>
          <cell r="G32" t="str">
            <v>Ⅲ</v>
          </cell>
          <cell r="H32" t="str">
            <v>27-35HRC</v>
          </cell>
          <cell r="I32" t="str">
            <v>Ep·Cd5-8·c2C</v>
          </cell>
          <cell r="J32" t="str">
            <v>38CrA</v>
          </cell>
          <cell r="K32">
            <v>345</v>
          </cell>
          <cell r="L32">
            <v>45985</v>
          </cell>
          <cell r="M32" t="str">
            <v>0-初始未打印</v>
          </cell>
        </row>
        <row r="32">
          <cell r="O32">
            <v>0</v>
          </cell>
          <cell r="P32" t="str">
            <v>中国航发航空科技股份有限公司</v>
          </cell>
          <cell r="Q32" t="str">
            <v>40</v>
          </cell>
        </row>
        <row r="32">
          <cell r="U32" t="str">
            <v>010000561260</v>
          </cell>
          <cell r="V32" t="str">
            <v/>
          </cell>
          <cell r="W32" t="str">
            <v/>
          </cell>
          <cell r="X32" t="str">
            <v>CP-108-A/CP-26-4-2-2</v>
          </cell>
          <cell r="Y32" t="str">
            <v/>
          </cell>
          <cell r="Z32" t="str">
            <v>1902</v>
          </cell>
          <cell r="AA32" t="str">
            <v>1100108189</v>
          </cell>
          <cell r="AB32">
            <v>370</v>
          </cell>
          <cell r="AC32" t="str">
            <v/>
          </cell>
          <cell r="AD32">
            <v>28.9</v>
          </cell>
          <cell r="AE32" t="str">
            <v>G0552-221228-352-4</v>
          </cell>
        </row>
        <row r="33">
          <cell r="B33" t="str">
            <v>7101040701</v>
          </cell>
          <cell r="C33" t="str">
            <v>G2301-2699</v>
          </cell>
          <cell r="D33" t="str">
            <v>000042944999008919</v>
          </cell>
          <cell r="E33" t="str">
            <v>螺桩</v>
          </cell>
          <cell r="F33" t="str">
            <v>S18.3.0037</v>
          </cell>
          <cell r="G33" t="str">
            <v>Ⅳ</v>
          </cell>
          <cell r="H33" t="str">
            <v>27-35HRC</v>
          </cell>
          <cell r="I33" t="str">
            <v>Ep·Cd5-8·c2C</v>
          </cell>
          <cell r="J33" t="str">
            <v>38CrA</v>
          </cell>
          <cell r="K33">
            <v>60</v>
          </cell>
          <cell r="L33">
            <v>45985</v>
          </cell>
          <cell r="M33" t="str">
            <v>0-初始未打印</v>
          </cell>
        </row>
        <row r="33">
          <cell r="O33">
            <v>0</v>
          </cell>
          <cell r="P33" t="str">
            <v>中国航发航空科技股份有限公司</v>
          </cell>
          <cell r="Q33" t="str">
            <v>70</v>
          </cell>
        </row>
        <row r="33">
          <cell r="U33" t="str">
            <v>010000568449</v>
          </cell>
          <cell r="V33" t="str">
            <v/>
          </cell>
          <cell r="W33" t="str">
            <v/>
          </cell>
          <cell r="X33" t="str">
            <v>CP-63-3-3-7</v>
          </cell>
          <cell r="Y33" t="str">
            <v/>
          </cell>
          <cell r="Z33" t="str">
            <v>1902</v>
          </cell>
          <cell r="AA33" t="str">
            <v>1100108189</v>
          </cell>
          <cell r="AB33">
            <v>60</v>
          </cell>
          <cell r="AC33" t="str">
            <v/>
          </cell>
          <cell r="AD33">
            <v>39.26</v>
          </cell>
          <cell r="AE33" t="str">
            <v>G0552-221228-352-4</v>
          </cell>
        </row>
        <row r="34">
          <cell r="B34" t="str">
            <v>7101040702</v>
          </cell>
          <cell r="C34" t="str">
            <v>G2301-7137</v>
          </cell>
          <cell r="D34" t="str">
            <v>000042944319002063</v>
          </cell>
          <cell r="E34" t="str">
            <v>螺母</v>
          </cell>
          <cell r="F34" t="str">
            <v>S18.4.0012</v>
          </cell>
          <cell r="G34" t="str">
            <v>-</v>
          </cell>
          <cell r="H34" t="str">
            <v>27-35HRC</v>
          </cell>
          <cell r="I34" t="str">
            <v>Ep·Cd5-8·c2C</v>
          </cell>
          <cell r="J34" t="str">
            <v>30CrMnSiA</v>
          </cell>
          <cell r="K34">
            <v>692</v>
          </cell>
          <cell r="L34">
            <v>45985</v>
          </cell>
          <cell r="M34" t="str">
            <v>0-初始未打印</v>
          </cell>
        </row>
        <row r="34">
          <cell r="O34">
            <v>0</v>
          </cell>
          <cell r="P34" t="str">
            <v>中国航发航空科技股份有限公司</v>
          </cell>
          <cell r="Q34" t="str">
            <v>90</v>
          </cell>
        </row>
        <row r="34">
          <cell r="U34" t="str">
            <v/>
          </cell>
          <cell r="V34" t="str">
            <v/>
          </cell>
          <cell r="W34" t="str">
            <v/>
          </cell>
          <cell r="X34" t="str">
            <v>XH-000/CP-C8-3-3-4</v>
          </cell>
          <cell r="Y34" t="str">
            <v/>
          </cell>
          <cell r="Z34" t="str">
            <v>1902</v>
          </cell>
          <cell r="AA34" t="str">
            <v>1100108189</v>
          </cell>
          <cell r="AB34">
            <v>1554</v>
          </cell>
          <cell r="AC34" t="str">
            <v/>
          </cell>
          <cell r="AD34">
            <v>14.51</v>
          </cell>
          <cell r="AE34" t="str">
            <v>G0552-221228-352-4</v>
          </cell>
        </row>
        <row r="35">
          <cell r="B35" t="str">
            <v>7101040704</v>
          </cell>
          <cell r="C35" t="str">
            <v>G2301-7138</v>
          </cell>
          <cell r="D35" t="str">
            <v>000042944319002064</v>
          </cell>
          <cell r="E35" t="str">
            <v>螺母</v>
          </cell>
          <cell r="F35" t="str">
            <v>S18.4.0013</v>
          </cell>
          <cell r="G35" t="str">
            <v>-</v>
          </cell>
          <cell r="H35" t="str">
            <v>27-35HRC</v>
          </cell>
          <cell r="I35" t="str">
            <v>Ep·Cd5-8·c2C</v>
          </cell>
          <cell r="J35" t="str">
            <v>30CrMnSiA</v>
          </cell>
          <cell r="K35">
            <v>124</v>
          </cell>
          <cell r="L35">
            <v>45985</v>
          </cell>
          <cell r="M35" t="str">
            <v>0-初始未打印</v>
          </cell>
        </row>
        <row r="35">
          <cell r="O35">
            <v>0</v>
          </cell>
          <cell r="P35" t="str">
            <v>中国航发航空科技股份有限公司</v>
          </cell>
          <cell r="Q35" t="str">
            <v>100</v>
          </cell>
        </row>
        <row r="35">
          <cell r="U35" t="str">
            <v/>
          </cell>
          <cell r="V35" t="str">
            <v/>
          </cell>
          <cell r="W35" t="str">
            <v/>
          </cell>
          <cell r="X35" t="str">
            <v>XH-000/CP-26-3-3-6</v>
          </cell>
          <cell r="Y35" t="str">
            <v/>
          </cell>
          <cell r="Z35" t="str">
            <v>1902</v>
          </cell>
          <cell r="AA35" t="str">
            <v>1100108189</v>
          </cell>
          <cell r="AB35">
            <v>124</v>
          </cell>
          <cell r="AC35" t="str">
            <v/>
          </cell>
          <cell r="AD35">
            <v>21.98</v>
          </cell>
          <cell r="AE35" t="str">
            <v>G0552-221228-352-4</v>
          </cell>
        </row>
        <row r="36">
          <cell r="B36" t="str">
            <v>7101040705</v>
          </cell>
          <cell r="C36" t="str">
            <v>G2301-7139</v>
          </cell>
          <cell r="D36" t="str">
            <v>000042944319002066</v>
          </cell>
          <cell r="E36" t="str">
            <v>螺母</v>
          </cell>
          <cell r="F36" t="str">
            <v>S18.4.0021</v>
          </cell>
          <cell r="G36" t="str">
            <v>-</v>
          </cell>
          <cell r="H36" t="str">
            <v>27-35HRC</v>
          </cell>
          <cell r="I36" t="str">
            <v>Ep·Cd5-8·c2C</v>
          </cell>
          <cell r="J36" t="str">
            <v>30CrMnSiA</v>
          </cell>
          <cell r="K36">
            <v>1200</v>
          </cell>
          <cell r="L36">
            <v>45985</v>
          </cell>
          <cell r="M36" t="str">
            <v>0-初始未打印</v>
          </cell>
        </row>
        <row r="36">
          <cell r="O36">
            <v>0</v>
          </cell>
          <cell r="P36" t="str">
            <v>中国航发航空科技股份有限公司</v>
          </cell>
          <cell r="Q36" t="str">
            <v>130</v>
          </cell>
        </row>
        <row r="36">
          <cell r="U36" t="str">
            <v/>
          </cell>
          <cell r="V36" t="str">
            <v/>
          </cell>
          <cell r="W36" t="str">
            <v/>
          </cell>
          <cell r="X36" t="str">
            <v>XH-000/CP-C8-5-3-3</v>
          </cell>
          <cell r="Y36" t="str">
            <v/>
          </cell>
          <cell r="Z36" t="str">
            <v>1902</v>
          </cell>
          <cell r="AA36" t="str">
            <v>1100108189</v>
          </cell>
          <cell r="AB36">
            <v>1400</v>
          </cell>
          <cell r="AC36" t="str">
            <v/>
          </cell>
          <cell r="AD36">
            <v>15.91</v>
          </cell>
          <cell r="AE36" t="str">
            <v>G0552-221228-352-4</v>
          </cell>
        </row>
        <row r="37">
          <cell r="B37" t="str">
            <v>7101040707</v>
          </cell>
          <cell r="C37" t="str">
            <v>G2410-9014</v>
          </cell>
          <cell r="D37" t="str">
            <v>000042944319002068</v>
          </cell>
          <cell r="E37" t="str">
            <v>外套螺母</v>
          </cell>
          <cell r="F37" t="str">
            <v>S18.4.0025</v>
          </cell>
          <cell r="G37" t="str">
            <v>-</v>
          </cell>
          <cell r="H37" t="str">
            <v/>
          </cell>
          <cell r="I37" t="str">
            <v>Et·A(S)·Cs</v>
          </cell>
          <cell r="J37" t="str">
            <v>2A12-T4</v>
          </cell>
          <cell r="K37">
            <v>383</v>
          </cell>
          <cell r="L37">
            <v>45985</v>
          </cell>
          <cell r="M37" t="str">
            <v>0-初始未打印</v>
          </cell>
        </row>
        <row r="37">
          <cell r="O37">
            <v>0</v>
          </cell>
          <cell r="P37" t="str">
            <v>中国航发航空科技股份有限公司</v>
          </cell>
          <cell r="Q37" t="str">
            <v>150</v>
          </cell>
        </row>
        <row r="37">
          <cell r="U37" t="str">
            <v>010000742582</v>
          </cell>
          <cell r="V37" t="str">
            <v/>
          </cell>
          <cell r="W37" t="str">
            <v/>
          </cell>
          <cell r="X37" t="str">
            <v>CP-77-5-1-1</v>
          </cell>
          <cell r="Y37" t="str">
            <v/>
          </cell>
          <cell r="Z37" t="str">
            <v>1902</v>
          </cell>
          <cell r="AA37" t="str">
            <v>1100108189</v>
          </cell>
          <cell r="AB37">
            <v>420</v>
          </cell>
          <cell r="AC37" t="str">
            <v/>
          </cell>
          <cell r="AD37">
            <v>175.5</v>
          </cell>
          <cell r="AE37" t="str">
            <v>G0552-221228-352-4</v>
          </cell>
        </row>
        <row r="38">
          <cell r="B38" t="str">
            <v>7101040708</v>
          </cell>
          <cell r="C38" t="str">
            <v>G2301-0105</v>
          </cell>
          <cell r="D38" t="str">
            <v>000042944999008909</v>
          </cell>
          <cell r="E38" t="str">
            <v>螺桩</v>
          </cell>
          <cell r="F38" t="str">
            <v>S18.3.0009</v>
          </cell>
          <cell r="G38" t="str">
            <v>Ⅰ</v>
          </cell>
          <cell r="H38" t="str">
            <v>27-35HRC</v>
          </cell>
          <cell r="I38" t="str">
            <v>Ep·Cd5-8·c2C</v>
          </cell>
          <cell r="J38" t="str">
            <v>38CrA</v>
          </cell>
          <cell r="K38">
            <v>450</v>
          </cell>
          <cell r="L38">
            <v>45985</v>
          </cell>
          <cell r="M38" t="str">
            <v>0-初始未打印</v>
          </cell>
        </row>
        <row r="38">
          <cell r="O38">
            <v>0</v>
          </cell>
          <cell r="P38" t="str">
            <v>中国航发航空科技股份有限公司</v>
          </cell>
          <cell r="Q38" t="str">
            <v>160</v>
          </cell>
        </row>
        <row r="38">
          <cell r="U38" t="str">
            <v>010000561258</v>
          </cell>
          <cell r="V38" t="str">
            <v/>
          </cell>
          <cell r="W38" t="str">
            <v/>
          </cell>
          <cell r="X38" t="str">
            <v>CP-108-A/CP-26-3-4-1</v>
          </cell>
          <cell r="Y38" t="str">
            <v/>
          </cell>
          <cell r="Z38" t="str">
            <v>1902</v>
          </cell>
          <cell r="AA38" t="str">
            <v>1100108189</v>
          </cell>
          <cell r="AB38">
            <v>450</v>
          </cell>
          <cell r="AC38" t="str">
            <v/>
          </cell>
          <cell r="AD38">
            <v>28.9</v>
          </cell>
          <cell r="AE38" t="str">
            <v>G0552-221228-352-4</v>
          </cell>
        </row>
        <row r="39">
          <cell r="B39" t="str">
            <v>7101040709</v>
          </cell>
          <cell r="C39" t="str">
            <v>G2301-7103</v>
          </cell>
          <cell r="D39" t="str">
            <v>000042944319002070</v>
          </cell>
          <cell r="E39" t="str">
            <v>花螺母</v>
          </cell>
          <cell r="F39" t="str">
            <v>S18.4.0115</v>
          </cell>
          <cell r="G39" t="str">
            <v>-</v>
          </cell>
          <cell r="H39" t="str">
            <v>30-37HRC</v>
          </cell>
          <cell r="I39" t="str">
            <v>Ct·O</v>
          </cell>
          <cell r="J39" t="str">
            <v>38CrA</v>
          </cell>
          <cell r="K39">
            <v>418</v>
          </cell>
          <cell r="L39">
            <v>45985</v>
          </cell>
          <cell r="M39" t="str">
            <v>0-初始未打印</v>
          </cell>
        </row>
        <row r="39">
          <cell r="O39">
            <v>0</v>
          </cell>
          <cell r="P39" t="str">
            <v>中国航发航空科技股份有限公司</v>
          </cell>
          <cell r="Q39" t="str">
            <v>170</v>
          </cell>
        </row>
        <row r="39">
          <cell r="U39" t="str">
            <v/>
          </cell>
          <cell r="V39" t="str">
            <v/>
          </cell>
          <cell r="W39" t="str">
            <v/>
          </cell>
          <cell r="X39" t="str">
            <v>XH-000/CP-C8-5-3-3</v>
          </cell>
          <cell r="Y39" t="str">
            <v/>
          </cell>
          <cell r="Z39" t="str">
            <v>1902</v>
          </cell>
          <cell r="AA39" t="str">
            <v>1100108189</v>
          </cell>
          <cell r="AB39">
            <v>700</v>
          </cell>
          <cell r="AC39" t="str">
            <v/>
          </cell>
          <cell r="AD39">
            <v>119.52</v>
          </cell>
          <cell r="AE39" t="str">
            <v>G0552-221228-352-4</v>
          </cell>
        </row>
        <row r="40">
          <cell r="B40" t="str">
            <v>7101040722</v>
          </cell>
          <cell r="C40" t="str">
            <v>G2301-7001</v>
          </cell>
          <cell r="D40" t="str">
            <v>000042944288002564</v>
          </cell>
          <cell r="E40" t="str">
            <v>自锁螺母</v>
          </cell>
          <cell r="F40" t="str">
            <v>S18.4.0204</v>
          </cell>
          <cell r="G40" t="str">
            <v>-</v>
          </cell>
          <cell r="H40" t="str">
            <v>27-35HRC</v>
          </cell>
          <cell r="I40" t="str">
            <v>Ep·Cd5-8·c2C</v>
          </cell>
          <cell r="J40" t="str">
            <v>30CrMnSiA</v>
          </cell>
          <cell r="K40">
            <v>3009</v>
          </cell>
          <cell r="L40">
            <v>45985</v>
          </cell>
          <cell r="M40" t="str">
            <v>0-初始未打印</v>
          </cell>
        </row>
        <row r="40">
          <cell r="O40">
            <v>0</v>
          </cell>
          <cell r="P40" t="str">
            <v>中国航发航空科技股份有限公司</v>
          </cell>
          <cell r="Q40" t="str">
            <v>210</v>
          </cell>
        </row>
        <row r="40">
          <cell r="U40" t="str">
            <v/>
          </cell>
          <cell r="V40" t="str">
            <v/>
          </cell>
          <cell r="W40" t="str">
            <v/>
          </cell>
          <cell r="X40" t="str">
            <v>XH-000/CP-26-4-4-2</v>
          </cell>
          <cell r="Y40" t="str">
            <v/>
          </cell>
          <cell r="Z40" t="str">
            <v>1902</v>
          </cell>
          <cell r="AA40" t="str">
            <v>1100108189</v>
          </cell>
          <cell r="AB40">
            <v>62523</v>
          </cell>
          <cell r="AC40" t="str">
            <v/>
          </cell>
          <cell r="AD40">
            <v>15.44</v>
          </cell>
          <cell r="AE40" t="str">
            <v>G0552-221228-352-4</v>
          </cell>
        </row>
        <row r="41">
          <cell r="B41" t="str">
            <v>7101040724</v>
          </cell>
          <cell r="C41" t="str">
            <v>G2301-7002</v>
          </cell>
          <cell r="D41" t="str">
            <v>000042944288002564</v>
          </cell>
          <cell r="E41" t="str">
            <v>自锁螺母</v>
          </cell>
          <cell r="F41" t="str">
            <v>S18.4.0204</v>
          </cell>
          <cell r="G41" t="str">
            <v>-</v>
          </cell>
          <cell r="H41" t="str">
            <v>27-35HRC</v>
          </cell>
          <cell r="I41" t="str">
            <v>Ep·Cd5-8·c2C</v>
          </cell>
          <cell r="J41" t="str">
            <v>30CrMnSiA</v>
          </cell>
          <cell r="K41">
            <v>5260</v>
          </cell>
          <cell r="L41">
            <v>45985</v>
          </cell>
          <cell r="M41" t="str">
            <v>0-初始未打印</v>
          </cell>
        </row>
        <row r="41">
          <cell r="O41">
            <v>0</v>
          </cell>
          <cell r="P41" t="str">
            <v>中国航发航空科技股份有限公司</v>
          </cell>
          <cell r="Q41" t="str">
            <v>210</v>
          </cell>
        </row>
        <row r="41">
          <cell r="U41" t="str">
            <v/>
          </cell>
          <cell r="V41" t="str">
            <v/>
          </cell>
          <cell r="W41" t="str">
            <v/>
          </cell>
          <cell r="X41" t="str">
            <v>XH-000/CP-26-2-1-1</v>
          </cell>
          <cell r="Y41" t="str">
            <v/>
          </cell>
          <cell r="Z41" t="str">
            <v>1902</v>
          </cell>
          <cell r="AA41" t="str">
            <v>1100108189</v>
          </cell>
          <cell r="AB41">
            <v>62523</v>
          </cell>
          <cell r="AC41" t="str">
            <v/>
          </cell>
          <cell r="AD41">
            <v>15.44</v>
          </cell>
          <cell r="AE41" t="str">
            <v>G0552-221228-352-4</v>
          </cell>
        </row>
        <row r="42">
          <cell r="B42" t="str">
            <v>7101040725</v>
          </cell>
          <cell r="C42" t="str">
            <v>G2301-7003</v>
          </cell>
          <cell r="D42" t="str">
            <v>000042944288002564</v>
          </cell>
          <cell r="E42" t="str">
            <v>自锁螺母</v>
          </cell>
          <cell r="F42" t="str">
            <v>S18.4.0204</v>
          </cell>
          <cell r="G42" t="str">
            <v>-</v>
          </cell>
          <cell r="H42" t="str">
            <v>27-35HRC</v>
          </cell>
          <cell r="I42" t="str">
            <v>Ep·Cd5-8·c2C</v>
          </cell>
          <cell r="J42" t="str">
            <v>30CrMnSiA</v>
          </cell>
          <cell r="K42">
            <v>4650</v>
          </cell>
          <cell r="L42">
            <v>45985</v>
          </cell>
          <cell r="M42" t="str">
            <v>0-初始未打印</v>
          </cell>
        </row>
        <row r="42">
          <cell r="O42">
            <v>0</v>
          </cell>
          <cell r="P42" t="str">
            <v>中国航发航空科技股份有限公司</v>
          </cell>
          <cell r="Q42" t="str">
            <v>210</v>
          </cell>
        </row>
        <row r="42">
          <cell r="U42" t="str">
            <v/>
          </cell>
          <cell r="V42" t="str">
            <v/>
          </cell>
          <cell r="W42" t="str">
            <v/>
          </cell>
          <cell r="X42" t="str">
            <v>XH-000/CP-26-5-4-3</v>
          </cell>
          <cell r="Y42" t="str">
            <v/>
          </cell>
          <cell r="Z42" t="str">
            <v>1902</v>
          </cell>
          <cell r="AA42" t="str">
            <v>1100108189</v>
          </cell>
          <cell r="AB42">
            <v>62523</v>
          </cell>
          <cell r="AC42" t="str">
            <v/>
          </cell>
          <cell r="AD42">
            <v>15.44</v>
          </cell>
          <cell r="AE42" t="str">
            <v>G0552-221228-352-4</v>
          </cell>
        </row>
        <row r="43">
          <cell r="B43" t="str">
            <v>7101040726</v>
          </cell>
          <cell r="C43" t="str">
            <v>G2301-7004</v>
          </cell>
          <cell r="D43" t="str">
            <v>000042944288002564</v>
          </cell>
          <cell r="E43" t="str">
            <v>自锁螺母</v>
          </cell>
          <cell r="F43" t="str">
            <v>S18.4.0204</v>
          </cell>
          <cell r="G43" t="str">
            <v>-</v>
          </cell>
          <cell r="H43" t="str">
            <v>27-35HRC</v>
          </cell>
          <cell r="I43" t="str">
            <v>Ep·Cd5-8·c2C</v>
          </cell>
          <cell r="J43" t="str">
            <v>30CrMnSiA</v>
          </cell>
          <cell r="K43">
            <v>4130</v>
          </cell>
          <cell r="L43">
            <v>45985</v>
          </cell>
          <cell r="M43" t="str">
            <v>0-初始未打印</v>
          </cell>
        </row>
        <row r="43">
          <cell r="O43">
            <v>0</v>
          </cell>
          <cell r="P43" t="str">
            <v>中国航发航空科技股份有限公司</v>
          </cell>
          <cell r="Q43" t="str">
            <v>210</v>
          </cell>
        </row>
        <row r="43">
          <cell r="U43" t="str">
            <v/>
          </cell>
          <cell r="V43" t="str">
            <v/>
          </cell>
          <cell r="W43" t="str">
            <v/>
          </cell>
          <cell r="X43" t="str">
            <v>XH-000/CP-26-5-3-3</v>
          </cell>
          <cell r="Y43" t="str">
            <v/>
          </cell>
          <cell r="Z43" t="str">
            <v>1902</v>
          </cell>
          <cell r="AA43" t="str">
            <v>1100108189</v>
          </cell>
          <cell r="AB43">
            <v>62523</v>
          </cell>
          <cell r="AC43" t="str">
            <v/>
          </cell>
          <cell r="AD43">
            <v>15.44</v>
          </cell>
          <cell r="AE43" t="str">
            <v>G0552-221228-352-4</v>
          </cell>
        </row>
        <row r="44">
          <cell r="B44" t="str">
            <v>7101040727</v>
          </cell>
          <cell r="C44" t="str">
            <v>G2301-7005</v>
          </cell>
          <cell r="D44" t="str">
            <v>000042944288002564</v>
          </cell>
          <cell r="E44" t="str">
            <v>自锁螺母</v>
          </cell>
          <cell r="F44" t="str">
            <v>S18.4.0204</v>
          </cell>
          <cell r="G44" t="str">
            <v>-</v>
          </cell>
          <cell r="H44" t="str">
            <v>27-35HRC</v>
          </cell>
          <cell r="I44" t="str">
            <v>Ep·Cd5-8·c2C</v>
          </cell>
          <cell r="J44" t="str">
            <v>30CrMnSiA</v>
          </cell>
          <cell r="K44">
            <v>4790</v>
          </cell>
          <cell r="L44">
            <v>45985</v>
          </cell>
          <cell r="M44" t="str">
            <v>0-初始未打印</v>
          </cell>
        </row>
        <row r="44">
          <cell r="O44">
            <v>0</v>
          </cell>
          <cell r="P44" t="str">
            <v>中国航发航空科技股份有限公司</v>
          </cell>
          <cell r="Q44" t="str">
            <v>210</v>
          </cell>
        </row>
        <row r="44">
          <cell r="U44" t="str">
            <v/>
          </cell>
          <cell r="V44" t="str">
            <v/>
          </cell>
          <cell r="W44" t="str">
            <v/>
          </cell>
          <cell r="X44" t="str">
            <v>XH-000/CP-26-5-4-6</v>
          </cell>
          <cell r="Y44" t="str">
            <v/>
          </cell>
          <cell r="Z44" t="str">
            <v>1902</v>
          </cell>
          <cell r="AA44" t="str">
            <v>1100108189</v>
          </cell>
          <cell r="AB44">
            <v>62523</v>
          </cell>
          <cell r="AC44" t="str">
            <v/>
          </cell>
          <cell r="AD44">
            <v>15.44</v>
          </cell>
          <cell r="AE44" t="str">
            <v>G0552-221228-352-4</v>
          </cell>
        </row>
        <row r="45">
          <cell r="B45" t="str">
            <v>7101040744</v>
          </cell>
          <cell r="C45" t="str">
            <v>G2301-7007</v>
          </cell>
          <cell r="D45" t="str">
            <v>000042944288002564</v>
          </cell>
          <cell r="E45" t="str">
            <v>自锁螺母</v>
          </cell>
          <cell r="F45" t="str">
            <v>S18.4.0204</v>
          </cell>
          <cell r="G45" t="str">
            <v>-</v>
          </cell>
          <cell r="H45" t="str">
            <v>27-35HRC</v>
          </cell>
          <cell r="I45" t="str">
            <v>Ep·Cd5-8·c2C</v>
          </cell>
          <cell r="J45" t="str">
            <v>30CrMnSiA</v>
          </cell>
          <cell r="K45">
            <v>4736</v>
          </cell>
          <cell r="L45">
            <v>45985</v>
          </cell>
          <cell r="M45" t="str">
            <v>0-初始未打印</v>
          </cell>
        </row>
        <row r="45">
          <cell r="O45">
            <v>0</v>
          </cell>
          <cell r="P45" t="str">
            <v>中国航发航空科技股份有限公司</v>
          </cell>
          <cell r="Q45" t="str">
            <v>210</v>
          </cell>
        </row>
        <row r="45">
          <cell r="U45" t="str">
            <v/>
          </cell>
          <cell r="V45" t="str">
            <v/>
          </cell>
          <cell r="W45" t="str">
            <v/>
          </cell>
          <cell r="X45" t="str">
            <v>XH-000/CP-26-3-4-5</v>
          </cell>
          <cell r="Y45" t="str">
            <v/>
          </cell>
          <cell r="Z45" t="str">
            <v>1902</v>
          </cell>
          <cell r="AA45" t="str">
            <v>1100108189</v>
          </cell>
          <cell r="AB45">
            <v>62523</v>
          </cell>
          <cell r="AC45" t="str">
            <v/>
          </cell>
          <cell r="AD45">
            <v>15.44</v>
          </cell>
          <cell r="AE45" t="str">
            <v>G0552-221228-352-4</v>
          </cell>
        </row>
        <row r="46">
          <cell r="B46" t="str">
            <v>7101040745</v>
          </cell>
          <cell r="C46" t="str">
            <v>G2301-7009</v>
          </cell>
          <cell r="D46" t="str">
            <v>000042944288002564</v>
          </cell>
          <cell r="E46" t="str">
            <v>自锁螺母</v>
          </cell>
          <cell r="F46" t="str">
            <v>S18.4.0204</v>
          </cell>
          <cell r="G46" t="str">
            <v>-</v>
          </cell>
          <cell r="H46" t="str">
            <v>27-35HRC</v>
          </cell>
          <cell r="I46" t="str">
            <v>Ep·Cd5-8·c2C</v>
          </cell>
          <cell r="J46" t="str">
            <v>30CrMnSiA</v>
          </cell>
          <cell r="K46">
            <v>5586</v>
          </cell>
          <cell r="L46">
            <v>45985</v>
          </cell>
          <cell r="M46" t="str">
            <v>0-初始未打印</v>
          </cell>
        </row>
        <row r="46">
          <cell r="O46">
            <v>0</v>
          </cell>
          <cell r="P46" t="str">
            <v>中国航发航空科技股份有限公司</v>
          </cell>
          <cell r="Q46" t="str">
            <v>210</v>
          </cell>
        </row>
        <row r="46">
          <cell r="U46" t="str">
            <v/>
          </cell>
          <cell r="V46" t="str">
            <v/>
          </cell>
          <cell r="W46" t="str">
            <v/>
          </cell>
          <cell r="X46" t="str">
            <v>XH-000/CP-26-4-4-1</v>
          </cell>
          <cell r="Y46" t="str">
            <v/>
          </cell>
          <cell r="Z46" t="str">
            <v>1902</v>
          </cell>
          <cell r="AA46" t="str">
            <v>1100108189</v>
          </cell>
          <cell r="AB46">
            <v>62523</v>
          </cell>
          <cell r="AC46" t="str">
            <v/>
          </cell>
          <cell r="AD46">
            <v>15.44</v>
          </cell>
          <cell r="AE46" t="str">
            <v>G0552-221228-352-4</v>
          </cell>
        </row>
        <row r="47">
          <cell r="B47" t="str">
            <v>7101040746</v>
          </cell>
          <cell r="C47" t="str">
            <v>G2301-7010</v>
          </cell>
          <cell r="D47" t="str">
            <v>000042944288002564</v>
          </cell>
          <cell r="E47" t="str">
            <v>自锁螺母</v>
          </cell>
          <cell r="F47" t="str">
            <v>S18.4.0204</v>
          </cell>
          <cell r="G47" t="str">
            <v>-</v>
          </cell>
          <cell r="H47" t="str">
            <v>27-35HRC</v>
          </cell>
          <cell r="I47" t="str">
            <v>Ep·Cd5-8·c2C</v>
          </cell>
          <cell r="J47" t="str">
            <v>30CrMnSiA</v>
          </cell>
          <cell r="K47">
            <v>383</v>
          </cell>
          <cell r="L47">
            <v>45985</v>
          </cell>
          <cell r="M47" t="str">
            <v>0-初始未打印</v>
          </cell>
        </row>
        <row r="47">
          <cell r="O47">
            <v>0</v>
          </cell>
          <cell r="P47" t="str">
            <v>中国航发航空科技股份有限公司</v>
          </cell>
          <cell r="Q47" t="str">
            <v>210</v>
          </cell>
        </row>
        <row r="47">
          <cell r="U47" t="str">
            <v/>
          </cell>
          <cell r="V47" t="str">
            <v/>
          </cell>
          <cell r="W47" t="str">
            <v/>
          </cell>
          <cell r="X47" t="str">
            <v>XH-000</v>
          </cell>
          <cell r="Y47" t="str">
            <v/>
          </cell>
          <cell r="Z47" t="str">
            <v>1902</v>
          </cell>
          <cell r="AA47" t="str">
            <v>1100108189</v>
          </cell>
          <cell r="AB47">
            <v>62523</v>
          </cell>
          <cell r="AC47" t="str">
            <v/>
          </cell>
          <cell r="AD47">
            <v>15.44</v>
          </cell>
          <cell r="AE47" t="str">
            <v>G0552-221228-352-4</v>
          </cell>
        </row>
        <row r="48">
          <cell r="B48" t="str">
            <v>7101040747</v>
          </cell>
          <cell r="C48" t="str">
            <v>G2301-7011</v>
          </cell>
          <cell r="D48" t="str">
            <v>000042944288002564</v>
          </cell>
          <cell r="E48" t="str">
            <v>自锁螺母</v>
          </cell>
          <cell r="F48" t="str">
            <v>S18.4.0204</v>
          </cell>
          <cell r="G48" t="str">
            <v>-</v>
          </cell>
          <cell r="H48" t="str">
            <v>27-35HRC</v>
          </cell>
          <cell r="I48" t="str">
            <v>Ep·Cd5-8·c2C</v>
          </cell>
          <cell r="J48" t="str">
            <v>30CrMnSiA</v>
          </cell>
          <cell r="K48">
            <v>4991</v>
          </cell>
          <cell r="L48">
            <v>45985</v>
          </cell>
          <cell r="M48" t="str">
            <v>0-初始未打印</v>
          </cell>
        </row>
        <row r="48">
          <cell r="O48">
            <v>0</v>
          </cell>
          <cell r="P48" t="str">
            <v>中国航发航空科技股份有限公司</v>
          </cell>
          <cell r="Q48" t="str">
            <v>210</v>
          </cell>
        </row>
        <row r="48">
          <cell r="U48" t="str">
            <v/>
          </cell>
          <cell r="V48" t="str">
            <v/>
          </cell>
          <cell r="W48" t="str">
            <v/>
          </cell>
          <cell r="X48" t="str">
            <v>XH-000/CP-26-5-3-1</v>
          </cell>
          <cell r="Y48" t="str">
            <v/>
          </cell>
          <cell r="Z48" t="str">
            <v>1902</v>
          </cell>
          <cell r="AA48" t="str">
            <v>1100108189</v>
          </cell>
          <cell r="AB48">
            <v>62523</v>
          </cell>
          <cell r="AC48" t="str">
            <v/>
          </cell>
          <cell r="AD48">
            <v>15.44</v>
          </cell>
          <cell r="AE48" t="str">
            <v>G0552-221228-352-4</v>
          </cell>
        </row>
        <row r="49">
          <cell r="B49" t="str">
            <v>7101040748</v>
          </cell>
          <cell r="C49" t="str">
            <v>G2301-7012</v>
          </cell>
          <cell r="D49" t="str">
            <v>000042944288002564</v>
          </cell>
          <cell r="E49" t="str">
            <v>自锁螺母</v>
          </cell>
          <cell r="F49" t="str">
            <v>S18.4.0204</v>
          </cell>
          <cell r="G49" t="str">
            <v>-</v>
          </cell>
          <cell r="H49" t="str">
            <v>27-35HRC</v>
          </cell>
          <cell r="I49" t="str">
            <v>Ep·Cd5-8·c2C</v>
          </cell>
          <cell r="J49" t="str">
            <v>30CrMnSiA</v>
          </cell>
          <cell r="K49">
            <v>4835</v>
          </cell>
          <cell r="L49">
            <v>45985</v>
          </cell>
          <cell r="M49" t="str">
            <v>0-初始未打印</v>
          </cell>
        </row>
        <row r="49">
          <cell r="O49">
            <v>0</v>
          </cell>
          <cell r="P49" t="str">
            <v>中国航发航空科技股份有限公司</v>
          </cell>
          <cell r="Q49" t="str">
            <v>210</v>
          </cell>
        </row>
        <row r="49">
          <cell r="U49" t="str">
            <v/>
          </cell>
          <cell r="V49" t="str">
            <v/>
          </cell>
          <cell r="W49" t="str">
            <v/>
          </cell>
          <cell r="X49" t="str">
            <v>XH-000/CP-26-5-3-2/3</v>
          </cell>
          <cell r="Y49" t="str">
            <v/>
          </cell>
          <cell r="Z49" t="str">
            <v>1902</v>
          </cell>
          <cell r="AA49" t="str">
            <v>1100108189</v>
          </cell>
          <cell r="AB49">
            <v>62523</v>
          </cell>
          <cell r="AC49" t="str">
            <v/>
          </cell>
          <cell r="AD49">
            <v>15.44</v>
          </cell>
          <cell r="AE49" t="str">
            <v>G0552-221228-352-4</v>
          </cell>
        </row>
        <row r="50">
          <cell r="B50" t="str">
            <v>7101040781</v>
          </cell>
          <cell r="C50" t="str">
            <v>G2301-7013</v>
          </cell>
          <cell r="D50" t="str">
            <v>000042944288002564</v>
          </cell>
          <cell r="E50" t="str">
            <v>自锁螺母</v>
          </cell>
          <cell r="F50" t="str">
            <v>S18.4.0204</v>
          </cell>
          <cell r="G50" t="str">
            <v>-</v>
          </cell>
          <cell r="H50" t="str">
            <v>27-35HRC</v>
          </cell>
          <cell r="I50" t="str">
            <v>Ep·Cd5-8·c2C</v>
          </cell>
          <cell r="J50" t="str">
            <v>30CrMnSiA</v>
          </cell>
          <cell r="K50">
            <v>3620</v>
          </cell>
          <cell r="L50">
            <v>45985</v>
          </cell>
          <cell r="M50" t="str">
            <v>0-初始未打印</v>
          </cell>
        </row>
        <row r="50">
          <cell r="O50">
            <v>0</v>
          </cell>
          <cell r="P50" t="str">
            <v>中国航发航空科技股份有限公司</v>
          </cell>
          <cell r="Q50" t="str">
            <v>210</v>
          </cell>
        </row>
        <row r="50">
          <cell r="U50" t="str">
            <v/>
          </cell>
          <cell r="V50" t="str">
            <v/>
          </cell>
          <cell r="W50" t="str">
            <v/>
          </cell>
          <cell r="X50" t="str">
            <v>XH-000</v>
          </cell>
          <cell r="Y50" t="str">
            <v/>
          </cell>
          <cell r="Z50" t="str">
            <v>1902</v>
          </cell>
          <cell r="AA50" t="str">
            <v>1100108189</v>
          </cell>
          <cell r="AB50">
            <v>62523</v>
          </cell>
          <cell r="AC50" t="str">
            <v/>
          </cell>
          <cell r="AD50">
            <v>15.44</v>
          </cell>
          <cell r="AE50" t="str">
            <v>G0552-221228-352-4</v>
          </cell>
        </row>
        <row r="51">
          <cell r="B51" t="str">
            <v>7101040785</v>
          </cell>
          <cell r="C51" t="str">
            <v>G2301-7004</v>
          </cell>
          <cell r="D51" t="str">
            <v>000042944288002564</v>
          </cell>
          <cell r="E51" t="str">
            <v>自锁螺母</v>
          </cell>
          <cell r="F51" t="str">
            <v>S18.4.0204</v>
          </cell>
          <cell r="G51" t="str">
            <v>-</v>
          </cell>
          <cell r="H51" t="str">
            <v>27-35HRC</v>
          </cell>
          <cell r="I51" t="str">
            <v>Ep·Cd5-8·c2C</v>
          </cell>
          <cell r="J51" t="str">
            <v>30CrMnSiA</v>
          </cell>
          <cell r="K51">
            <v>2</v>
          </cell>
          <cell r="L51">
            <v>45985</v>
          </cell>
          <cell r="M51" t="str">
            <v>0-初始未打印</v>
          </cell>
        </row>
        <row r="51">
          <cell r="O51">
            <v>0</v>
          </cell>
          <cell r="P51" t="str">
            <v>中国航发航空科技股份有限公司</v>
          </cell>
          <cell r="Q51" t="str">
            <v>210</v>
          </cell>
        </row>
        <row r="51">
          <cell r="U51" t="str">
            <v/>
          </cell>
          <cell r="V51" t="str">
            <v/>
          </cell>
          <cell r="W51" t="str">
            <v/>
          </cell>
          <cell r="X51" t="str">
            <v>XH-000/CP-26-5-3-3</v>
          </cell>
          <cell r="Y51" t="str">
            <v/>
          </cell>
          <cell r="Z51" t="str">
            <v>1902</v>
          </cell>
          <cell r="AA51" t="str">
            <v>1100108189</v>
          </cell>
          <cell r="AB51">
            <v>62523</v>
          </cell>
          <cell r="AC51" t="str">
            <v/>
          </cell>
          <cell r="AD51">
            <v>15.44</v>
          </cell>
          <cell r="AE51" t="str">
            <v>G0552-221228-352-4</v>
          </cell>
        </row>
        <row r="52">
          <cell r="B52" t="str">
            <v>7101040786</v>
          </cell>
          <cell r="C52" t="str">
            <v>G2301-7050</v>
          </cell>
          <cell r="D52" t="str">
            <v>000042944288002565</v>
          </cell>
          <cell r="E52" t="str">
            <v>自锁螺母</v>
          </cell>
          <cell r="F52" t="str">
            <v>S18.4.0205</v>
          </cell>
          <cell r="G52" t="str">
            <v>-</v>
          </cell>
          <cell r="H52" t="str">
            <v>27-35HRC</v>
          </cell>
          <cell r="I52" t="str">
            <v>Ep·Cd5-8·c2C</v>
          </cell>
          <cell r="J52" t="str">
            <v>30CrMnSiA</v>
          </cell>
          <cell r="K52">
            <v>4626</v>
          </cell>
          <cell r="L52">
            <v>45985</v>
          </cell>
          <cell r="M52" t="str">
            <v>0-初始未打印</v>
          </cell>
        </row>
        <row r="52">
          <cell r="O52">
            <v>0</v>
          </cell>
          <cell r="P52" t="str">
            <v>中国航发航空科技股份有限公司</v>
          </cell>
          <cell r="Q52" t="str">
            <v>220</v>
          </cell>
        </row>
        <row r="52">
          <cell r="U52" t="str">
            <v/>
          </cell>
          <cell r="V52" t="str">
            <v/>
          </cell>
          <cell r="W52" t="str">
            <v/>
          </cell>
          <cell r="X52" t="str">
            <v>XH-000/CP-26-5-3-2</v>
          </cell>
          <cell r="Y52" t="str">
            <v/>
          </cell>
          <cell r="Z52" t="str">
            <v>1902</v>
          </cell>
          <cell r="AA52" t="str">
            <v>1100108189</v>
          </cell>
          <cell r="AB52">
            <v>78337</v>
          </cell>
          <cell r="AC52" t="str">
            <v/>
          </cell>
          <cell r="AD52">
            <v>16.74</v>
          </cell>
          <cell r="AE52" t="str">
            <v>G0552-221228-352-4</v>
          </cell>
        </row>
        <row r="53">
          <cell r="B53" t="str">
            <v>7101040787</v>
          </cell>
          <cell r="C53" t="str">
            <v>G2301-7051</v>
          </cell>
          <cell r="D53" t="str">
            <v>000042944288002565</v>
          </cell>
          <cell r="E53" t="str">
            <v>自锁螺母</v>
          </cell>
          <cell r="F53" t="str">
            <v>S18.4.0205</v>
          </cell>
          <cell r="G53" t="str">
            <v>-</v>
          </cell>
          <cell r="H53" t="str">
            <v>27-35HRC</v>
          </cell>
          <cell r="I53" t="str">
            <v>Ep·Cd5-8·c2C</v>
          </cell>
          <cell r="J53" t="str">
            <v>30CrMnSiA</v>
          </cell>
          <cell r="K53">
            <v>4885</v>
          </cell>
          <cell r="L53">
            <v>45985</v>
          </cell>
          <cell r="M53" t="str">
            <v>0-初始未打印</v>
          </cell>
        </row>
        <row r="53">
          <cell r="O53">
            <v>0</v>
          </cell>
          <cell r="P53" t="str">
            <v>中国航发航空科技股份有限公司</v>
          </cell>
          <cell r="Q53" t="str">
            <v>220</v>
          </cell>
        </row>
        <row r="53">
          <cell r="U53" t="str">
            <v/>
          </cell>
          <cell r="V53" t="str">
            <v/>
          </cell>
          <cell r="W53" t="str">
            <v/>
          </cell>
          <cell r="X53" t="str">
            <v>XH-000/CP-26-5-3-5</v>
          </cell>
          <cell r="Y53" t="str">
            <v/>
          </cell>
          <cell r="Z53" t="str">
            <v>1902</v>
          </cell>
          <cell r="AA53" t="str">
            <v>1100108189</v>
          </cell>
          <cell r="AB53">
            <v>78337</v>
          </cell>
          <cell r="AC53" t="str">
            <v/>
          </cell>
          <cell r="AD53">
            <v>16.74</v>
          </cell>
          <cell r="AE53" t="str">
            <v>G0552-221228-352-4</v>
          </cell>
        </row>
        <row r="54">
          <cell r="B54" t="str">
            <v>7101040788</v>
          </cell>
          <cell r="C54" t="str">
            <v>G2302-7124</v>
          </cell>
          <cell r="D54" t="str">
            <v>000042944288002565</v>
          </cell>
          <cell r="E54" t="str">
            <v>自锁螺母</v>
          </cell>
          <cell r="F54" t="str">
            <v>S18.4.0205</v>
          </cell>
          <cell r="G54" t="str">
            <v>-</v>
          </cell>
          <cell r="H54" t="str">
            <v>27-35HRC</v>
          </cell>
          <cell r="I54" t="str">
            <v>Ep·Cd5-8·c2C</v>
          </cell>
          <cell r="J54" t="str">
            <v>30CrMnSiA</v>
          </cell>
          <cell r="K54">
            <v>3737</v>
          </cell>
          <cell r="L54">
            <v>45985</v>
          </cell>
          <cell r="M54" t="str">
            <v>0-初始未打印</v>
          </cell>
        </row>
        <row r="54">
          <cell r="O54">
            <v>0</v>
          </cell>
          <cell r="P54" t="str">
            <v>中国航发航空科技股份有限公司</v>
          </cell>
          <cell r="Q54" t="str">
            <v>220</v>
          </cell>
        </row>
        <row r="54">
          <cell r="U54" t="str">
            <v/>
          </cell>
          <cell r="V54" t="str">
            <v/>
          </cell>
          <cell r="W54" t="str">
            <v/>
          </cell>
          <cell r="X54" t="str">
            <v>XH-000/CP-26-3-1-6</v>
          </cell>
          <cell r="Y54" t="str">
            <v/>
          </cell>
          <cell r="Z54" t="str">
            <v>1902</v>
          </cell>
          <cell r="AA54" t="str">
            <v>1100108189</v>
          </cell>
          <cell r="AB54">
            <v>78337</v>
          </cell>
          <cell r="AC54" t="str">
            <v/>
          </cell>
          <cell r="AD54">
            <v>16.74</v>
          </cell>
          <cell r="AE54" t="str">
            <v>G0552-221228-352-4</v>
          </cell>
        </row>
        <row r="55">
          <cell r="B55" t="str">
            <v>7101040789</v>
          </cell>
          <cell r="C55" t="str">
            <v>G2301-7057</v>
          </cell>
          <cell r="D55" t="str">
            <v>000042944288002566</v>
          </cell>
          <cell r="E55" t="str">
            <v>自锁螺母</v>
          </cell>
          <cell r="F55" t="str">
            <v>S18.4.0206</v>
          </cell>
          <cell r="G55" t="str">
            <v>-</v>
          </cell>
          <cell r="H55" t="str">
            <v>27-35HRC</v>
          </cell>
          <cell r="I55" t="str">
            <v>Ep·Cd5-8·c2C</v>
          </cell>
          <cell r="J55" t="str">
            <v>30CrMnSiA</v>
          </cell>
          <cell r="K55">
            <v>5103</v>
          </cell>
          <cell r="L55">
            <v>45986</v>
          </cell>
          <cell r="M55" t="str">
            <v>0-初始未打印</v>
          </cell>
        </row>
        <row r="55">
          <cell r="O55">
            <v>0</v>
          </cell>
          <cell r="P55" t="str">
            <v>中国航发航空科技股份有限公司</v>
          </cell>
          <cell r="Q55" t="str">
            <v>230</v>
          </cell>
        </row>
        <row r="55">
          <cell r="U55" t="str">
            <v/>
          </cell>
          <cell r="V55" t="str">
            <v/>
          </cell>
          <cell r="W55" t="str">
            <v/>
          </cell>
          <cell r="X55" t="str">
            <v>XH-000/CP-K10-5-1-1</v>
          </cell>
          <cell r="Y55" t="str">
            <v/>
          </cell>
          <cell r="Z55" t="str">
            <v>1902</v>
          </cell>
          <cell r="AA55" t="str">
            <v>1100108189</v>
          </cell>
          <cell r="AB55">
            <v>5103</v>
          </cell>
          <cell r="AC55" t="str">
            <v/>
          </cell>
          <cell r="AD55">
            <v>16.61</v>
          </cell>
          <cell r="AE55" t="str">
            <v>G0552-221228-352-4</v>
          </cell>
        </row>
        <row r="56">
          <cell r="B56" t="str">
            <v>7101040790</v>
          </cell>
          <cell r="C56" t="str">
            <v>G2305-0285</v>
          </cell>
          <cell r="D56" t="str">
            <v>000042944288002568</v>
          </cell>
          <cell r="E56" t="str">
            <v>自锁螺母</v>
          </cell>
          <cell r="F56" t="str">
            <v>S18.4.0208</v>
          </cell>
          <cell r="G56" t="str">
            <v>-</v>
          </cell>
          <cell r="H56" t="str">
            <v>27-35HRC</v>
          </cell>
          <cell r="I56" t="str">
            <v>Ep·Cd3-5·c2C</v>
          </cell>
          <cell r="J56" t="str">
            <v>ML16CrSiNi</v>
          </cell>
          <cell r="K56">
            <v>1532</v>
          </cell>
          <cell r="L56">
            <v>45986</v>
          </cell>
          <cell r="M56" t="str">
            <v>0-初始未打印</v>
          </cell>
        </row>
        <row r="56">
          <cell r="O56">
            <v>0</v>
          </cell>
          <cell r="P56" t="str">
            <v>中国航发航空科技股份有限公司</v>
          </cell>
          <cell r="Q56" t="str">
            <v>250</v>
          </cell>
        </row>
        <row r="56">
          <cell r="U56" t="str">
            <v>010000598526</v>
          </cell>
          <cell r="V56" t="str">
            <v/>
          </cell>
          <cell r="W56" t="str">
            <v/>
          </cell>
          <cell r="X56" t="str">
            <v>CP-108-A/CP-26-4-1-5</v>
          </cell>
          <cell r="Y56" t="str">
            <v/>
          </cell>
          <cell r="Z56" t="str">
            <v>1902</v>
          </cell>
          <cell r="AA56" t="str">
            <v>1100108189</v>
          </cell>
          <cell r="AB56">
            <v>4568</v>
          </cell>
          <cell r="AC56" t="str">
            <v/>
          </cell>
          <cell r="AD56">
            <v>6.98</v>
          </cell>
          <cell r="AE56" t="str">
            <v>G0552-221228-352-4</v>
          </cell>
        </row>
        <row r="57">
          <cell r="B57" t="str">
            <v>7101040801</v>
          </cell>
          <cell r="C57" t="str">
            <v>G2209-0663</v>
          </cell>
          <cell r="D57" t="str">
            <v>000042944288002569</v>
          </cell>
          <cell r="E57" t="str">
            <v>自锁螺母</v>
          </cell>
          <cell r="F57" t="str">
            <v>S18.4.0209</v>
          </cell>
          <cell r="G57" t="str">
            <v>-</v>
          </cell>
          <cell r="H57" t="str">
            <v>27-35HRC</v>
          </cell>
          <cell r="I57" t="str">
            <v>Ep·Cd5-8·c2C</v>
          </cell>
          <cell r="J57" t="str">
            <v>ML16CrSiNi</v>
          </cell>
          <cell r="K57">
            <v>5205</v>
          </cell>
          <cell r="L57">
            <v>45986</v>
          </cell>
          <cell r="M57" t="str">
            <v>0-初始未打印</v>
          </cell>
        </row>
        <row r="57">
          <cell r="O57">
            <v>0</v>
          </cell>
          <cell r="P57" t="str">
            <v>中国航发航空科技股份有限公司</v>
          </cell>
          <cell r="Q57" t="str">
            <v>260</v>
          </cell>
        </row>
        <row r="57">
          <cell r="U57" t="str">
            <v>010000525635</v>
          </cell>
          <cell r="V57" t="str">
            <v/>
          </cell>
          <cell r="W57" t="str">
            <v/>
          </cell>
          <cell r="X57" t="str">
            <v>CP-108-A/CP-26-5-3-4</v>
          </cell>
          <cell r="Y57" t="str">
            <v/>
          </cell>
          <cell r="Z57" t="str">
            <v>1902</v>
          </cell>
          <cell r="AA57" t="str">
            <v>1100108189</v>
          </cell>
          <cell r="AB57">
            <v>8507</v>
          </cell>
          <cell r="AC57" t="str">
            <v/>
          </cell>
          <cell r="AD57">
            <v>8.93</v>
          </cell>
          <cell r="AE57" t="str">
            <v>G0552-221228-352-4</v>
          </cell>
        </row>
        <row r="58">
          <cell r="B58" t="str">
            <v>7101040803</v>
          </cell>
          <cell r="C58" t="str">
            <v>G2301-1335</v>
          </cell>
          <cell r="D58" t="str">
            <v>000042944288002569</v>
          </cell>
          <cell r="E58" t="str">
            <v>自锁螺母</v>
          </cell>
          <cell r="F58" t="str">
            <v>S18.4.0209</v>
          </cell>
          <cell r="G58" t="str">
            <v>-</v>
          </cell>
          <cell r="H58" t="str">
            <v>27-35HRC</v>
          </cell>
          <cell r="I58" t="str">
            <v>Ep·Cd5-8·c2C</v>
          </cell>
          <cell r="J58" t="str">
            <v>ML16CrSiNi</v>
          </cell>
          <cell r="K58">
            <v>3302</v>
          </cell>
          <cell r="L58">
            <v>45986</v>
          </cell>
          <cell r="M58" t="str">
            <v>0-初始未打印</v>
          </cell>
        </row>
        <row r="58">
          <cell r="O58">
            <v>0</v>
          </cell>
          <cell r="P58" t="str">
            <v>中国航发航空科技股份有限公司</v>
          </cell>
          <cell r="Q58" t="str">
            <v>260</v>
          </cell>
        </row>
        <row r="58">
          <cell r="U58" t="str">
            <v>010000565271</v>
          </cell>
          <cell r="V58" t="str">
            <v/>
          </cell>
          <cell r="W58" t="str">
            <v/>
          </cell>
          <cell r="X58" t="str">
            <v>CP-108-A/CP-26-3-3-6</v>
          </cell>
          <cell r="Y58" t="str">
            <v/>
          </cell>
          <cell r="Z58" t="str">
            <v>1902</v>
          </cell>
          <cell r="AA58" t="str">
            <v>1100108189</v>
          </cell>
          <cell r="AB58">
            <v>8507</v>
          </cell>
          <cell r="AC58" t="str">
            <v/>
          </cell>
          <cell r="AD58">
            <v>8.93</v>
          </cell>
          <cell r="AE58" t="str">
            <v>G0552-221228-352-4</v>
          </cell>
        </row>
        <row r="59">
          <cell r="B59" t="str">
            <v>7101040806</v>
          </cell>
          <cell r="C59" t="str">
            <v>G2004-6083</v>
          </cell>
          <cell r="D59" t="str">
            <v>000042944999008921</v>
          </cell>
          <cell r="E59" t="str">
            <v>堵帽</v>
          </cell>
          <cell r="F59" t="str">
            <v>S18.6.0101</v>
          </cell>
          <cell r="G59" t="str">
            <v>-</v>
          </cell>
          <cell r="H59" t="str">
            <v>27-35HRC</v>
          </cell>
          <cell r="I59" t="str">
            <v>Ep·Cd5-8·c2C</v>
          </cell>
          <cell r="J59" t="str">
            <v>38CrA</v>
          </cell>
          <cell r="K59">
            <v>2</v>
          </cell>
          <cell r="L59">
            <v>45986</v>
          </cell>
          <cell r="M59" t="str">
            <v>0-初始未打印</v>
          </cell>
        </row>
        <row r="59">
          <cell r="O59">
            <v>0</v>
          </cell>
          <cell r="P59" t="str">
            <v>中国航发航空科技股份有限公司</v>
          </cell>
          <cell r="Q59" t="str">
            <v>330</v>
          </cell>
        </row>
        <row r="59">
          <cell r="U59" t="str">
            <v/>
          </cell>
          <cell r="V59" t="str">
            <v/>
          </cell>
          <cell r="W59" t="str">
            <v/>
          </cell>
          <cell r="X59" t="str">
            <v>CP-26-2-4-4</v>
          </cell>
          <cell r="Y59" t="str">
            <v/>
          </cell>
          <cell r="Z59" t="str">
            <v>1902</v>
          </cell>
          <cell r="AA59" t="str">
            <v>1100108189</v>
          </cell>
          <cell r="AB59">
            <v>400</v>
          </cell>
          <cell r="AC59" t="str">
            <v/>
          </cell>
          <cell r="AD59">
            <v>45.02</v>
          </cell>
          <cell r="AE59" t="str">
            <v>G0552-221228-352-4</v>
          </cell>
        </row>
        <row r="60">
          <cell r="B60" t="str">
            <v>7101040807</v>
          </cell>
          <cell r="C60" t="str">
            <v>G2101-7566</v>
          </cell>
          <cell r="D60" t="str">
            <v>000042944999008921</v>
          </cell>
          <cell r="E60" t="str">
            <v>堵帽</v>
          </cell>
          <cell r="F60" t="str">
            <v>S18.6.0101</v>
          </cell>
          <cell r="G60" t="str">
            <v>-</v>
          </cell>
          <cell r="H60" t="str">
            <v>27-35HRC</v>
          </cell>
          <cell r="I60" t="str">
            <v>Ep·Cd5-8·c2C</v>
          </cell>
          <cell r="J60" t="str">
            <v>38CrA</v>
          </cell>
          <cell r="K60">
            <v>12</v>
          </cell>
          <cell r="L60">
            <v>45986</v>
          </cell>
          <cell r="M60" t="str">
            <v>0-初始未打印</v>
          </cell>
        </row>
        <row r="60">
          <cell r="O60">
            <v>0</v>
          </cell>
          <cell r="P60" t="str">
            <v>中国航发航空科技股份有限公司</v>
          </cell>
          <cell r="Q60" t="str">
            <v>330</v>
          </cell>
        </row>
        <row r="60">
          <cell r="U60" t="str">
            <v/>
          </cell>
          <cell r="V60" t="str">
            <v/>
          </cell>
          <cell r="W60" t="str">
            <v/>
          </cell>
          <cell r="X60" t="str">
            <v>XH-000/CP-26-4-2-1</v>
          </cell>
          <cell r="Y60" t="str">
            <v/>
          </cell>
          <cell r="Z60" t="str">
            <v>1902</v>
          </cell>
          <cell r="AA60" t="str">
            <v>1100108189</v>
          </cell>
          <cell r="AB60">
            <v>400</v>
          </cell>
          <cell r="AC60" t="str">
            <v/>
          </cell>
          <cell r="AD60">
            <v>45.02</v>
          </cell>
          <cell r="AE60" t="str">
            <v>G0552-221228-352-4</v>
          </cell>
        </row>
        <row r="61">
          <cell r="B61" t="str">
            <v>7101040808</v>
          </cell>
          <cell r="C61" t="str">
            <v>G2203-7176</v>
          </cell>
          <cell r="D61" t="str">
            <v>000042944999008921</v>
          </cell>
          <cell r="E61" t="str">
            <v>堵帽</v>
          </cell>
          <cell r="F61" t="str">
            <v>S18.6.0101</v>
          </cell>
          <cell r="G61" t="str">
            <v>-</v>
          </cell>
          <cell r="H61" t="str">
            <v>27-35HRC</v>
          </cell>
          <cell r="I61" t="str">
            <v>Ep·Cd5-8·c2C</v>
          </cell>
          <cell r="J61" t="str">
            <v>38CrA</v>
          </cell>
          <cell r="K61">
            <v>135</v>
          </cell>
          <cell r="L61">
            <v>45986</v>
          </cell>
          <cell r="M61" t="str">
            <v>0-初始未打印</v>
          </cell>
        </row>
        <row r="61">
          <cell r="O61">
            <v>0</v>
          </cell>
          <cell r="P61" t="str">
            <v>中国航发航空科技股份有限公司</v>
          </cell>
          <cell r="Q61" t="str">
            <v>330</v>
          </cell>
        </row>
        <row r="61">
          <cell r="U61" t="str">
            <v/>
          </cell>
          <cell r="V61" t="str">
            <v/>
          </cell>
          <cell r="W61" t="str">
            <v/>
          </cell>
          <cell r="X61" t="str">
            <v>XH-000/CP-26-4-2-1</v>
          </cell>
          <cell r="Y61" t="str">
            <v/>
          </cell>
          <cell r="Z61" t="str">
            <v>1902</v>
          </cell>
          <cell r="AA61" t="str">
            <v>1100108189</v>
          </cell>
          <cell r="AB61">
            <v>400</v>
          </cell>
          <cell r="AC61" t="str">
            <v/>
          </cell>
          <cell r="AD61">
            <v>45.02</v>
          </cell>
          <cell r="AE61" t="str">
            <v>G0552-221228-352-4</v>
          </cell>
        </row>
        <row r="62">
          <cell r="B62" t="str">
            <v>7101040809</v>
          </cell>
          <cell r="C62" t="str">
            <v>G2211-7503</v>
          </cell>
          <cell r="D62" t="str">
            <v>000042944999008921</v>
          </cell>
          <cell r="E62" t="str">
            <v>堵帽</v>
          </cell>
          <cell r="F62" t="str">
            <v>S18.6.0101</v>
          </cell>
          <cell r="G62" t="str">
            <v>-</v>
          </cell>
          <cell r="H62" t="str">
            <v>27-35HRC</v>
          </cell>
          <cell r="I62" t="str">
            <v>Ep·Cd5-8·c2C</v>
          </cell>
          <cell r="J62" t="str">
            <v>38CrA</v>
          </cell>
          <cell r="K62">
            <v>107</v>
          </cell>
          <cell r="L62">
            <v>45986</v>
          </cell>
          <cell r="M62" t="str">
            <v>0-初始未打印</v>
          </cell>
        </row>
        <row r="62">
          <cell r="O62">
            <v>0</v>
          </cell>
          <cell r="P62" t="str">
            <v>中国航发航空科技股份有限公司</v>
          </cell>
          <cell r="Q62" t="str">
            <v>330</v>
          </cell>
        </row>
        <row r="62">
          <cell r="U62" t="str">
            <v/>
          </cell>
          <cell r="V62" t="str">
            <v/>
          </cell>
          <cell r="W62" t="str">
            <v/>
          </cell>
          <cell r="X62" t="str">
            <v>XH-000/CP-26-4-2-1</v>
          </cell>
          <cell r="Y62" t="str">
            <v/>
          </cell>
          <cell r="Z62" t="str">
            <v>1902</v>
          </cell>
          <cell r="AA62" t="str">
            <v>1100108189</v>
          </cell>
          <cell r="AB62">
            <v>400</v>
          </cell>
          <cell r="AC62" t="str">
            <v/>
          </cell>
          <cell r="AD62">
            <v>45.02</v>
          </cell>
          <cell r="AE62" t="str">
            <v>G0552-221228-352-4</v>
          </cell>
        </row>
        <row r="63">
          <cell r="B63" t="str">
            <v>7101040810</v>
          </cell>
          <cell r="C63" t="str">
            <v>G2301-7014</v>
          </cell>
          <cell r="D63" t="str">
            <v>000042944999008921</v>
          </cell>
          <cell r="E63" t="str">
            <v>堵帽</v>
          </cell>
          <cell r="F63" t="str">
            <v>S18.6.0101</v>
          </cell>
          <cell r="G63" t="str">
            <v>-</v>
          </cell>
          <cell r="H63" t="str">
            <v>27-35HRC</v>
          </cell>
          <cell r="I63" t="str">
            <v>Ep·Cd5-8·c2C</v>
          </cell>
          <cell r="J63" t="str">
            <v>38CrA</v>
          </cell>
          <cell r="K63">
            <v>144</v>
          </cell>
          <cell r="L63">
            <v>45986</v>
          </cell>
          <cell r="M63" t="str">
            <v>0-初始未打印</v>
          </cell>
        </row>
        <row r="63">
          <cell r="O63">
            <v>0</v>
          </cell>
          <cell r="P63" t="str">
            <v>中国航发航空科技股份有限公司</v>
          </cell>
          <cell r="Q63" t="str">
            <v>330</v>
          </cell>
        </row>
        <row r="63">
          <cell r="U63" t="str">
            <v/>
          </cell>
          <cell r="V63" t="str">
            <v/>
          </cell>
          <cell r="W63" t="str">
            <v/>
          </cell>
          <cell r="X63" t="str">
            <v>XH-000/CP-26-4-4-6</v>
          </cell>
          <cell r="Y63" t="str">
            <v/>
          </cell>
          <cell r="Z63" t="str">
            <v>1902</v>
          </cell>
          <cell r="AA63" t="str">
            <v>1100108189</v>
          </cell>
          <cell r="AB63">
            <v>400</v>
          </cell>
          <cell r="AC63" t="str">
            <v/>
          </cell>
          <cell r="AD63">
            <v>45.02</v>
          </cell>
          <cell r="AE63" t="str">
            <v>G0552-221228-352-4</v>
          </cell>
        </row>
        <row r="64">
          <cell r="B64" t="str">
            <v>7101040899</v>
          </cell>
          <cell r="C64" t="str">
            <v>G2206-0650</v>
          </cell>
          <cell r="D64" t="str">
            <v>000042944320012577</v>
          </cell>
          <cell r="E64" t="str">
            <v>铆钉</v>
          </cell>
          <cell r="F64" t="str">
            <v>S18.7.0103</v>
          </cell>
          <cell r="G64" t="str">
            <v>-</v>
          </cell>
          <cell r="H64" t="str">
            <v>固溶</v>
          </cell>
          <cell r="I64" t="str">
            <v>Ct·P</v>
          </cell>
          <cell r="J64" t="str">
            <v>ML1Cr18Ni9Ti-R</v>
          </cell>
          <cell r="K64">
            <v>8</v>
          </cell>
          <cell r="L64">
            <v>45986</v>
          </cell>
          <cell r="M64" t="str">
            <v>0-初始未打印</v>
          </cell>
        </row>
        <row r="64">
          <cell r="O64">
            <v>0</v>
          </cell>
          <cell r="P64" t="str">
            <v>中国航发航空科技股份有限公司</v>
          </cell>
          <cell r="Q64" t="str">
            <v>350</v>
          </cell>
        </row>
        <row r="64">
          <cell r="U64" t="str">
            <v>010000497900</v>
          </cell>
          <cell r="V64" t="str">
            <v/>
          </cell>
          <cell r="W64" t="str">
            <v/>
          </cell>
          <cell r="X64" t="str">
            <v>CP-65-3-2-7</v>
          </cell>
          <cell r="Y64" t="str">
            <v/>
          </cell>
          <cell r="Z64" t="str">
            <v>1902</v>
          </cell>
          <cell r="AA64" t="str">
            <v>1100108189</v>
          </cell>
          <cell r="AB64">
            <v>4800</v>
          </cell>
          <cell r="AC64" t="str">
            <v/>
          </cell>
          <cell r="AD64">
            <v>4.61</v>
          </cell>
          <cell r="AE64" t="str">
            <v>G0552-221228-352-4</v>
          </cell>
        </row>
        <row r="65">
          <cell r="B65" t="str">
            <v>7101040900</v>
          </cell>
          <cell r="C65" t="str">
            <v>G2301-0085</v>
          </cell>
          <cell r="D65" t="str">
            <v>000042944320012577</v>
          </cell>
          <cell r="E65" t="str">
            <v>铆钉</v>
          </cell>
          <cell r="F65" t="str">
            <v>S18.7.0103</v>
          </cell>
          <cell r="G65" t="str">
            <v>-</v>
          </cell>
          <cell r="H65" t="str">
            <v>固溶</v>
          </cell>
          <cell r="I65" t="str">
            <v>Ct·P</v>
          </cell>
          <cell r="J65" t="str">
            <v>ML1Cr18Ni9Ti-R</v>
          </cell>
          <cell r="K65">
            <v>3450</v>
          </cell>
          <cell r="L65">
            <v>45986</v>
          </cell>
          <cell r="M65" t="str">
            <v>0-初始未打印</v>
          </cell>
        </row>
        <row r="65">
          <cell r="O65">
            <v>0</v>
          </cell>
          <cell r="P65" t="str">
            <v>中国航发航空科技股份有限公司</v>
          </cell>
          <cell r="Q65" t="str">
            <v>350</v>
          </cell>
        </row>
        <row r="65">
          <cell r="U65" t="str">
            <v>010000561196</v>
          </cell>
          <cell r="V65" t="str">
            <v/>
          </cell>
          <cell r="W65" t="str">
            <v/>
          </cell>
          <cell r="X65" t="str">
            <v>CP-69-2-4-13</v>
          </cell>
          <cell r="Y65" t="str">
            <v/>
          </cell>
          <cell r="Z65" t="str">
            <v>1902</v>
          </cell>
          <cell r="AA65" t="str">
            <v>1100108189</v>
          </cell>
          <cell r="AB65">
            <v>4800</v>
          </cell>
          <cell r="AC65" t="str">
            <v/>
          </cell>
          <cell r="AD65">
            <v>4.61</v>
          </cell>
          <cell r="AE65" t="str">
            <v>G0552-221228-352-4</v>
          </cell>
        </row>
        <row r="66">
          <cell r="B66" t="str">
            <v>7101040901</v>
          </cell>
          <cell r="C66" t="str">
            <v>G2301-2989</v>
          </cell>
          <cell r="D66" t="str">
            <v>000042944320012576</v>
          </cell>
          <cell r="E66" t="str">
            <v>铆钉</v>
          </cell>
          <cell r="F66" t="str">
            <v>S18.7.0101</v>
          </cell>
          <cell r="G66" t="str">
            <v>-</v>
          </cell>
          <cell r="H66" t="str">
            <v>固溶</v>
          </cell>
          <cell r="I66" t="str">
            <v>Ct·P</v>
          </cell>
          <cell r="J66" t="str">
            <v>ML1Cr18Ni9Ti-R</v>
          </cell>
          <cell r="K66">
            <v>3938</v>
          </cell>
          <cell r="L66">
            <v>45986</v>
          </cell>
          <cell r="M66" t="str">
            <v>0-初始未打印</v>
          </cell>
        </row>
        <row r="66">
          <cell r="O66">
            <v>0</v>
          </cell>
          <cell r="P66" t="str">
            <v>中国航发航空科技股份有限公司</v>
          </cell>
          <cell r="Q66" t="str">
            <v>340</v>
          </cell>
        </row>
        <row r="66">
          <cell r="U66" t="str">
            <v>010000569433</v>
          </cell>
          <cell r="V66" t="str">
            <v/>
          </cell>
          <cell r="W66" t="str">
            <v/>
          </cell>
          <cell r="X66" t="str">
            <v>CP-108-A/CP-26-5-2-2</v>
          </cell>
          <cell r="Y66" t="str">
            <v/>
          </cell>
          <cell r="Z66" t="str">
            <v>1902</v>
          </cell>
          <cell r="AA66" t="str">
            <v>1100108189</v>
          </cell>
          <cell r="AB66">
            <v>3938</v>
          </cell>
          <cell r="AC66" t="str">
            <v/>
          </cell>
          <cell r="AD66">
            <v>5.18</v>
          </cell>
          <cell r="AE66" t="str">
            <v>G0552-221228-352-4</v>
          </cell>
        </row>
        <row r="67">
          <cell r="B67" t="str">
            <v>7101040911</v>
          </cell>
          <cell r="C67" t="str">
            <v>G2403-0748</v>
          </cell>
          <cell r="D67" t="str">
            <v>000042944320012577</v>
          </cell>
          <cell r="E67" t="str">
            <v>铆钉</v>
          </cell>
          <cell r="F67" t="str">
            <v>S18.7.0103</v>
          </cell>
          <cell r="G67" t="str">
            <v>-</v>
          </cell>
          <cell r="H67" t="str">
            <v>固溶</v>
          </cell>
          <cell r="I67" t="str">
            <v>Ct·P</v>
          </cell>
          <cell r="J67" t="str">
            <v>ML1Cr18Ni9Ti-R</v>
          </cell>
          <cell r="K67">
            <v>570</v>
          </cell>
          <cell r="L67">
            <v>45986</v>
          </cell>
          <cell r="M67" t="str">
            <v>0-初始未打印</v>
          </cell>
        </row>
        <row r="67">
          <cell r="O67">
            <v>0</v>
          </cell>
          <cell r="P67" t="str">
            <v>中国航发航空科技股份有限公司</v>
          </cell>
          <cell r="Q67" t="str">
            <v>350</v>
          </cell>
        </row>
        <row r="67">
          <cell r="U67" t="str">
            <v>010000680161</v>
          </cell>
          <cell r="V67" t="str">
            <v/>
          </cell>
          <cell r="W67" t="str">
            <v/>
          </cell>
          <cell r="X67" t="str">
            <v>CP-108-A/CP-26-5-1-6</v>
          </cell>
          <cell r="Y67" t="str">
            <v/>
          </cell>
          <cell r="Z67" t="str">
            <v>1902</v>
          </cell>
          <cell r="AA67" t="str">
            <v>1100108189</v>
          </cell>
          <cell r="AB67">
            <v>4800</v>
          </cell>
          <cell r="AC67" t="str">
            <v/>
          </cell>
          <cell r="AD67">
            <v>4.61</v>
          </cell>
          <cell r="AE67" t="str">
            <v>G0552-221228-352-4</v>
          </cell>
        </row>
        <row r="68">
          <cell r="B68" t="str">
            <v>7101040912</v>
          </cell>
          <cell r="C68" t="str">
            <v>G2406-0614</v>
          </cell>
          <cell r="D68" t="str">
            <v>000042944320012577</v>
          </cell>
          <cell r="E68" t="str">
            <v>铆钉</v>
          </cell>
          <cell r="F68" t="str">
            <v>S18.7.0103</v>
          </cell>
          <cell r="G68" t="str">
            <v>-</v>
          </cell>
          <cell r="H68" t="str">
            <v>固溶</v>
          </cell>
          <cell r="I68" t="str">
            <v>Ct·P</v>
          </cell>
          <cell r="J68" t="str">
            <v>ML1Cr18Ni9Ti-R</v>
          </cell>
          <cell r="K68">
            <v>772</v>
          </cell>
          <cell r="L68">
            <v>45986</v>
          </cell>
          <cell r="M68" t="str">
            <v>0-初始未打印</v>
          </cell>
        </row>
        <row r="68">
          <cell r="O68">
            <v>0</v>
          </cell>
          <cell r="P68" t="str">
            <v>中国航发航空科技股份有限公司</v>
          </cell>
          <cell r="Q68" t="str">
            <v>350</v>
          </cell>
        </row>
        <row r="68">
          <cell r="U68" t="str">
            <v>010000708832</v>
          </cell>
          <cell r="V68" t="str">
            <v/>
          </cell>
          <cell r="W68" t="str">
            <v/>
          </cell>
          <cell r="X68" t="str">
            <v>CP-108-A/CP-26-5-1-3</v>
          </cell>
          <cell r="Y68" t="str">
            <v/>
          </cell>
          <cell r="Z68" t="str">
            <v>1902</v>
          </cell>
          <cell r="AA68" t="str">
            <v>1100108189</v>
          </cell>
          <cell r="AB68">
            <v>4800</v>
          </cell>
          <cell r="AC68" t="str">
            <v/>
          </cell>
          <cell r="AD68">
            <v>4.61</v>
          </cell>
          <cell r="AE68" t="str">
            <v>G0552-221228-352-4</v>
          </cell>
        </row>
        <row r="69">
          <cell r="B69" t="str">
            <v>7101040913</v>
          </cell>
          <cell r="C69" t="str">
            <v>G2301-0086</v>
          </cell>
          <cell r="D69" t="str">
            <v>000042944320012578</v>
          </cell>
          <cell r="E69" t="str">
            <v>铆钉</v>
          </cell>
          <cell r="F69" t="str">
            <v>S18.7.0104</v>
          </cell>
          <cell r="G69" t="str">
            <v>-</v>
          </cell>
          <cell r="H69" t="str">
            <v>固溶</v>
          </cell>
          <cell r="I69" t="str">
            <v>Ct·P</v>
          </cell>
          <cell r="J69" t="str">
            <v>ML1Cr18Ni9Ti-R</v>
          </cell>
          <cell r="K69">
            <v>5366</v>
          </cell>
          <cell r="L69">
            <v>45986</v>
          </cell>
          <cell r="M69" t="str">
            <v>0-初始未打印</v>
          </cell>
        </row>
        <row r="69">
          <cell r="O69">
            <v>0</v>
          </cell>
          <cell r="P69" t="str">
            <v>中国航发航空科技股份有限公司</v>
          </cell>
          <cell r="Q69" t="str">
            <v>360</v>
          </cell>
        </row>
        <row r="69">
          <cell r="U69" t="str">
            <v>010000561198</v>
          </cell>
          <cell r="V69" t="str">
            <v/>
          </cell>
          <cell r="W69" t="str">
            <v/>
          </cell>
          <cell r="X69" t="str">
            <v>CP-64-3-1-20</v>
          </cell>
          <cell r="Y69" t="str">
            <v/>
          </cell>
          <cell r="Z69" t="str">
            <v>1902</v>
          </cell>
          <cell r="AA69" t="str">
            <v>1100108189</v>
          </cell>
          <cell r="AB69">
            <v>6000</v>
          </cell>
          <cell r="AC69" t="str">
            <v/>
          </cell>
          <cell r="AD69">
            <v>4.8</v>
          </cell>
          <cell r="AE69" t="str">
            <v>G0552-221228-352-4</v>
          </cell>
        </row>
        <row r="70">
          <cell r="B70" t="str">
            <v>7101040914</v>
          </cell>
          <cell r="C70" t="str">
            <v>G2302-2952</v>
          </cell>
          <cell r="D70" t="str">
            <v>000042944320012578</v>
          </cell>
          <cell r="E70" t="str">
            <v>铆钉</v>
          </cell>
          <cell r="F70" t="str">
            <v>S18.7.0104</v>
          </cell>
          <cell r="G70" t="str">
            <v>-</v>
          </cell>
          <cell r="H70" t="str">
            <v>固溶</v>
          </cell>
          <cell r="I70" t="str">
            <v>Ct·P</v>
          </cell>
          <cell r="J70" t="str">
            <v>ML1Cr18Ni9Ti-R</v>
          </cell>
          <cell r="K70">
            <v>634</v>
          </cell>
          <cell r="L70">
            <v>45986</v>
          </cell>
          <cell r="M70" t="str">
            <v>0-初始未打印</v>
          </cell>
        </row>
        <row r="70">
          <cell r="O70">
            <v>0</v>
          </cell>
          <cell r="P70" t="str">
            <v>中国航发航空科技股份有限公司</v>
          </cell>
          <cell r="Q70" t="str">
            <v>360</v>
          </cell>
        </row>
        <row r="70">
          <cell r="U70" t="str">
            <v>010000577953</v>
          </cell>
          <cell r="V70" t="str">
            <v/>
          </cell>
          <cell r="W70" t="str">
            <v/>
          </cell>
          <cell r="X70" t="str">
            <v>CP-108-A/CP-26-5-4-4</v>
          </cell>
          <cell r="Y70" t="str">
            <v/>
          </cell>
          <cell r="Z70" t="str">
            <v>1902</v>
          </cell>
          <cell r="AA70" t="str">
            <v>1100108189</v>
          </cell>
          <cell r="AB70">
            <v>6000</v>
          </cell>
          <cell r="AC70" t="str">
            <v/>
          </cell>
          <cell r="AD70">
            <v>4.8</v>
          </cell>
          <cell r="AE70" t="str">
            <v>G0552-221228-352-4</v>
          </cell>
        </row>
        <row r="71">
          <cell r="B71" t="str">
            <v>7101040916</v>
          </cell>
          <cell r="C71" t="str">
            <v>G2102-0625</v>
          </cell>
          <cell r="D71" t="str">
            <v>000042944320012580</v>
          </cell>
          <cell r="E71" t="str">
            <v>铆钉</v>
          </cell>
          <cell r="F71" t="str">
            <v>S18.7.0106</v>
          </cell>
          <cell r="G71" t="str">
            <v>-</v>
          </cell>
          <cell r="H71" t="str">
            <v>固溶</v>
          </cell>
          <cell r="I71" t="str">
            <v>Ct·P</v>
          </cell>
          <cell r="J71" t="str">
            <v>ML1Cr18Ni9Ti-R</v>
          </cell>
          <cell r="K71">
            <v>26</v>
          </cell>
          <cell r="L71">
            <v>45986</v>
          </cell>
          <cell r="M71" t="str">
            <v>0-初始未打印</v>
          </cell>
        </row>
        <row r="71">
          <cell r="O71">
            <v>0</v>
          </cell>
          <cell r="P71" t="str">
            <v>中国航发航空科技股份有限公司</v>
          </cell>
          <cell r="Q71" t="str">
            <v>370</v>
          </cell>
        </row>
        <row r="71">
          <cell r="U71" t="str">
            <v>010000333107</v>
          </cell>
          <cell r="V71" t="str">
            <v/>
          </cell>
          <cell r="W71" t="str">
            <v/>
          </cell>
          <cell r="X71" t="str">
            <v>CP-68-3-4-11</v>
          </cell>
          <cell r="Y71" t="str">
            <v/>
          </cell>
          <cell r="Z71" t="str">
            <v>1902</v>
          </cell>
          <cell r="AA71" t="str">
            <v>1100108189</v>
          </cell>
          <cell r="AB71">
            <v>1800</v>
          </cell>
          <cell r="AC71" t="str">
            <v/>
          </cell>
          <cell r="AD71">
            <v>6.24</v>
          </cell>
          <cell r="AE71" t="str">
            <v>G0552-221228-352-4</v>
          </cell>
        </row>
        <row r="72">
          <cell r="B72" t="str">
            <v>7101040917</v>
          </cell>
          <cell r="C72" t="str">
            <v>G2301-2990</v>
          </cell>
          <cell r="D72" t="str">
            <v>000042944320012580</v>
          </cell>
          <cell r="E72" t="str">
            <v>铆钉</v>
          </cell>
          <cell r="F72" t="str">
            <v>S18.7.0106</v>
          </cell>
          <cell r="G72" t="str">
            <v>-</v>
          </cell>
          <cell r="H72" t="str">
            <v>固溶</v>
          </cell>
          <cell r="I72" t="str">
            <v>Ct·P</v>
          </cell>
          <cell r="J72" t="str">
            <v>ML1Cr18Ni9Ti-R</v>
          </cell>
          <cell r="K72">
            <v>1774</v>
          </cell>
          <cell r="L72">
            <v>45986</v>
          </cell>
          <cell r="M72" t="str">
            <v>0-初始未打印</v>
          </cell>
        </row>
        <row r="72">
          <cell r="O72">
            <v>0</v>
          </cell>
          <cell r="P72" t="str">
            <v>中国航发航空科技股份有限公司</v>
          </cell>
          <cell r="Q72" t="str">
            <v>370</v>
          </cell>
        </row>
        <row r="72">
          <cell r="U72" t="str">
            <v>010000569434</v>
          </cell>
          <cell r="V72" t="str">
            <v/>
          </cell>
          <cell r="W72" t="str">
            <v/>
          </cell>
          <cell r="X72" t="str">
            <v>CP-108-A/CP-26-5-3-2</v>
          </cell>
          <cell r="Y72" t="str">
            <v/>
          </cell>
          <cell r="Z72" t="str">
            <v>1902</v>
          </cell>
          <cell r="AA72" t="str">
            <v>1100108189</v>
          </cell>
          <cell r="AB72">
            <v>1800</v>
          </cell>
          <cell r="AC72" t="str">
            <v/>
          </cell>
          <cell r="AD72">
            <v>6.24</v>
          </cell>
          <cell r="AE72" t="str">
            <v>G0552-221228-352-4</v>
          </cell>
        </row>
        <row r="73">
          <cell r="B73" t="str">
            <v>7101040918</v>
          </cell>
          <cell r="C73" t="str">
            <v>G2301-0087</v>
          </cell>
          <cell r="D73" t="str">
            <v>000042944320012581</v>
          </cell>
          <cell r="E73" t="str">
            <v>铆钉</v>
          </cell>
          <cell r="F73" t="str">
            <v>S18.7.0107</v>
          </cell>
          <cell r="G73" t="str">
            <v>-</v>
          </cell>
          <cell r="H73" t="str">
            <v>固溶</v>
          </cell>
          <cell r="I73" t="str">
            <v>Ct·P</v>
          </cell>
          <cell r="J73" t="str">
            <v>ML1Cr18Ni9Ti-R</v>
          </cell>
          <cell r="K73">
            <v>3992</v>
          </cell>
          <cell r="L73">
            <v>45986</v>
          </cell>
          <cell r="M73" t="str">
            <v>0-初始未打印</v>
          </cell>
        </row>
        <row r="73">
          <cell r="O73">
            <v>0</v>
          </cell>
          <cell r="P73" t="str">
            <v>中国航发航空科技股份有限公司</v>
          </cell>
          <cell r="Q73" t="str">
            <v>380</v>
          </cell>
        </row>
        <row r="73">
          <cell r="U73" t="str">
            <v>010000561199</v>
          </cell>
          <cell r="V73" t="str">
            <v/>
          </cell>
          <cell r="W73" t="str">
            <v/>
          </cell>
          <cell r="X73" t="str">
            <v>CP-108-A/CP-26-2-2-1</v>
          </cell>
          <cell r="Y73" t="str">
            <v/>
          </cell>
          <cell r="Z73" t="str">
            <v>1902</v>
          </cell>
          <cell r="AA73" t="str">
            <v>1100108189</v>
          </cell>
          <cell r="AB73">
            <v>8700</v>
          </cell>
          <cell r="AC73" t="str">
            <v/>
          </cell>
          <cell r="AD73">
            <v>4.19</v>
          </cell>
          <cell r="AE73" t="str">
            <v>G0552-221228-352-4</v>
          </cell>
        </row>
        <row r="74">
          <cell r="B74" t="str">
            <v>7101040919</v>
          </cell>
          <cell r="C74" t="str">
            <v>G2303-3103</v>
          </cell>
          <cell r="D74" t="str">
            <v>000042944320012581</v>
          </cell>
          <cell r="E74" t="str">
            <v>铆钉</v>
          </cell>
          <cell r="F74" t="str">
            <v>S18.7.0107</v>
          </cell>
          <cell r="G74" t="str">
            <v>-</v>
          </cell>
          <cell r="H74" t="str">
            <v>固溶</v>
          </cell>
          <cell r="I74" t="str">
            <v>Ct·P</v>
          </cell>
          <cell r="J74" t="str">
            <v>ML1Cr18Ni9Ti-R</v>
          </cell>
          <cell r="K74">
            <v>818</v>
          </cell>
          <cell r="L74">
            <v>45986</v>
          </cell>
          <cell r="M74" t="str">
            <v>0-初始未打印</v>
          </cell>
        </row>
        <row r="74">
          <cell r="O74">
            <v>0</v>
          </cell>
          <cell r="P74" t="str">
            <v>中国航发航空科技股份有限公司</v>
          </cell>
          <cell r="Q74" t="str">
            <v>380</v>
          </cell>
        </row>
        <row r="74">
          <cell r="U74" t="str">
            <v>010000589181</v>
          </cell>
          <cell r="V74" t="str">
            <v/>
          </cell>
          <cell r="W74" t="str">
            <v/>
          </cell>
          <cell r="X74" t="str">
            <v>CP-35-2-2-18</v>
          </cell>
          <cell r="Y74" t="str">
            <v/>
          </cell>
          <cell r="Z74" t="str">
            <v>1902</v>
          </cell>
          <cell r="AA74" t="str">
            <v>1100108189</v>
          </cell>
          <cell r="AB74">
            <v>8700</v>
          </cell>
          <cell r="AC74" t="str">
            <v/>
          </cell>
          <cell r="AD74">
            <v>4.19</v>
          </cell>
          <cell r="AE74" t="str">
            <v>G0552-221228-352-4</v>
          </cell>
        </row>
        <row r="75">
          <cell r="B75" t="str">
            <v>7101040920</v>
          </cell>
          <cell r="C75" t="str">
            <v>G2210-1446</v>
          </cell>
          <cell r="D75" t="str">
            <v>000042944320012582</v>
          </cell>
          <cell r="E75" t="str">
            <v>铆钉</v>
          </cell>
          <cell r="F75" t="str">
            <v>S18.7.0108</v>
          </cell>
          <cell r="G75" t="str">
            <v>-</v>
          </cell>
          <cell r="H75" t="str">
            <v>固溶</v>
          </cell>
          <cell r="I75" t="str">
            <v>Ct·P</v>
          </cell>
          <cell r="J75" t="str">
            <v>ML1Cr18Ni9Ti-R</v>
          </cell>
          <cell r="K75">
            <v>91</v>
          </cell>
          <cell r="L75">
            <v>45986</v>
          </cell>
          <cell r="M75" t="str">
            <v>0-初始未打印</v>
          </cell>
        </row>
        <row r="75">
          <cell r="O75">
            <v>0</v>
          </cell>
          <cell r="P75" t="str">
            <v>中国航发航空科技股份有限公司</v>
          </cell>
          <cell r="Q75" t="str">
            <v>390</v>
          </cell>
        </row>
        <row r="75">
          <cell r="U75" t="str">
            <v>010000540010</v>
          </cell>
          <cell r="V75" t="str">
            <v/>
          </cell>
          <cell r="W75" t="str">
            <v/>
          </cell>
          <cell r="X75" t="str">
            <v>CP-78-2-3-4</v>
          </cell>
          <cell r="Y75" t="str">
            <v/>
          </cell>
          <cell r="Z75" t="str">
            <v>1902</v>
          </cell>
          <cell r="AA75" t="str">
            <v>1100108189</v>
          </cell>
          <cell r="AB75">
            <v>7320</v>
          </cell>
          <cell r="AC75" t="str">
            <v/>
          </cell>
          <cell r="AD75">
            <v>4.51</v>
          </cell>
          <cell r="AE75" t="str">
            <v>G0552-221228-352-4</v>
          </cell>
        </row>
        <row r="76">
          <cell r="B76" t="str">
            <v>7101040931</v>
          </cell>
          <cell r="C76" t="str">
            <v>G2301-0088</v>
          </cell>
          <cell r="D76" t="str">
            <v>000042944320012582</v>
          </cell>
          <cell r="E76" t="str">
            <v>铆钉</v>
          </cell>
          <cell r="F76" t="str">
            <v>S18.7.0108</v>
          </cell>
          <cell r="G76" t="str">
            <v>-</v>
          </cell>
          <cell r="H76" t="str">
            <v>固溶</v>
          </cell>
          <cell r="I76" t="str">
            <v>Ct·P</v>
          </cell>
          <cell r="J76" t="str">
            <v>ML1Cr18Ni9Ti-R</v>
          </cell>
          <cell r="K76">
            <v>3828</v>
          </cell>
          <cell r="L76">
            <v>45986</v>
          </cell>
          <cell r="M76" t="str">
            <v>0-初始未打印</v>
          </cell>
        </row>
        <row r="76">
          <cell r="O76">
            <v>0</v>
          </cell>
          <cell r="P76" t="str">
            <v>中国航发航空科技股份有限公司</v>
          </cell>
          <cell r="Q76" t="str">
            <v>390</v>
          </cell>
        </row>
        <row r="76">
          <cell r="U76" t="str">
            <v>010000561200</v>
          </cell>
          <cell r="V76" t="str">
            <v/>
          </cell>
          <cell r="W76" t="str">
            <v/>
          </cell>
          <cell r="X76" t="str">
            <v>CP-108-A/CP-26-2-4-1</v>
          </cell>
          <cell r="Y76" t="str">
            <v/>
          </cell>
          <cell r="Z76" t="str">
            <v>1902</v>
          </cell>
          <cell r="AA76" t="str">
            <v>1100108189</v>
          </cell>
          <cell r="AB76">
            <v>7320</v>
          </cell>
          <cell r="AC76" t="str">
            <v/>
          </cell>
          <cell r="AD76">
            <v>4.51</v>
          </cell>
          <cell r="AE76" t="str">
            <v>G0552-221228-352-4</v>
          </cell>
        </row>
        <row r="77">
          <cell r="B77" t="str">
            <v>7101040932</v>
          </cell>
          <cell r="C77" t="str">
            <v>G2301-0112</v>
          </cell>
          <cell r="D77" t="str">
            <v>000042944320012582</v>
          </cell>
          <cell r="E77" t="str">
            <v>铆钉</v>
          </cell>
          <cell r="F77" t="str">
            <v>S18.7.0108</v>
          </cell>
          <cell r="G77" t="str">
            <v>-</v>
          </cell>
          <cell r="H77" t="str">
            <v>固溶</v>
          </cell>
          <cell r="I77" t="str">
            <v>Ct·P</v>
          </cell>
          <cell r="J77" t="str">
            <v>ML1Cr18Ni9Ti-R</v>
          </cell>
          <cell r="K77">
            <v>3252</v>
          </cell>
          <cell r="L77">
            <v>45986</v>
          </cell>
          <cell r="M77" t="str">
            <v>0-初始未打印</v>
          </cell>
        </row>
        <row r="77">
          <cell r="O77">
            <v>0</v>
          </cell>
          <cell r="P77" t="str">
            <v>中国航发航空科技股份有限公司</v>
          </cell>
          <cell r="Q77" t="str">
            <v>390</v>
          </cell>
        </row>
        <row r="77">
          <cell r="U77" t="str">
            <v>010000561308</v>
          </cell>
          <cell r="V77" t="str">
            <v/>
          </cell>
          <cell r="W77" t="str">
            <v/>
          </cell>
          <cell r="X77" t="str">
            <v>CP-108-A/CP-26-3-2-5</v>
          </cell>
          <cell r="Y77" t="str">
            <v/>
          </cell>
          <cell r="Z77" t="str">
            <v>1902</v>
          </cell>
          <cell r="AA77" t="str">
            <v>1100108189</v>
          </cell>
          <cell r="AB77">
            <v>7320</v>
          </cell>
          <cell r="AC77" t="str">
            <v/>
          </cell>
          <cell r="AD77">
            <v>4.51</v>
          </cell>
          <cell r="AE77" t="str">
            <v>G0552-221228-352-4</v>
          </cell>
        </row>
        <row r="78">
          <cell r="B78" t="str">
            <v>7101040934</v>
          </cell>
          <cell r="C78" t="str">
            <v>G2302-2953</v>
          </cell>
          <cell r="D78" t="str">
            <v>000042944320012582</v>
          </cell>
          <cell r="E78" t="str">
            <v>铆钉</v>
          </cell>
          <cell r="F78" t="str">
            <v>S18.7.0108</v>
          </cell>
          <cell r="G78" t="str">
            <v>-</v>
          </cell>
          <cell r="H78" t="str">
            <v>固溶</v>
          </cell>
          <cell r="I78" t="str">
            <v>Ct·P</v>
          </cell>
          <cell r="J78" t="str">
            <v>ML1Cr18Ni9Ti-R</v>
          </cell>
          <cell r="K78">
            <v>149</v>
          </cell>
          <cell r="L78">
            <v>45986</v>
          </cell>
          <cell r="M78" t="str">
            <v>0-初始未打印</v>
          </cell>
        </row>
        <row r="78">
          <cell r="O78">
            <v>0</v>
          </cell>
          <cell r="P78" t="str">
            <v>中国航发航空科技股份有限公司</v>
          </cell>
          <cell r="Q78" t="str">
            <v>390</v>
          </cell>
        </row>
        <row r="78">
          <cell r="U78" t="str">
            <v>010000577954</v>
          </cell>
          <cell r="V78" t="str">
            <v/>
          </cell>
          <cell r="W78" t="str">
            <v/>
          </cell>
          <cell r="X78" t="str">
            <v>CP-26-4-1-1</v>
          </cell>
          <cell r="Y78" t="str">
            <v/>
          </cell>
          <cell r="Z78" t="str">
            <v>1902</v>
          </cell>
          <cell r="AA78" t="str">
            <v>1100108189</v>
          </cell>
          <cell r="AB78">
            <v>7320</v>
          </cell>
          <cell r="AC78" t="str">
            <v/>
          </cell>
          <cell r="AD78">
            <v>4.51</v>
          </cell>
          <cell r="AE78" t="str">
            <v>G0552-221228-352-4</v>
          </cell>
        </row>
        <row r="79">
          <cell r="B79" t="str">
            <v>7101040935</v>
          </cell>
          <cell r="C79" t="str">
            <v>G2301-0089</v>
          </cell>
          <cell r="D79" t="str">
            <v>000042944320012583</v>
          </cell>
          <cell r="E79" t="str">
            <v>铆钉</v>
          </cell>
          <cell r="F79" t="str">
            <v>S18.7.0109</v>
          </cell>
          <cell r="G79" t="str">
            <v>-</v>
          </cell>
          <cell r="H79" t="str">
            <v>固溶</v>
          </cell>
          <cell r="I79" t="str">
            <v>Ct·P</v>
          </cell>
          <cell r="J79" t="str">
            <v>ML1Cr18Ni9Ti-R</v>
          </cell>
          <cell r="K79">
            <v>4176</v>
          </cell>
          <cell r="L79">
            <v>45986</v>
          </cell>
          <cell r="M79" t="str">
            <v>0-初始未打印</v>
          </cell>
        </row>
        <row r="79">
          <cell r="O79">
            <v>0</v>
          </cell>
          <cell r="P79" t="str">
            <v>中国航发航空科技股份有限公司</v>
          </cell>
          <cell r="Q79" t="str">
            <v>400</v>
          </cell>
        </row>
        <row r="79">
          <cell r="U79" t="str">
            <v>010000561201</v>
          </cell>
          <cell r="V79" t="str">
            <v/>
          </cell>
          <cell r="W79" t="str">
            <v/>
          </cell>
          <cell r="X79" t="str">
            <v>CP-35-2-2-1</v>
          </cell>
          <cell r="Y79" t="str">
            <v/>
          </cell>
          <cell r="Z79" t="str">
            <v>1902</v>
          </cell>
          <cell r="AA79" t="str">
            <v>1100108189</v>
          </cell>
          <cell r="AB79">
            <v>12960</v>
          </cell>
          <cell r="AC79" t="str">
            <v/>
          </cell>
          <cell r="AD79">
            <v>4.42</v>
          </cell>
          <cell r="AE79" t="str">
            <v>G0552-221228-352-4</v>
          </cell>
        </row>
        <row r="80">
          <cell r="B80" t="str">
            <v>7101040937</v>
          </cell>
          <cell r="C80" t="str">
            <v>G2301-0113</v>
          </cell>
          <cell r="D80" t="str">
            <v>000042944320012583</v>
          </cell>
          <cell r="E80" t="str">
            <v>铆钉</v>
          </cell>
          <cell r="F80" t="str">
            <v>S18.7.0109</v>
          </cell>
          <cell r="G80" t="str">
            <v>-</v>
          </cell>
          <cell r="H80" t="str">
            <v>固溶</v>
          </cell>
          <cell r="I80" t="str">
            <v>Ct·P</v>
          </cell>
          <cell r="J80" t="str">
            <v>ML1Cr18Ni9Ti-R</v>
          </cell>
          <cell r="K80">
            <v>4492</v>
          </cell>
          <cell r="L80">
            <v>45986</v>
          </cell>
          <cell r="M80" t="str">
            <v>0-初始未打印</v>
          </cell>
        </row>
        <row r="80">
          <cell r="O80">
            <v>0</v>
          </cell>
          <cell r="P80" t="str">
            <v>中国航发航空科技股份有限公司</v>
          </cell>
          <cell r="Q80" t="str">
            <v>400</v>
          </cell>
        </row>
        <row r="80">
          <cell r="U80" t="str">
            <v>010000561310</v>
          </cell>
          <cell r="V80" t="str">
            <v/>
          </cell>
          <cell r="W80" t="str">
            <v/>
          </cell>
          <cell r="X80" t="str">
            <v>CP-108-A/CP-26-4-2-4</v>
          </cell>
          <cell r="Y80" t="str">
            <v/>
          </cell>
          <cell r="Z80" t="str">
            <v>1902</v>
          </cell>
          <cell r="AA80" t="str">
            <v>1100108189</v>
          </cell>
          <cell r="AB80">
            <v>12960</v>
          </cell>
          <cell r="AC80" t="str">
            <v/>
          </cell>
          <cell r="AD80">
            <v>4.42</v>
          </cell>
          <cell r="AE80" t="str">
            <v>G0552-221228-352-4</v>
          </cell>
        </row>
        <row r="81">
          <cell r="B81" t="str">
            <v>7101040940</v>
          </cell>
          <cell r="C81" t="str">
            <v>G2301-0114</v>
          </cell>
          <cell r="D81" t="str">
            <v>000042944320012583</v>
          </cell>
          <cell r="E81" t="str">
            <v>铆钉</v>
          </cell>
          <cell r="F81" t="str">
            <v>S18.7.0109</v>
          </cell>
          <cell r="G81" t="str">
            <v>-</v>
          </cell>
          <cell r="H81" t="str">
            <v>固溶</v>
          </cell>
          <cell r="I81" t="str">
            <v>Ct·P</v>
          </cell>
          <cell r="J81" t="str">
            <v>ML1Cr18Ni9Ti-R</v>
          </cell>
          <cell r="K81">
            <v>4292</v>
          </cell>
          <cell r="L81">
            <v>45986</v>
          </cell>
          <cell r="M81" t="str">
            <v>0-初始未打印</v>
          </cell>
        </row>
        <row r="81">
          <cell r="O81">
            <v>0</v>
          </cell>
          <cell r="P81" t="str">
            <v>中国航发航空科技股份有限公司</v>
          </cell>
          <cell r="Q81" t="str">
            <v>400</v>
          </cell>
        </row>
        <row r="81">
          <cell r="U81" t="str">
            <v>010000561311</v>
          </cell>
          <cell r="V81" t="str">
            <v/>
          </cell>
          <cell r="W81" t="str">
            <v/>
          </cell>
          <cell r="X81" t="str">
            <v>CP-108-A/CP-26-5-4-1</v>
          </cell>
          <cell r="Y81" t="str">
            <v/>
          </cell>
          <cell r="Z81" t="str">
            <v>1902</v>
          </cell>
          <cell r="AA81" t="str">
            <v>1100108189</v>
          </cell>
          <cell r="AB81">
            <v>12960</v>
          </cell>
          <cell r="AC81" t="str">
            <v/>
          </cell>
          <cell r="AD81">
            <v>4.42</v>
          </cell>
          <cell r="AE81" t="str">
            <v>G0552-221228-352-4</v>
          </cell>
        </row>
        <row r="82">
          <cell r="B82" t="str">
            <v>7101040943</v>
          </cell>
          <cell r="C82" t="str">
            <v>G2301-2991</v>
          </cell>
          <cell r="D82" t="str">
            <v>000042944320012584</v>
          </cell>
          <cell r="E82" t="str">
            <v>铆钉</v>
          </cell>
          <cell r="F82" t="str">
            <v>S18.7.0110</v>
          </cell>
          <cell r="G82" t="str">
            <v>-</v>
          </cell>
          <cell r="H82" t="str">
            <v>固溶</v>
          </cell>
          <cell r="I82" t="str">
            <v>Ct·P</v>
          </cell>
          <cell r="J82" t="str">
            <v>ML1Cr18Ni9Ti-R</v>
          </cell>
          <cell r="K82">
            <v>480</v>
          </cell>
          <cell r="L82">
            <v>45986</v>
          </cell>
          <cell r="M82" t="str">
            <v>0-初始未打印</v>
          </cell>
        </row>
        <row r="82">
          <cell r="O82">
            <v>0</v>
          </cell>
          <cell r="P82" t="str">
            <v>中国航发航空科技股份有限公司</v>
          </cell>
          <cell r="Q82" t="str">
            <v>410</v>
          </cell>
        </row>
        <row r="82">
          <cell r="U82" t="str">
            <v>010000569435</v>
          </cell>
          <cell r="V82" t="str">
            <v/>
          </cell>
          <cell r="W82" t="str">
            <v/>
          </cell>
          <cell r="X82" t="str">
            <v>CP-C8-4-4-4</v>
          </cell>
          <cell r="Y82" t="str">
            <v/>
          </cell>
          <cell r="Z82" t="str">
            <v>1902</v>
          </cell>
          <cell r="AA82" t="str">
            <v>1100108189</v>
          </cell>
          <cell r="AB82">
            <v>480</v>
          </cell>
          <cell r="AC82" t="str">
            <v/>
          </cell>
          <cell r="AD82">
            <v>5.09</v>
          </cell>
          <cell r="AE82" t="str">
            <v>G0552-221228-352-4</v>
          </cell>
        </row>
        <row r="83">
          <cell r="B83" t="str">
            <v>7101040946</v>
          </cell>
          <cell r="C83" t="str">
            <v>G2402-0784</v>
          </cell>
          <cell r="D83" t="str">
            <v>000042944320012585</v>
          </cell>
          <cell r="E83" t="str">
            <v>铆钉</v>
          </cell>
          <cell r="F83" t="str">
            <v>S18.7.0111</v>
          </cell>
          <cell r="G83" t="str">
            <v>-</v>
          </cell>
          <cell r="H83" t="str">
            <v>固溶</v>
          </cell>
          <cell r="I83" t="str">
            <v>Ct·P</v>
          </cell>
          <cell r="J83" t="str">
            <v>ML1Cr18Ni9Ti-R</v>
          </cell>
          <cell r="K83">
            <v>3639</v>
          </cell>
          <cell r="L83">
            <v>45986</v>
          </cell>
          <cell r="M83" t="str">
            <v>0-初始未打印</v>
          </cell>
        </row>
        <row r="83">
          <cell r="O83">
            <v>0</v>
          </cell>
          <cell r="P83" t="str">
            <v>中国航发航空科技股份有限公司</v>
          </cell>
          <cell r="Q83" t="str">
            <v>420</v>
          </cell>
        </row>
        <row r="83">
          <cell r="U83" t="str">
            <v>010000674408</v>
          </cell>
          <cell r="V83" t="str">
            <v/>
          </cell>
          <cell r="W83" t="str">
            <v/>
          </cell>
          <cell r="X83" t="str">
            <v>CP-26-5-1-3</v>
          </cell>
          <cell r="Y83" t="str">
            <v/>
          </cell>
          <cell r="Z83" t="str">
            <v>1902</v>
          </cell>
          <cell r="AA83" t="str">
            <v>1100108189</v>
          </cell>
          <cell r="AB83">
            <v>7200</v>
          </cell>
          <cell r="AC83" t="str">
            <v/>
          </cell>
          <cell r="AD83">
            <v>4.8</v>
          </cell>
          <cell r="AE83" t="str">
            <v>G0552-221228-352-4</v>
          </cell>
        </row>
        <row r="84">
          <cell r="B84" t="str">
            <v>7101040947</v>
          </cell>
          <cell r="C84" t="str">
            <v>G2402-0785</v>
          </cell>
          <cell r="D84" t="str">
            <v>000042944320012585</v>
          </cell>
          <cell r="E84" t="str">
            <v>铆钉</v>
          </cell>
          <cell r="F84" t="str">
            <v>S18.7.0111</v>
          </cell>
          <cell r="G84" t="str">
            <v>-</v>
          </cell>
          <cell r="H84" t="str">
            <v>固溶</v>
          </cell>
          <cell r="I84" t="str">
            <v>Ct·P</v>
          </cell>
          <cell r="J84" t="str">
            <v>ML1Cr18Ni9Ti-R</v>
          </cell>
          <cell r="K84">
            <v>3561</v>
          </cell>
          <cell r="L84">
            <v>45986</v>
          </cell>
          <cell r="M84" t="str">
            <v>0-初始未打印</v>
          </cell>
        </row>
        <row r="84">
          <cell r="O84">
            <v>0</v>
          </cell>
          <cell r="P84" t="str">
            <v>中国航发航空科技股份有限公司</v>
          </cell>
          <cell r="Q84" t="str">
            <v>420</v>
          </cell>
        </row>
        <row r="84">
          <cell r="U84" t="str">
            <v>010000674409</v>
          </cell>
          <cell r="V84" t="str">
            <v/>
          </cell>
          <cell r="W84" t="str">
            <v/>
          </cell>
          <cell r="X84" t="str">
            <v>CL-32-2-1-11/CP-26-2-4-3</v>
          </cell>
          <cell r="Y84" t="str">
            <v/>
          </cell>
          <cell r="Z84" t="str">
            <v>1902</v>
          </cell>
          <cell r="AA84" t="str">
            <v>1100108189</v>
          </cell>
          <cell r="AB84">
            <v>7200</v>
          </cell>
          <cell r="AC84" t="str">
            <v/>
          </cell>
          <cell r="AD84">
            <v>4.8</v>
          </cell>
          <cell r="AE84" t="str">
            <v>G0552-221228-352-4</v>
          </cell>
        </row>
        <row r="85">
          <cell r="B85" t="str">
            <v>7101040951</v>
          </cell>
          <cell r="C85" t="str">
            <v>G2301-1273</v>
          </cell>
          <cell r="D85" t="str">
            <v>000042944320012587</v>
          </cell>
          <cell r="E85" t="str">
            <v>铆钉</v>
          </cell>
          <cell r="F85" t="str">
            <v>S18.7.0113</v>
          </cell>
          <cell r="G85" t="str">
            <v>-</v>
          </cell>
          <cell r="H85" t="str">
            <v>固溶</v>
          </cell>
          <cell r="I85" t="str">
            <v>Ct·P</v>
          </cell>
          <cell r="J85" t="str">
            <v>ML1Cr18Ni9Ti-R</v>
          </cell>
          <cell r="K85">
            <v>5489</v>
          </cell>
          <cell r="L85">
            <v>45986</v>
          </cell>
          <cell r="M85" t="str">
            <v>0-初始未打印</v>
          </cell>
        </row>
        <row r="85">
          <cell r="O85">
            <v>0</v>
          </cell>
          <cell r="P85" t="str">
            <v>中国航发航空科技股份有限公司</v>
          </cell>
          <cell r="Q85" t="str">
            <v>430</v>
          </cell>
        </row>
        <row r="85">
          <cell r="U85" t="str">
            <v>010000565107</v>
          </cell>
          <cell r="V85" t="str">
            <v/>
          </cell>
          <cell r="W85" t="str">
            <v/>
          </cell>
          <cell r="X85" t="str">
            <v>CP-108-A/CP-26-2-2-2</v>
          </cell>
          <cell r="Y85" t="str">
            <v/>
          </cell>
          <cell r="Z85" t="str">
            <v>1902</v>
          </cell>
          <cell r="AA85" t="str">
            <v>1100108189</v>
          </cell>
          <cell r="AB85">
            <v>10800</v>
          </cell>
          <cell r="AC85" t="str">
            <v/>
          </cell>
          <cell r="AD85">
            <v>5.66</v>
          </cell>
          <cell r="AE85" t="str">
            <v>G0552-221228-352-4</v>
          </cell>
        </row>
        <row r="86">
          <cell r="B86" t="str">
            <v>7101040953</v>
          </cell>
          <cell r="C86" t="str">
            <v>G2301-1286</v>
          </cell>
          <cell r="D86" t="str">
            <v>000042944320012587</v>
          </cell>
          <cell r="E86" t="str">
            <v>铆钉</v>
          </cell>
          <cell r="F86" t="str">
            <v>S18.7.0113</v>
          </cell>
          <cell r="G86" t="str">
            <v>-</v>
          </cell>
          <cell r="H86" t="str">
            <v>固溶</v>
          </cell>
          <cell r="I86" t="str">
            <v>Ct·P</v>
          </cell>
          <cell r="J86" t="str">
            <v>ML1Cr18Ni9Ti-R</v>
          </cell>
          <cell r="K86">
            <v>5311</v>
          </cell>
          <cell r="L86">
            <v>45986</v>
          </cell>
          <cell r="M86" t="str">
            <v>0-初始未打印</v>
          </cell>
        </row>
        <row r="86">
          <cell r="O86">
            <v>0</v>
          </cell>
          <cell r="P86" t="str">
            <v>中国航发航空科技股份有限公司</v>
          </cell>
          <cell r="Q86" t="str">
            <v>430</v>
          </cell>
        </row>
        <row r="86">
          <cell r="U86" t="str">
            <v>010000565153</v>
          </cell>
          <cell r="V86" t="str">
            <v/>
          </cell>
          <cell r="W86" t="str">
            <v/>
          </cell>
          <cell r="X86" t="str">
            <v>CP-66-2-4-9</v>
          </cell>
          <cell r="Y86" t="str">
            <v/>
          </cell>
          <cell r="Z86" t="str">
            <v>1902</v>
          </cell>
          <cell r="AA86" t="str">
            <v>1100108189</v>
          </cell>
          <cell r="AB86">
            <v>10800</v>
          </cell>
          <cell r="AC86" t="str">
            <v/>
          </cell>
          <cell r="AD86">
            <v>5.66</v>
          </cell>
          <cell r="AE86" t="str">
            <v>G0552-221228-352-4</v>
          </cell>
        </row>
        <row r="87">
          <cell r="B87" t="str">
            <v>7101040960</v>
          </cell>
          <cell r="C87" t="str">
            <v>G2301-2993</v>
          </cell>
          <cell r="D87" t="str">
            <v>000042944320012590</v>
          </cell>
          <cell r="E87" t="str">
            <v>半圆头铆钉</v>
          </cell>
          <cell r="F87" t="str">
            <v>S18.7.0116</v>
          </cell>
          <cell r="G87" t="str">
            <v>-</v>
          </cell>
          <cell r="H87" t="str">
            <v>固溶</v>
          </cell>
          <cell r="I87" t="str">
            <v/>
          </cell>
          <cell r="J87" t="str">
            <v>GH3030</v>
          </cell>
          <cell r="K87">
            <v>1686</v>
          </cell>
          <cell r="L87">
            <v>45986</v>
          </cell>
          <cell r="M87" t="str">
            <v>0-初始未打印</v>
          </cell>
        </row>
        <row r="87">
          <cell r="O87">
            <v>0</v>
          </cell>
          <cell r="P87" t="str">
            <v>中国航发航空科技股份有限公司</v>
          </cell>
          <cell r="Q87" t="str">
            <v>450</v>
          </cell>
        </row>
        <row r="87">
          <cell r="U87" t="str">
            <v>010000569437</v>
          </cell>
          <cell r="V87" t="str">
            <v/>
          </cell>
          <cell r="W87" t="str">
            <v/>
          </cell>
          <cell r="X87" t="str">
            <v>CP-108-A/CP-26-4-4-3</v>
          </cell>
          <cell r="Y87" t="str">
            <v/>
          </cell>
          <cell r="Z87" t="str">
            <v>1902</v>
          </cell>
          <cell r="AA87" t="str">
            <v>1100108189</v>
          </cell>
          <cell r="AB87">
            <v>1686</v>
          </cell>
          <cell r="AC87" t="str">
            <v/>
          </cell>
          <cell r="AD87">
            <v>12.48</v>
          </cell>
          <cell r="AE87" t="str">
            <v>G0552-221228-352-4</v>
          </cell>
        </row>
        <row r="88">
          <cell r="B88" t="str">
            <v>7101040972</v>
          </cell>
          <cell r="C88" t="str">
            <v>G2301-2994</v>
          </cell>
          <cell r="D88" t="str">
            <v>000042944320012591</v>
          </cell>
          <cell r="E88" t="str">
            <v>半圆头铆钉</v>
          </cell>
          <cell r="F88" t="str">
            <v>S18.7.0117</v>
          </cell>
          <cell r="G88" t="str">
            <v>-</v>
          </cell>
          <cell r="H88" t="str">
            <v>固溶</v>
          </cell>
          <cell r="I88" t="str">
            <v/>
          </cell>
          <cell r="J88" t="str">
            <v>GH3030</v>
          </cell>
          <cell r="K88">
            <v>60</v>
          </cell>
          <cell r="L88">
            <v>45986</v>
          </cell>
          <cell r="M88" t="str">
            <v>0-初始未打印</v>
          </cell>
        </row>
        <row r="88">
          <cell r="O88">
            <v>0</v>
          </cell>
          <cell r="P88" t="str">
            <v>中国航发航空科技股份有限公司</v>
          </cell>
          <cell r="Q88" t="str">
            <v>460</v>
          </cell>
        </row>
        <row r="88">
          <cell r="U88" t="str">
            <v>010000569438</v>
          </cell>
          <cell r="V88" t="str">
            <v/>
          </cell>
          <cell r="W88" t="str">
            <v/>
          </cell>
          <cell r="X88" t="str">
            <v>CP-34-2-4-19</v>
          </cell>
          <cell r="Y88" t="str">
            <v/>
          </cell>
          <cell r="Z88" t="str">
            <v>1902</v>
          </cell>
          <cell r="AA88" t="str">
            <v>1100108189</v>
          </cell>
          <cell r="AB88">
            <v>60</v>
          </cell>
          <cell r="AC88" t="str">
            <v/>
          </cell>
          <cell r="AD88">
            <v>20.64</v>
          </cell>
          <cell r="AE88" t="str">
            <v>G0552-221228-352-4</v>
          </cell>
        </row>
        <row r="89">
          <cell r="B89" t="str">
            <v>7101040975</v>
          </cell>
          <cell r="C89" t="str">
            <v>G2301-2996</v>
          </cell>
          <cell r="D89" t="str">
            <v>000042944320012596</v>
          </cell>
          <cell r="E89" t="str">
            <v>半圆头铆钉</v>
          </cell>
          <cell r="F89" t="str">
            <v>S18.7.0122</v>
          </cell>
          <cell r="G89" t="str">
            <v>-</v>
          </cell>
          <cell r="H89" t="str">
            <v>固溶</v>
          </cell>
          <cell r="I89" t="str">
            <v/>
          </cell>
          <cell r="J89" t="str">
            <v>GH3030</v>
          </cell>
          <cell r="K89">
            <v>660</v>
          </cell>
          <cell r="L89">
            <v>45986</v>
          </cell>
          <cell r="M89" t="str">
            <v>0-初始未打印</v>
          </cell>
        </row>
        <row r="89">
          <cell r="O89">
            <v>0</v>
          </cell>
          <cell r="P89" t="str">
            <v>中国航发航空科技股份有限公司</v>
          </cell>
          <cell r="Q89" t="str">
            <v>490</v>
          </cell>
        </row>
        <row r="89">
          <cell r="U89" t="str">
            <v>010000569440</v>
          </cell>
          <cell r="V89" t="str">
            <v/>
          </cell>
          <cell r="W89" t="str">
            <v/>
          </cell>
          <cell r="X89" t="str">
            <v>CP-73-1-3-2</v>
          </cell>
          <cell r="Y89" t="str">
            <v/>
          </cell>
          <cell r="Z89" t="str">
            <v>1902</v>
          </cell>
          <cell r="AA89" t="str">
            <v>1100108189</v>
          </cell>
          <cell r="AB89">
            <v>660</v>
          </cell>
          <cell r="AC89" t="str">
            <v/>
          </cell>
          <cell r="AD89">
            <v>8.45</v>
          </cell>
          <cell r="AE89" t="str">
            <v>G0552-221228-352-4</v>
          </cell>
        </row>
        <row r="90">
          <cell r="B90" t="str">
            <v>7101040977</v>
          </cell>
          <cell r="C90" t="str">
            <v>G2301-2997</v>
          </cell>
          <cell r="D90" t="str">
            <v>000042944320012601</v>
          </cell>
          <cell r="E90" t="str">
            <v>铆钉</v>
          </cell>
          <cell r="F90" t="str">
            <v>S18.7.0127</v>
          </cell>
          <cell r="G90" t="str">
            <v>-</v>
          </cell>
          <cell r="H90" t="str">
            <v>固溶</v>
          </cell>
          <cell r="I90" t="str">
            <v/>
          </cell>
          <cell r="J90" t="str">
            <v>GH3030</v>
          </cell>
          <cell r="K90">
            <v>855</v>
          </cell>
          <cell r="L90">
            <v>45986</v>
          </cell>
          <cell r="M90" t="str">
            <v>0-初始未打印</v>
          </cell>
        </row>
        <row r="90">
          <cell r="O90">
            <v>0</v>
          </cell>
          <cell r="P90" t="str">
            <v>中国航发航空科技股份有限公司</v>
          </cell>
          <cell r="Q90" t="str">
            <v>510</v>
          </cell>
        </row>
        <row r="90">
          <cell r="U90" t="str">
            <v>010000569441</v>
          </cell>
          <cell r="V90" t="str">
            <v/>
          </cell>
          <cell r="W90" t="str">
            <v/>
          </cell>
          <cell r="X90" t="str">
            <v>CP-73-3-3-16</v>
          </cell>
          <cell r="Y90" t="str">
            <v/>
          </cell>
          <cell r="Z90" t="str">
            <v>1902</v>
          </cell>
          <cell r="AA90" t="str">
            <v>1100108189</v>
          </cell>
          <cell r="AB90">
            <v>855</v>
          </cell>
          <cell r="AC90" t="str">
            <v/>
          </cell>
          <cell r="AD90">
            <v>8.26</v>
          </cell>
          <cell r="AE90" t="str">
            <v>G0552-221228-352-4</v>
          </cell>
        </row>
        <row r="91">
          <cell r="B91" t="str">
            <v>7101040980</v>
          </cell>
          <cell r="C91" t="str">
            <v>G2301-0091</v>
          </cell>
          <cell r="D91" t="str">
            <v>000042944320012602</v>
          </cell>
          <cell r="E91" t="str">
            <v>铆钉</v>
          </cell>
          <cell r="F91" t="str">
            <v>S18.7.0208</v>
          </cell>
          <cell r="G91" t="str">
            <v>-</v>
          </cell>
          <cell r="H91" t="str">
            <v>固溶</v>
          </cell>
          <cell r="I91" t="str">
            <v>Ct·P</v>
          </cell>
          <cell r="J91" t="str">
            <v>ML1Cr18Ni9Ti-R</v>
          </cell>
          <cell r="K91">
            <v>2200</v>
          </cell>
          <cell r="L91">
            <v>45986</v>
          </cell>
          <cell r="M91" t="str">
            <v>0-初始未打印</v>
          </cell>
        </row>
        <row r="91">
          <cell r="O91">
            <v>0</v>
          </cell>
          <cell r="P91" t="str">
            <v>中国航发航空科技股份有限公司</v>
          </cell>
          <cell r="Q91" t="str">
            <v>520</v>
          </cell>
        </row>
        <row r="91">
          <cell r="U91" t="str">
            <v>010000561203</v>
          </cell>
          <cell r="V91" t="str">
            <v/>
          </cell>
          <cell r="W91" t="str">
            <v/>
          </cell>
          <cell r="X91" t="str">
            <v>CP-108-A/CP-26-4-4-5</v>
          </cell>
          <cell r="Y91" t="str">
            <v/>
          </cell>
          <cell r="Z91" t="str">
            <v>1902</v>
          </cell>
          <cell r="AA91" t="str">
            <v>1100108189</v>
          </cell>
          <cell r="AB91">
            <v>2200</v>
          </cell>
          <cell r="AC91" t="str">
            <v/>
          </cell>
          <cell r="AD91">
            <v>5.57</v>
          </cell>
          <cell r="AE91" t="str">
            <v>G0552-221228-352-4</v>
          </cell>
        </row>
        <row r="92">
          <cell r="B92" t="str">
            <v>7101040981</v>
          </cell>
          <cell r="C92" t="str">
            <v>G2301-1287</v>
          </cell>
          <cell r="D92" t="str">
            <v>000042944320012603</v>
          </cell>
          <cell r="E92" t="str">
            <v>铆钉</v>
          </cell>
          <cell r="F92" t="str">
            <v>S18.7.0209</v>
          </cell>
          <cell r="G92" t="str">
            <v>-</v>
          </cell>
          <cell r="H92" t="str">
            <v>固溶</v>
          </cell>
          <cell r="I92" t="str">
            <v>Ct·P</v>
          </cell>
          <cell r="J92" t="str">
            <v>ML1Cr18Ni9Ti-R</v>
          </cell>
          <cell r="K92">
            <v>4123</v>
          </cell>
          <cell r="L92">
            <v>45986</v>
          </cell>
          <cell r="M92" t="str">
            <v>0-初始未打印</v>
          </cell>
        </row>
        <row r="92">
          <cell r="O92">
            <v>0</v>
          </cell>
          <cell r="P92" t="str">
            <v>中国航发航空科技股份有限公司</v>
          </cell>
          <cell r="Q92" t="str">
            <v>530</v>
          </cell>
        </row>
        <row r="92">
          <cell r="U92" t="str">
            <v>010000565156</v>
          </cell>
          <cell r="V92" t="str">
            <v/>
          </cell>
          <cell r="W92" t="str">
            <v/>
          </cell>
          <cell r="X92" t="str">
            <v>CP-108-A/CP-26-3-4-1</v>
          </cell>
          <cell r="Y92" t="str">
            <v/>
          </cell>
          <cell r="Z92" t="str">
            <v>1902</v>
          </cell>
          <cell r="AA92" t="str">
            <v>1100108189</v>
          </cell>
          <cell r="AB92">
            <v>12200</v>
          </cell>
          <cell r="AC92" t="str">
            <v/>
          </cell>
          <cell r="AD92">
            <v>4.8</v>
          </cell>
          <cell r="AE92" t="str">
            <v>G0552-221228-352-4</v>
          </cell>
        </row>
        <row r="93">
          <cell r="B93" t="str">
            <v>7101040985</v>
          </cell>
          <cell r="C93" t="str">
            <v>G2301-1288</v>
          </cell>
          <cell r="D93" t="str">
            <v>000042944320012603</v>
          </cell>
          <cell r="E93" t="str">
            <v>铆钉</v>
          </cell>
          <cell r="F93" t="str">
            <v>S18.7.0209</v>
          </cell>
          <cell r="G93" t="str">
            <v>-</v>
          </cell>
          <cell r="H93" t="str">
            <v>固溶</v>
          </cell>
          <cell r="I93" t="str">
            <v>Ct·P</v>
          </cell>
          <cell r="J93" t="str">
            <v>ML1Cr18Ni9Ti-R</v>
          </cell>
          <cell r="K93">
            <v>3470</v>
          </cell>
          <cell r="L93">
            <v>45986</v>
          </cell>
          <cell r="M93" t="str">
            <v>0-初始未打印</v>
          </cell>
        </row>
        <row r="93">
          <cell r="O93">
            <v>0</v>
          </cell>
          <cell r="P93" t="str">
            <v>中国航发航空科技股份有限公司</v>
          </cell>
          <cell r="Q93" t="str">
            <v>530</v>
          </cell>
        </row>
        <row r="93">
          <cell r="U93" t="str">
            <v>010000565157</v>
          </cell>
          <cell r="V93" t="str">
            <v/>
          </cell>
          <cell r="W93" t="str">
            <v/>
          </cell>
          <cell r="X93" t="str">
            <v>CP-108-A/CP-26-5-4-2</v>
          </cell>
          <cell r="Y93" t="str">
            <v/>
          </cell>
          <cell r="Z93" t="str">
            <v>1902</v>
          </cell>
          <cell r="AA93" t="str">
            <v>1100108189</v>
          </cell>
          <cell r="AB93">
            <v>12200</v>
          </cell>
          <cell r="AC93" t="str">
            <v/>
          </cell>
          <cell r="AD93">
            <v>4.8</v>
          </cell>
          <cell r="AE93" t="str">
            <v>G0552-221228-352-4</v>
          </cell>
        </row>
        <row r="94">
          <cell r="B94" t="str">
            <v>7101040987</v>
          </cell>
          <cell r="C94" t="str">
            <v>G2302-2954</v>
          </cell>
          <cell r="D94" t="str">
            <v>000042944320012603</v>
          </cell>
          <cell r="E94" t="str">
            <v>铆钉</v>
          </cell>
          <cell r="F94" t="str">
            <v>S18.7.0209</v>
          </cell>
          <cell r="G94" t="str">
            <v>-</v>
          </cell>
          <cell r="H94" t="str">
            <v>固溶</v>
          </cell>
          <cell r="I94" t="str">
            <v>Ct·P</v>
          </cell>
          <cell r="J94" t="str">
            <v>ML1Cr18Ni9Ti-R</v>
          </cell>
          <cell r="K94">
            <v>474</v>
          </cell>
          <cell r="L94">
            <v>45986</v>
          </cell>
          <cell r="M94" t="str">
            <v>0-初始未打印</v>
          </cell>
        </row>
        <row r="94">
          <cell r="O94">
            <v>0</v>
          </cell>
          <cell r="P94" t="str">
            <v>中国航发航空科技股份有限公司</v>
          </cell>
          <cell r="Q94" t="str">
            <v>530</v>
          </cell>
        </row>
        <row r="94">
          <cell r="U94" t="str">
            <v>010000577955</v>
          </cell>
          <cell r="V94" t="str">
            <v/>
          </cell>
          <cell r="W94" t="str">
            <v/>
          </cell>
          <cell r="X94" t="str">
            <v>CP-35-2-2-3</v>
          </cell>
          <cell r="Y94" t="str">
            <v/>
          </cell>
          <cell r="Z94" t="str">
            <v>1902</v>
          </cell>
          <cell r="AA94" t="str">
            <v>1100108189</v>
          </cell>
          <cell r="AB94">
            <v>12200</v>
          </cell>
          <cell r="AC94" t="str">
            <v/>
          </cell>
          <cell r="AD94">
            <v>4.8</v>
          </cell>
          <cell r="AE94" t="str">
            <v>G0552-221228-352-4</v>
          </cell>
        </row>
        <row r="95">
          <cell r="B95" t="str">
            <v>7101041001</v>
          </cell>
          <cell r="C95" t="str">
            <v>G2301-1275</v>
          </cell>
          <cell r="D95" t="str">
            <v>000042944320012609</v>
          </cell>
          <cell r="E95" t="str">
            <v>铆钉</v>
          </cell>
          <cell r="F95" t="str">
            <v>S18.7.0212</v>
          </cell>
          <cell r="G95" t="str">
            <v>-</v>
          </cell>
          <cell r="H95" t="str">
            <v>固溶</v>
          </cell>
          <cell r="I95" t="str">
            <v>Ct·P</v>
          </cell>
          <cell r="J95" t="str">
            <v>ML1Cr18Ni9Ti-R</v>
          </cell>
          <cell r="K95">
            <v>3816</v>
          </cell>
          <cell r="L95">
            <v>45986</v>
          </cell>
          <cell r="M95" t="str">
            <v>0-初始未打印</v>
          </cell>
        </row>
        <row r="95">
          <cell r="O95">
            <v>0</v>
          </cell>
          <cell r="P95" t="str">
            <v>中国航发航空科技股份有限公司</v>
          </cell>
          <cell r="Q95" t="str">
            <v>550</v>
          </cell>
        </row>
        <row r="95">
          <cell r="U95" t="str">
            <v>010000565110</v>
          </cell>
          <cell r="V95" t="str">
            <v/>
          </cell>
          <cell r="W95" t="str">
            <v/>
          </cell>
          <cell r="X95" t="str">
            <v>CP-108-A/CP-26-2-2-3</v>
          </cell>
          <cell r="Y95" t="str">
            <v/>
          </cell>
          <cell r="Z95" t="str">
            <v>1902</v>
          </cell>
          <cell r="AA95" t="str">
            <v>1100108189</v>
          </cell>
          <cell r="AB95">
            <v>7800</v>
          </cell>
          <cell r="AC95" t="str">
            <v/>
          </cell>
          <cell r="AD95">
            <v>4.7</v>
          </cell>
          <cell r="AE95" t="str">
            <v>G0552-221228-352-4</v>
          </cell>
        </row>
        <row r="96">
          <cell r="B96" t="str">
            <v>7101041004</v>
          </cell>
          <cell r="C96" t="str">
            <v>G2301-2999</v>
          </cell>
          <cell r="D96" t="str">
            <v>000042944320012610</v>
          </cell>
          <cell r="E96" t="str">
            <v>铆钉</v>
          </cell>
          <cell r="F96" t="str">
            <v>S18.7.0213</v>
          </cell>
          <cell r="G96" t="str">
            <v>-</v>
          </cell>
          <cell r="H96" t="str">
            <v>固溶</v>
          </cell>
          <cell r="I96" t="str">
            <v>Ct·P</v>
          </cell>
          <cell r="J96" t="str">
            <v>ML1Cr18Ni9Ti-R</v>
          </cell>
          <cell r="K96">
            <v>1500</v>
          </cell>
          <cell r="L96">
            <v>45986</v>
          </cell>
          <cell r="M96" t="str">
            <v>0-初始未打印</v>
          </cell>
        </row>
        <row r="96">
          <cell r="O96">
            <v>0</v>
          </cell>
          <cell r="P96" t="str">
            <v>中国航发航空科技股份有限公司</v>
          </cell>
          <cell r="Q96" t="str">
            <v>560</v>
          </cell>
        </row>
        <row r="96">
          <cell r="U96" t="str">
            <v>010000569443</v>
          </cell>
          <cell r="V96" t="str">
            <v/>
          </cell>
          <cell r="W96" t="str">
            <v/>
          </cell>
          <cell r="X96" t="str">
            <v>CP-59-4-4-13</v>
          </cell>
          <cell r="Y96" t="str">
            <v/>
          </cell>
          <cell r="Z96" t="str">
            <v>1902</v>
          </cell>
          <cell r="AA96" t="str">
            <v>1100108189</v>
          </cell>
          <cell r="AB96">
            <v>1500</v>
          </cell>
          <cell r="AC96" t="str">
            <v/>
          </cell>
          <cell r="AD96">
            <v>5.95</v>
          </cell>
          <cell r="AE96" t="str">
            <v>G0552-221228-352-4</v>
          </cell>
        </row>
        <row r="97">
          <cell r="B97" t="str">
            <v>7101041006</v>
          </cell>
          <cell r="C97" t="str">
            <v>G2301-1276</v>
          </cell>
          <cell r="D97" t="str">
            <v>000042944320012611</v>
          </cell>
          <cell r="E97" t="str">
            <v>铆钉</v>
          </cell>
          <cell r="F97" t="str">
            <v>S18.7.0214</v>
          </cell>
          <cell r="G97" t="str">
            <v>-</v>
          </cell>
          <cell r="H97" t="str">
            <v>固溶</v>
          </cell>
          <cell r="I97" t="str">
            <v>Ct·P</v>
          </cell>
          <cell r="J97" t="str">
            <v>ML1Cr18Ni9Ti-R</v>
          </cell>
          <cell r="K97">
            <v>3459</v>
          </cell>
          <cell r="L97">
            <v>45986</v>
          </cell>
          <cell r="M97" t="str">
            <v>0-初始未打印</v>
          </cell>
        </row>
        <row r="97">
          <cell r="O97">
            <v>0</v>
          </cell>
          <cell r="P97" t="str">
            <v>中国航发航空科技股份有限公司</v>
          </cell>
          <cell r="Q97" t="str">
            <v>570</v>
          </cell>
        </row>
        <row r="97">
          <cell r="U97" t="str">
            <v>010000565111</v>
          </cell>
          <cell r="V97" t="str">
            <v/>
          </cell>
          <cell r="W97" t="str">
            <v/>
          </cell>
          <cell r="X97" t="str">
            <v>CP-108-A/CP-26-3-4-1</v>
          </cell>
          <cell r="Y97" t="str">
            <v/>
          </cell>
          <cell r="Z97" t="str">
            <v>1902</v>
          </cell>
          <cell r="AA97" t="str">
            <v>1100108189</v>
          </cell>
          <cell r="AB97">
            <v>11600</v>
          </cell>
          <cell r="AC97" t="str">
            <v/>
          </cell>
          <cell r="AD97">
            <v>4.42</v>
          </cell>
          <cell r="AE97" t="str">
            <v>G0552-221228-352-4</v>
          </cell>
        </row>
        <row r="98">
          <cell r="B98" t="str">
            <v>7101041007</v>
          </cell>
          <cell r="C98" t="str">
            <v>G2301-1290</v>
          </cell>
          <cell r="D98" t="str">
            <v>000042944320012611</v>
          </cell>
          <cell r="E98" t="str">
            <v>铆钉</v>
          </cell>
          <cell r="F98" t="str">
            <v>S18.7.0214</v>
          </cell>
          <cell r="G98" t="str">
            <v>-</v>
          </cell>
          <cell r="H98" t="str">
            <v>固溶</v>
          </cell>
          <cell r="I98" t="str">
            <v>Ct·P</v>
          </cell>
          <cell r="J98" t="str">
            <v>ML1Cr18Ni9Ti-R</v>
          </cell>
          <cell r="K98">
            <v>3915</v>
          </cell>
          <cell r="L98">
            <v>45986</v>
          </cell>
          <cell r="M98" t="str">
            <v>0-初始未打印</v>
          </cell>
        </row>
        <row r="98">
          <cell r="O98">
            <v>0</v>
          </cell>
          <cell r="P98" t="str">
            <v>中国航发航空科技股份有限公司</v>
          </cell>
          <cell r="Q98" t="str">
            <v>570</v>
          </cell>
        </row>
        <row r="98">
          <cell r="U98" t="str">
            <v>010000565159</v>
          </cell>
          <cell r="V98" t="str">
            <v/>
          </cell>
          <cell r="W98" t="str">
            <v/>
          </cell>
          <cell r="X98" t="str">
            <v>CP-108-A/CP-26-3-2-5</v>
          </cell>
          <cell r="Y98" t="str">
            <v/>
          </cell>
          <cell r="Z98" t="str">
            <v>1902</v>
          </cell>
          <cell r="AA98" t="str">
            <v>1100108189</v>
          </cell>
          <cell r="AB98">
            <v>11600</v>
          </cell>
          <cell r="AC98" t="str">
            <v/>
          </cell>
          <cell r="AD98">
            <v>4.42</v>
          </cell>
          <cell r="AE98" t="str">
            <v>G0552-221228-352-4</v>
          </cell>
        </row>
        <row r="99">
          <cell r="B99" t="str">
            <v>7101041010</v>
          </cell>
          <cell r="C99" t="str">
            <v>G2301-1291</v>
          </cell>
          <cell r="D99" t="str">
            <v>000042944320012611</v>
          </cell>
          <cell r="E99" t="str">
            <v>铆钉</v>
          </cell>
          <cell r="F99" t="str">
            <v>S18.7.0214</v>
          </cell>
          <cell r="G99" t="str">
            <v>-</v>
          </cell>
          <cell r="H99" t="str">
            <v>固溶</v>
          </cell>
          <cell r="I99" t="str">
            <v>Ct·P</v>
          </cell>
          <cell r="J99" t="str">
            <v>ML1Cr18Ni9Ti-R</v>
          </cell>
          <cell r="K99">
            <v>3903</v>
          </cell>
          <cell r="L99">
            <v>45986</v>
          </cell>
          <cell r="M99" t="str">
            <v>0-初始未打印</v>
          </cell>
        </row>
        <row r="99">
          <cell r="O99">
            <v>0</v>
          </cell>
          <cell r="P99" t="str">
            <v>中国航发航空科技股份有限公司</v>
          </cell>
          <cell r="Q99" t="str">
            <v>570</v>
          </cell>
        </row>
        <row r="99">
          <cell r="U99" t="str">
            <v>010000565180</v>
          </cell>
          <cell r="V99" t="str">
            <v/>
          </cell>
          <cell r="W99" t="str">
            <v/>
          </cell>
          <cell r="X99" t="str">
            <v>CP-108-A/CP-26-3-2-5</v>
          </cell>
          <cell r="Y99" t="str">
            <v/>
          </cell>
          <cell r="Z99" t="str">
            <v>1902</v>
          </cell>
          <cell r="AA99" t="str">
            <v>1100108189</v>
          </cell>
          <cell r="AB99">
            <v>11600</v>
          </cell>
          <cell r="AC99" t="str">
            <v/>
          </cell>
          <cell r="AD99">
            <v>4.42</v>
          </cell>
          <cell r="AE99" t="str">
            <v>G0552-221228-352-4</v>
          </cell>
        </row>
        <row r="100">
          <cell r="B100" t="str">
            <v>7101041012</v>
          </cell>
          <cell r="C100" t="str">
            <v>G2302-2955</v>
          </cell>
          <cell r="D100" t="str">
            <v>000042944320012611</v>
          </cell>
          <cell r="E100" t="str">
            <v>铆钉</v>
          </cell>
          <cell r="F100" t="str">
            <v>S18.7.0214</v>
          </cell>
          <cell r="G100" t="str">
            <v>-</v>
          </cell>
          <cell r="H100" t="str">
            <v>固溶</v>
          </cell>
          <cell r="I100" t="str">
            <v>Ct·P</v>
          </cell>
          <cell r="J100" t="str">
            <v>ML1Cr18Ni9Ti-R</v>
          </cell>
          <cell r="K100">
            <v>323</v>
          </cell>
          <cell r="L100">
            <v>45986</v>
          </cell>
          <cell r="M100" t="str">
            <v>0-初始未打印</v>
          </cell>
        </row>
        <row r="100">
          <cell r="O100">
            <v>0</v>
          </cell>
          <cell r="P100" t="str">
            <v>中国航发航空科技股份有限公司</v>
          </cell>
          <cell r="Q100" t="str">
            <v>570</v>
          </cell>
        </row>
        <row r="100">
          <cell r="U100" t="str">
            <v>010000577956</v>
          </cell>
          <cell r="V100" t="str">
            <v/>
          </cell>
          <cell r="W100" t="str">
            <v/>
          </cell>
          <cell r="X100" t="str">
            <v>CP-76-1-1-1</v>
          </cell>
          <cell r="Y100" t="str">
            <v/>
          </cell>
          <cell r="Z100" t="str">
            <v>1902</v>
          </cell>
          <cell r="AA100" t="str">
            <v>1100108189</v>
          </cell>
          <cell r="AB100">
            <v>11600</v>
          </cell>
          <cell r="AC100" t="str">
            <v/>
          </cell>
          <cell r="AD100">
            <v>4.42</v>
          </cell>
          <cell r="AE100" t="str">
            <v>G0552-221228-352-4</v>
          </cell>
        </row>
        <row r="101">
          <cell r="B101" t="str">
            <v>7101041014</v>
          </cell>
          <cell r="C101" t="str">
            <v>G2301-1277</v>
          </cell>
          <cell r="D101" t="str">
            <v>000042944320012612</v>
          </cell>
          <cell r="E101" t="str">
            <v>铆钉</v>
          </cell>
          <cell r="F101" t="str">
            <v>S18.7.0215</v>
          </cell>
          <cell r="G101" t="str">
            <v>-</v>
          </cell>
          <cell r="H101" t="str">
            <v>固溶</v>
          </cell>
          <cell r="I101" t="str">
            <v>Ct·P</v>
          </cell>
          <cell r="J101" t="str">
            <v>ML1Cr18Ni9Ti-R</v>
          </cell>
          <cell r="K101">
            <v>4864</v>
          </cell>
          <cell r="L101">
            <v>45986</v>
          </cell>
          <cell r="M101" t="str">
            <v>0-初始未打印</v>
          </cell>
        </row>
        <row r="101">
          <cell r="O101">
            <v>0</v>
          </cell>
          <cell r="P101" t="str">
            <v>中国航发航空科技股份有限公司</v>
          </cell>
          <cell r="Q101" t="str">
            <v>580</v>
          </cell>
        </row>
        <row r="101">
          <cell r="U101" t="str">
            <v>010000565112</v>
          </cell>
          <cell r="V101" t="str">
            <v/>
          </cell>
          <cell r="W101" t="str">
            <v/>
          </cell>
          <cell r="X101" t="str">
            <v>CP-108-A/CP-26-2-4-1</v>
          </cell>
          <cell r="Y101" t="str">
            <v/>
          </cell>
          <cell r="Z101" t="str">
            <v>1902</v>
          </cell>
          <cell r="AA101" t="str">
            <v>1100108189</v>
          </cell>
          <cell r="AB101">
            <v>9720</v>
          </cell>
          <cell r="AC101" t="str">
            <v/>
          </cell>
          <cell r="AD101">
            <v>4.42</v>
          </cell>
          <cell r="AE101" t="str">
            <v>G0552-221228-352-4</v>
          </cell>
        </row>
        <row r="102">
          <cell r="B102" t="str">
            <v>7101041017</v>
          </cell>
          <cell r="C102" t="str">
            <v>G2301-1292</v>
          </cell>
          <cell r="D102" t="str">
            <v>000042944320012612</v>
          </cell>
          <cell r="E102" t="str">
            <v>铆钉</v>
          </cell>
          <cell r="F102" t="str">
            <v>S18.7.0215</v>
          </cell>
          <cell r="G102" t="str">
            <v>-</v>
          </cell>
          <cell r="H102" t="str">
            <v>固溶</v>
          </cell>
          <cell r="I102" t="str">
            <v>Ct·P</v>
          </cell>
          <cell r="J102" t="str">
            <v>ML1Cr18Ni9Ti-R</v>
          </cell>
          <cell r="K102">
            <v>4856</v>
          </cell>
          <cell r="L102">
            <v>45986</v>
          </cell>
          <cell r="M102" t="str">
            <v>0-初始未打印</v>
          </cell>
        </row>
        <row r="102">
          <cell r="O102">
            <v>0</v>
          </cell>
          <cell r="P102" t="str">
            <v>中国航发航空科技股份有限公司</v>
          </cell>
          <cell r="Q102" t="str">
            <v>580</v>
          </cell>
        </row>
        <row r="102">
          <cell r="U102" t="str">
            <v>010000565181</v>
          </cell>
          <cell r="V102" t="str">
            <v/>
          </cell>
          <cell r="W102" t="str">
            <v/>
          </cell>
          <cell r="X102" t="str">
            <v>CP-108-A/CP-26-3-2-5</v>
          </cell>
          <cell r="Y102" t="str">
            <v/>
          </cell>
          <cell r="Z102" t="str">
            <v>1902</v>
          </cell>
          <cell r="AA102" t="str">
            <v>1100108189</v>
          </cell>
          <cell r="AB102">
            <v>9720</v>
          </cell>
          <cell r="AC102" t="str">
            <v/>
          </cell>
          <cell r="AD102">
            <v>4.42</v>
          </cell>
          <cell r="AE102" t="str">
            <v>G0552-221228-352-4</v>
          </cell>
        </row>
        <row r="103">
          <cell r="B103" t="str">
            <v>7101041020</v>
          </cell>
          <cell r="C103" t="str">
            <v>G2301-3001</v>
          </cell>
          <cell r="D103" t="str">
            <v>000042944320012614</v>
          </cell>
          <cell r="E103" t="str">
            <v>铆钉</v>
          </cell>
          <cell r="F103" t="str">
            <v>S18.7.0217</v>
          </cell>
          <cell r="G103" t="str">
            <v>-</v>
          </cell>
          <cell r="H103" t="str">
            <v>固溶</v>
          </cell>
          <cell r="I103" t="str">
            <v>Ct·P</v>
          </cell>
          <cell r="J103" t="str">
            <v>ML1Cr18Ni9Ti-R</v>
          </cell>
          <cell r="K103">
            <v>6100</v>
          </cell>
          <cell r="L103">
            <v>45986</v>
          </cell>
          <cell r="M103" t="str">
            <v>0-初始未打印</v>
          </cell>
        </row>
        <row r="103">
          <cell r="O103">
            <v>0</v>
          </cell>
          <cell r="P103" t="str">
            <v>中国航发航空科技股份有限公司</v>
          </cell>
          <cell r="Q103" t="str">
            <v>600</v>
          </cell>
        </row>
        <row r="103">
          <cell r="U103" t="str">
            <v>010000569445</v>
          </cell>
          <cell r="V103" t="str">
            <v/>
          </cell>
          <cell r="W103" t="str">
            <v/>
          </cell>
          <cell r="X103" t="str">
            <v>CP-69-2-4-13</v>
          </cell>
          <cell r="Y103" t="str">
            <v/>
          </cell>
          <cell r="Z103" t="str">
            <v>1902</v>
          </cell>
          <cell r="AA103" t="str">
            <v>1100108189</v>
          </cell>
          <cell r="AB103">
            <v>6100</v>
          </cell>
          <cell r="AC103" t="str">
            <v/>
          </cell>
          <cell r="AD103">
            <v>4.51</v>
          </cell>
          <cell r="AE103" t="str">
            <v>G0552-221228-352-4</v>
          </cell>
        </row>
        <row r="104">
          <cell r="B104" t="str">
            <v>7101041022</v>
          </cell>
          <cell r="C104" t="str">
            <v>G2301-1278</v>
          </cell>
          <cell r="D104" t="str">
            <v>000042944320012617</v>
          </cell>
          <cell r="E104" t="str">
            <v>铆钉</v>
          </cell>
          <cell r="F104" t="str">
            <v>S18.7.0220</v>
          </cell>
          <cell r="G104" t="str">
            <v>-</v>
          </cell>
          <cell r="H104" t="str">
            <v>固溶</v>
          </cell>
          <cell r="I104" t="str">
            <v>Ct·P</v>
          </cell>
          <cell r="J104" t="str">
            <v>ML1Cr18Ni9Ti-R</v>
          </cell>
          <cell r="K104">
            <v>3547</v>
          </cell>
          <cell r="L104">
            <v>45986</v>
          </cell>
          <cell r="M104" t="str">
            <v>0-初始未打印</v>
          </cell>
        </row>
        <row r="104">
          <cell r="O104">
            <v>0</v>
          </cell>
          <cell r="P104" t="str">
            <v>中国航发航空科技股份有限公司</v>
          </cell>
          <cell r="Q104" t="str">
            <v>610</v>
          </cell>
        </row>
        <row r="104">
          <cell r="U104" t="str">
            <v>010000565113</v>
          </cell>
          <cell r="V104" t="str">
            <v/>
          </cell>
          <cell r="W104" t="str">
            <v/>
          </cell>
          <cell r="X104" t="str">
            <v>CP-108-A/CP-26-2-4-1</v>
          </cell>
          <cell r="Y104" t="str">
            <v/>
          </cell>
          <cell r="Z104" t="str">
            <v>1902</v>
          </cell>
          <cell r="AA104" t="str">
            <v>1100108189</v>
          </cell>
          <cell r="AB104">
            <v>6900</v>
          </cell>
          <cell r="AC104" t="str">
            <v/>
          </cell>
          <cell r="AD104">
            <v>4.61</v>
          </cell>
          <cell r="AE104" t="str">
            <v>G0552-221228-352-4</v>
          </cell>
        </row>
        <row r="105">
          <cell r="B105" t="str">
            <v>7101041024</v>
          </cell>
          <cell r="C105" t="str">
            <v>G2301-1293</v>
          </cell>
          <cell r="D105" t="str">
            <v>000042944320012617</v>
          </cell>
          <cell r="E105" t="str">
            <v>铆钉</v>
          </cell>
          <cell r="F105" t="str">
            <v>S18.7.0220</v>
          </cell>
          <cell r="G105" t="str">
            <v>-</v>
          </cell>
          <cell r="H105" t="str">
            <v>固溶</v>
          </cell>
          <cell r="I105" t="str">
            <v>Ct·P</v>
          </cell>
          <cell r="J105" t="str">
            <v>ML1Cr18Ni9Ti-R</v>
          </cell>
          <cell r="K105">
            <v>2861</v>
          </cell>
          <cell r="L105">
            <v>45986</v>
          </cell>
          <cell r="M105" t="str">
            <v>0-初始未打印</v>
          </cell>
        </row>
        <row r="105">
          <cell r="O105">
            <v>0</v>
          </cell>
          <cell r="P105" t="str">
            <v>中国航发航空科技股份有限公司</v>
          </cell>
          <cell r="Q105" t="str">
            <v>610</v>
          </cell>
        </row>
        <row r="105">
          <cell r="U105" t="str">
            <v>010000565182</v>
          </cell>
          <cell r="V105" t="str">
            <v/>
          </cell>
          <cell r="W105" t="str">
            <v/>
          </cell>
          <cell r="X105" t="str">
            <v>CP-65-3-3-12</v>
          </cell>
          <cell r="Y105" t="str">
            <v/>
          </cell>
          <cell r="Z105" t="str">
            <v>1902</v>
          </cell>
          <cell r="AA105" t="str">
            <v>1100108189</v>
          </cell>
          <cell r="AB105">
            <v>6900</v>
          </cell>
          <cell r="AC105" t="str">
            <v/>
          </cell>
          <cell r="AD105">
            <v>4.61</v>
          </cell>
          <cell r="AE105" t="str">
            <v>G0552-221228-352-4</v>
          </cell>
        </row>
        <row r="106">
          <cell r="B106" t="str">
            <v>7101041026</v>
          </cell>
          <cell r="C106" t="str">
            <v>G2302-2957</v>
          </cell>
          <cell r="D106" t="str">
            <v>000042944320012617</v>
          </cell>
          <cell r="E106" t="str">
            <v>铆钉</v>
          </cell>
          <cell r="F106" t="str">
            <v>S18.7.0220</v>
          </cell>
          <cell r="G106" t="str">
            <v>-</v>
          </cell>
          <cell r="H106" t="str">
            <v>固溶</v>
          </cell>
          <cell r="I106" t="str">
            <v>Ct·P</v>
          </cell>
          <cell r="J106" t="str">
            <v>ML1Cr18Ni9Ti-R</v>
          </cell>
          <cell r="K106">
            <v>492</v>
          </cell>
          <cell r="L106">
            <v>45986</v>
          </cell>
          <cell r="M106" t="str">
            <v>0-初始未打印</v>
          </cell>
        </row>
        <row r="106">
          <cell r="O106">
            <v>0</v>
          </cell>
          <cell r="P106" t="str">
            <v>中国航发航空科技股份有限公司</v>
          </cell>
          <cell r="Q106" t="str">
            <v>610</v>
          </cell>
        </row>
        <row r="106">
          <cell r="U106" t="str">
            <v>010000577958</v>
          </cell>
          <cell r="V106" t="str">
            <v/>
          </cell>
          <cell r="W106" t="str">
            <v/>
          </cell>
          <cell r="X106" t="str">
            <v>CP-108-A/CP-26-2-4-2</v>
          </cell>
          <cell r="Y106" t="str">
            <v/>
          </cell>
          <cell r="Z106" t="str">
            <v>1902</v>
          </cell>
          <cell r="AA106" t="str">
            <v>1100108189</v>
          </cell>
          <cell r="AB106">
            <v>6900</v>
          </cell>
          <cell r="AC106" t="str">
            <v/>
          </cell>
          <cell r="AD106">
            <v>4.61</v>
          </cell>
          <cell r="AE106" t="str">
            <v>G0552-221228-352-4</v>
          </cell>
        </row>
        <row r="107">
          <cell r="B107" t="str">
            <v>7101041030</v>
          </cell>
          <cell r="C107" t="str">
            <v>G2301-0092</v>
          </cell>
          <cell r="D107" t="str">
            <v>000042944320012618</v>
          </cell>
          <cell r="E107" t="str">
            <v>铆钉</v>
          </cell>
          <cell r="F107" t="str">
            <v>S18.7.0221</v>
          </cell>
          <cell r="G107" t="str">
            <v>-</v>
          </cell>
          <cell r="H107" t="str">
            <v>固溶</v>
          </cell>
          <cell r="I107" t="str">
            <v>Ct·P</v>
          </cell>
          <cell r="J107" t="str">
            <v>ML1Cr18Ni9Ti-R</v>
          </cell>
          <cell r="K107">
            <v>4400</v>
          </cell>
          <cell r="L107">
            <v>45986</v>
          </cell>
          <cell r="M107" t="str">
            <v>0-初始未打印</v>
          </cell>
        </row>
        <row r="107">
          <cell r="O107">
            <v>0</v>
          </cell>
          <cell r="P107" t="str">
            <v>中国航发航空科技股份有限公司</v>
          </cell>
          <cell r="Q107" t="str">
            <v>620</v>
          </cell>
        </row>
        <row r="107">
          <cell r="U107" t="str">
            <v>010000561204</v>
          </cell>
          <cell r="V107" t="str">
            <v/>
          </cell>
          <cell r="W107" t="str">
            <v/>
          </cell>
          <cell r="X107" t="str">
            <v>CP-66-4-4-8</v>
          </cell>
          <cell r="Y107" t="str">
            <v/>
          </cell>
          <cell r="Z107" t="str">
            <v>1902</v>
          </cell>
          <cell r="AA107" t="str">
            <v>1100108189</v>
          </cell>
          <cell r="AB107">
            <v>4400</v>
          </cell>
          <cell r="AC107" t="str">
            <v/>
          </cell>
          <cell r="AD107">
            <v>4.42</v>
          </cell>
          <cell r="AE107" t="str">
            <v>G0552-221228-352-4</v>
          </cell>
        </row>
        <row r="108">
          <cell r="B108" t="str">
            <v>7101041042</v>
          </cell>
          <cell r="C108" t="str">
            <v>G2301-1279</v>
          </cell>
          <cell r="D108" t="str">
            <v>000042944320012619</v>
          </cell>
          <cell r="E108" t="str">
            <v>铆钉</v>
          </cell>
          <cell r="F108" t="str">
            <v>S18.7.0222</v>
          </cell>
          <cell r="G108" t="str">
            <v>-</v>
          </cell>
          <cell r="H108" t="str">
            <v>固溶</v>
          </cell>
          <cell r="I108" t="str">
            <v/>
          </cell>
          <cell r="J108" t="str">
            <v>GH3030</v>
          </cell>
          <cell r="K108">
            <v>3000</v>
          </cell>
          <cell r="L108">
            <v>45986</v>
          </cell>
          <cell r="M108" t="str">
            <v>0-初始未打印</v>
          </cell>
        </row>
        <row r="108">
          <cell r="O108">
            <v>0</v>
          </cell>
          <cell r="P108" t="str">
            <v>中国航发航空科技股份有限公司</v>
          </cell>
          <cell r="Q108" t="str">
            <v>630</v>
          </cell>
        </row>
        <row r="108">
          <cell r="U108" t="str">
            <v>010000565114</v>
          </cell>
          <cell r="V108" t="str">
            <v/>
          </cell>
          <cell r="W108" t="str">
            <v/>
          </cell>
          <cell r="X108" t="str">
            <v>CP-108-A</v>
          </cell>
          <cell r="Y108" t="str">
            <v/>
          </cell>
          <cell r="Z108" t="str">
            <v>1902</v>
          </cell>
          <cell r="AA108" t="str">
            <v>1100108189</v>
          </cell>
          <cell r="AB108">
            <v>3000</v>
          </cell>
          <cell r="AC108" t="str">
            <v/>
          </cell>
          <cell r="AD108">
            <v>8.06</v>
          </cell>
          <cell r="AE108" t="str">
            <v>G0552-221228-352-4</v>
          </cell>
        </row>
        <row r="109">
          <cell r="B109" t="str">
            <v>7101041044</v>
          </cell>
          <cell r="C109" t="str">
            <v>G2301-3002</v>
          </cell>
          <cell r="D109" t="str">
            <v>000042944320012626</v>
          </cell>
          <cell r="E109" t="str">
            <v>铆钉</v>
          </cell>
          <cell r="F109" t="str">
            <v>S18.7.0301</v>
          </cell>
          <cell r="G109" t="str">
            <v>-</v>
          </cell>
          <cell r="H109" t="str">
            <v>固溶</v>
          </cell>
          <cell r="I109" t="str">
            <v>Ct·P</v>
          </cell>
          <cell r="J109" t="str">
            <v>ML1Cr18Ni9Ti-R</v>
          </cell>
          <cell r="K109">
            <v>5000</v>
          </cell>
          <cell r="L109">
            <v>45986</v>
          </cell>
          <cell r="M109" t="str">
            <v>0-初始未打印</v>
          </cell>
        </row>
        <row r="109">
          <cell r="O109">
            <v>0</v>
          </cell>
          <cell r="P109" t="str">
            <v>中国航发航空科技股份有限公司</v>
          </cell>
          <cell r="Q109" t="str">
            <v>640</v>
          </cell>
        </row>
        <row r="109">
          <cell r="U109" t="str">
            <v>010000569446</v>
          </cell>
          <cell r="V109" t="str">
            <v/>
          </cell>
          <cell r="W109" t="str">
            <v/>
          </cell>
          <cell r="X109" t="str">
            <v>CP-47-1-3-2</v>
          </cell>
          <cell r="Y109" t="str">
            <v/>
          </cell>
          <cell r="Z109" t="str">
            <v>1902</v>
          </cell>
          <cell r="AA109" t="str">
            <v>1100108189</v>
          </cell>
          <cell r="AB109">
            <v>5000</v>
          </cell>
          <cell r="AC109" t="str">
            <v/>
          </cell>
          <cell r="AD109">
            <v>4.8</v>
          </cell>
          <cell r="AE109" t="str">
            <v>G0552-221228-352-4</v>
          </cell>
        </row>
        <row r="110">
          <cell r="B110" t="str">
            <v>7101041045</v>
          </cell>
          <cell r="C110" t="str">
            <v>G2301-3003</v>
          </cell>
          <cell r="D110" t="str">
            <v>000042944320012627</v>
          </cell>
          <cell r="E110" t="str">
            <v>铆钉</v>
          </cell>
          <cell r="F110" t="str">
            <v>S18.7.0302</v>
          </cell>
          <cell r="G110" t="str">
            <v>-</v>
          </cell>
          <cell r="H110" t="str">
            <v>固溶</v>
          </cell>
          <cell r="I110" t="str">
            <v>Ct·P</v>
          </cell>
          <cell r="J110" t="str">
            <v>ML1Cr18Ni9Ti-R</v>
          </cell>
          <cell r="K110">
            <v>70</v>
          </cell>
          <cell r="L110">
            <v>45986</v>
          </cell>
          <cell r="M110" t="str">
            <v>0-初始未打印</v>
          </cell>
        </row>
        <row r="110">
          <cell r="O110">
            <v>0</v>
          </cell>
          <cell r="P110" t="str">
            <v>中国航发航空科技股份有限公司</v>
          </cell>
          <cell r="Q110" t="str">
            <v>650</v>
          </cell>
        </row>
        <row r="110">
          <cell r="U110" t="str">
            <v>010000569447</v>
          </cell>
          <cell r="V110" t="str">
            <v/>
          </cell>
          <cell r="W110" t="str">
            <v/>
          </cell>
          <cell r="X110" t="str">
            <v>CP-68-2-3-15</v>
          </cell>
          <cell r="Y110" t="str">
            <v/>
          </cell>
          <cell r="Z110" t="str">
            <v>1902</v>
          </cell>
          <cell r="AA110" t="str">
            <v>1100108189</v>
          </cell>
          <cell r="AB110">
            <v>70</v>
          </cell>
          <cell r="AC110" t="str">
            <v/>
          </cell>
          <cell r="AD110">
            <v>5.86</v>
          </cell>
          <cell r="AE110" t="str">
            <v>G0552-221228-352-4</v>
          </cell>
        </row>
        <row r="111">
          <cell r="B111" t="str">
            <v>7101041048</v>
          </cell>
          <cell r="C111" t="str">
            <v>G2301-3004</v>
          </cell>
          <cell r="D111" t="str">
            <v>000042944320012628</v>
          </cell>
          <cell r="E111" t="str">
            <v>铆钉</v>
          </cell>
          <cell r="F111" t="str">
            <v>S18.7.0303</v>
          </cell>
          <cell r="G111" t="str">
            <v>-</v>
          </cell>
          <cell r="H111" t="str">
            <v>固溶</v>
          </cell>
          <cell r="I111" t="str">
            <v>Ct·P</v>
          </cell>
          <cell r="J111" t="str">
            <v>ML1Cr18Ni9Ti-R</v>
          </cell>
          <cell r="K111">
            <v>510</v>
          </cell>
          <cell r="L111">
            <v>45986</v>
          </cell>
          <cell r="M111" t="str">
            <v>0-初始未打印</v>
          </cell>
        </row>
        <row r="111">
          <cell r="O111">
            <v>0</v>
          </cell>
          <cell r="P111" t="str">
            <v>中国航发航空科技股份有限公司</v>
          </cell>
          <cell r="Q111" t="str">
            <v>660</v>
          </cell>
        </row>
        <row r="111">
          <cell r="U111" t="str">
            <v>010000569448</v>
          </cell>
          <cell r="V111" t="str">
            <v/>
          </cell>
          <cell r="W111" t="str">
            <v/>
          </cell>
          <cell r="X111" t="str">
            <v>CP-108-A/CP-26-5-3-1</v>
          </cell>
          <cell r="Y111" t="str">
            <v/>
          </cell>
          <cell r="Z111" t="str">
            <v>1902</v>
          </cell>
          <cell r="AA111" t="str">
            <v>1100108189</v>
          </cell>
          <cell r="AB111">
            <v>510</v>
          </cell>
          <cell r="AC111" t="str">
            <v/>
          </cell>
          <cell r="AD111">
            <v>3.74</v>
          </cell>
          <cell r="AE111" t="str">
            <v>G0552-221228-352-4</v>
          </cell>
        </row>
        <row r="112">
          <cell r="B112" t="str">
            <v>7101041049</v>
          </cell>
          <cell r="C112" t="str">
            <v>G2301-0083</v>
          </cell>
          <cell r="D112" t="str">
            <v>000042944288075590</v>
          </cell>
          <cell r="E112" t="str">
            <v>自锁螺母</v>
          </cell>
          <cell r="F112" t="str">
            <v>S18.4.0211</v>
          </cell>
          <cell r="G112" t="str">
            <v>-</v>
          </cell>
          <cell r="H112" t="str">
            <v>HRC27-35</v>
          </cell>
          <cell r="I112" t="str">
            <v>Ep·Ag5-8</v>
          </cell>
          <cell r="J112" t="str">
            <v>30CrMnSiA</v>
          </cell>
          <cell r="K112">
            <v>404</v>
          </cell>
          <cell r="L112">
            <v>45986</v>
          </cell>
          <cell r="M112" t="str">
            <v>0-初始未打印</v>
          </cell>
        </row>
        <row r="112">
          <cell r="O112">
            <v>0</v>
          </cell>
          <cell r="P112" t="str">
            <v>中国航发航空科技股份有限公司</v>
          </cell>
          <cell r="Q112" t="str">
            <v>690</v>
          </cell>
        </row>
        <row r="112">
          <cell r="U112" t="str">
            <v>010000561189</v>
          </cell>
          <cell r="V112" t="str">
            <v/>
          </cell>
          <cell r="W112" t="str">
            <v/>
          </cell>
          <cell r="X112" t="str">
            <v>CP-24-2-4-11</v>
          </cell>
          <cell r="Y112" t="str">
            <v/>
          </cell>
          <cell r="Z112" t="str">
            <v>1902</v>
          </cell>
          <cell r="AA112" t="str">
            <v>1100108189</v>
          </cell>
          <cell r="AB112">
            <v>404</v>
          </cell>
          <cell r="AC112" t="str">
            <v/>
          </cell>
          <cell r="AD112">
            <v>17.5</v>
          </cell>
          <cell r="AE112" t="str">
            <v>G0552-221228-352-4</v>
          </cell>
        </row>
        <row r="113">
          <cell r="B113" t="str">
            <v>7101041050</v>
          </cell>
          <cell r="C113" t="str">
            <v>G2301-1949</v>
          </cell>
          <cell r="D113" t="str">
            <v>000042944288075591</v>
          </cell>
          <cell r="E113" t="str">
            <v>自锁螺母</v>
          </cell>
          <cell r="F113" t="str">
            <v>S18.4.0212</v>
          </cell>
          <cell r="G113" t="str">
            <v>-</v>
          </cell>
          <cell r="H113" t="str">
            <v>HRC27-35</v>
          </cell>
          <cell r="I113" t="str">
            <v>Ep·Ag5-8</v>
          </cell>
          <cell r="J113" t="str">
            <v>30CrMnSiA</v>
          </cell>
          <cell r="K113">
            <v>404</v>
          </cell>
          <cell r="L113">
            <v>45986</v>
          </cell>
          <cell r="M113" t="str">
            <v>0-初始未打印</v>
          </cell>
        </row>
        <row r="113">
          <cell r="O113">
            <v>0</v>
          </cell>
          <cell r="P113" t="str">
            <v>中国航发航空科技股份有限公司</v>
          </cell>
          <cell r="Q113" t="str">
            <v>700</v>
          </cell>
        </row>
        <row r="113">
          <cell r="U113" t="str">
            <v>010000566412</v>
          </cell>
          <cell r="V113" t="str">
            <v/>
          </cell>
          <cell r="W113" t="str">
            <v/>
          </cell>
          <cell r="X113" t="str">
            <v>CP-61-3-2-11</v>
          </cell>
          <cell r="Y113" t="str">
            <v/>
          </cell>
          <cell r="Z113" t="str">
            <v>1902</v>
          </cell>
          <cell r="AA113" t="str">
            <v>1100108189</v>
          </cell>
          <cell r="AB113">
            <v>404</v>
          </cell>
          <cell r="AC113" t="str">
            <v/>
          </cell>
          <cell r="AD113">
            <v>17.5</v>
          </cell>
          <cell r="AE113" t="str">
            <v>G0552-221228-352-4</v>
          </cell>
        </row>
        <row r="114">
          <cell r="B114" t="str">
            <v>7101041052</v>
          </cell>
          <cell r="C114" t="str">
            <v>G2301-0093</v>
          </cell>
          <cell r="D114" t="str">
            <v>000042944320097654</v>
          </cell>
          <cell r="E114" t="str">
            <v>铆钉</v>
          </cell>
          <cell r="F114" t="str">
            <v>S18.7.0130</v>
          </cell>
          <cell r="G114" t="str">
            <v>-</v>
          </cell>
          <cell r="H114" t="str">
            <v>固溶</v>
          </cell>
          <cell r="I114" t="str">
            <v>Ct·P</v>
          </cell>
          <cell r="J114" t="str">
            <v>ML1Cr18Ni9Ti-R</v>
          </cell>
          <cell r="K114">
            <v>1309</v>
          </cell>
          <cell r="L114">
            <v>45986</v>
          </cell>
          <cell r="M114" t="str">
            <v>0-初始未打印</v>
          </cell>
        </row>
        <row r="114">
          <cell r="O114">
            <v>0</v>
          </cell>
          <cell r="P114" t="str">
            <v>中国航发航空科技股份有限公司</v>
          </cell>
          <cell r="Q114" t="str">
            <v>710</v>
          </cell>
        </row>
        <row r="114">
          <cell r="U114" t="str">
            <v>010000561208</v>
          </cell>
          <cell r="V114" t="str">
            <v/>
          </cell>
          <cell r="W114" t="str">
            <v/>
          </cell>
          <cell r="X114" t="str">
            <v>CP-108-A/CP-26-3-4-6</v>
          </cell>
          <cell r="Y114" t="str">
            <v/>
          </cell>
          <cell r="Z114" t="str">
            <v>1902</v>
          </cell>
          <cell r="AA114" t="str">
            <v>1100108189</v>
          </cell>
          <cell r="AB114">
            <v>1560</v>
          </cell>
          <cell r="AC114" t="str">
            <v/>
          </cell>
          <cell r="AD114">
            <v>3.4</v>
          </cell>
          <cell r="AE114" t="str">
            <v>G0552-221228-352-4</v>
          </cell>
        </row>
        <row r="115">
          <cell r="B115" t="str">
            <v>7101041055</v>
          </cell>
          <cell r="C115" t="str">
            <v>G2309-0488</v>
          </cell>
          <cell r="D115" t="str">
            <v>000042944320097654</v>
          </cell>
          <cell r="E115" t="str">
            <v>铆钉</v>
          </cell>
          <cell r="F115" t="str">
            <v>S18.7.0130</v>
          </cell>
          <cell r="G115" t="str">
            <v>-</v>
          </cell>
          <cell r="H115" t="str">
            <v>固溶</v>
          </cell>
          <cell r="I115" t="str">
            <v>Ct·P</v>
          </cell>
          <cell r="J115" t="str">
            <v>ML1Cr18Ni9Ti-R</v>
          </cell>
          <cell r="K115">
            <v>251</v>
          </cell>
          <cell r="L115">
            <v>45986</v>
          </cell>
          <cell r="M115" t="str">
            <v>0-初始未打印</v>
          </cell>
        </row>
        <row r="115">
          <cell r="O115">
            <v>0</v>
          </cell>
          <cell r="P115" t="str">
            <v>中国航发航空科技股份有限公司</v>
          </cell>
          <cell r="Q115" t="str">
            <v>710</v>
          </cell>
        </row>
        <row r="115">
          <cell r="U115" t="str">
            <v>010000631657</v>
          </cell>
          <cell r="V115" t="str">
            <v/>
          </cell>
          <cell r="W115" t="str">
            <v/>
          </cell>
          <cell r="X115" t="str">
            <v>CP-36-3-2-11</v>
          </cell>
          <cell r="Y115" t="str">
            <v/>
          </cell>
          <cell r="Z115" t="str">
            <v>1902</v>
          </cell>
          <cell r="AA115" t="str">
            <v>1100108189</v>
          </cell>
          <cell r="AB115">
            <v>1560</v>
          </cell>
          <cell r="AC115" t="str">
            <v/>
          </cell>
          <cell r="AD115">
            <v>3.4</v>
          </cell>
          <cell r="AE115" t="str">
            <v>G0552-221228-352-4</v>
          </cell>
        </row>
        <row r="116">
          <cell r="B116" t="str">
            <v>7101041057</v>
          </cell>
          <cell r="C116" t="str">
            <v>G2212-0556</v>
          </cell>
          <cell r="D116" t="str">
            <v>000042944000004180</v>
          </cell>
          <cell r="E116" t="str">
            <v>密封圈</v>
          </cell>
          <cell r="F116" t="str">
            <v>S18.0.0045</v>
          </cell>
          <cell r="G116" t="str">
            <v>-</v>
          </cell>
          <cell r="H116" t="str">
            <v/>
          </cell>
          <cell r="I116" t="str">
            <v/>
          </cell>
          <cell r="J116" t="str">
            <v>T2-M</v>
          </cell>
          <cell r="K116">
            <v>4</v>
          </cell>
          <cell r="L116">
            <v>45986</v>
          </cell>
          <cell r="M116" t="str">
            <v>0-初始未打印</v>
          </cell>
        </row>
        <row r="116">
          <cell r="O116">
            <v>0</v>
          </cell>
          <cell r="P116" t="str">
            <v>中国航发航空科技股份有限公司</v>
          </cell>
          <cell r="Q116" t="str">
            <v>730</v>
          </cell>
        </row>
        <row r="116">
          <cell r="U116" t="str">
            <v>010000555157</v>
          </cell>
          <cell r="V116" t="str">
            <v/>
          </cell>
          <cell r="W116" t="str">
            <v/>
          </cell>
          <cell r="X116" t="str">
            <v>CP-60-1-1-3</v>
          </cell>
          <cell r="Y116" t="str">
            <v/>
          </cell>
          <cell r="Z116" t="str">
            <v>1902</v>
          </cell>
          <cell r="AA116" t="str">
            <v>1100108189</v>
          </cell>
          <cell r="AB116">
            <v>258</v>
          </cell>
          <cell r="AC116" t="str">
            <v>GJ2212-00556-D-4A</v>
          </cell>
          <cell r="AD116">
            <v>8.5</v>
          </cell>
          <cell r="AE116" t="str">
            <v>G0552-221228-352-4</v>
          </cell>
        </row>
        <row r="117">
          <cell r="B117" t="str">
            <v>7101041059</v>
          </cell>
          <cell r="C117" t="str">
            <v>G2301-2456</v>
          </cell>
          <cell r="D117" t="str">
            <v>000042944000004180</v>
          </cell>
          <cell r="E117" t="str">
            <v>密封圈</v>
          </cell>
          <cell r="F117" t="str">
            <v>S18.0.0045</v>
          </cell>
          <cell r="G117" t="str">
            <v>-</v>
          </cell>
          <cell r="H117" t="str">
            <v/>
          </cell>
          <cell r="I117" t="str">
            <v/>
          </cell>
          <cell r="J117" t="str">
            <v>T2-M</v>
          </cell>
          <cell r="K117">
            <v>254</v>
          </cell>
          <cell r="L117">
            <v>45986</v>
          </cell>
          <cell r="M117" t="str">
            <v>0-初始未打印</v>
          </cell>
        </row>
        <row r="117">
          <cell r="O117">
            <v>0</v>
          </cell>
          <cell r="P117" t="str">
            <v>中国航发航空科技股份有限公司</v>
          </cell>
          <cell r="Q117" t="str">
            <v>730</v>
          </cell>
        </row>
        <row r="117">
          <cell r="U117" t="str">
            <v>010000567544</v>
          </cell>
          <cell r="V117" t="str">
            <v/>
          </cell>
          <cell r="W117" t="str">
            <v/>
          </cell>
          <cell r="X117" t="str">
            <v>CP-108-A/CP-26-3-3-6</v>
          </cell>
          <cell r="Y117" t="str">
            <v/>
          </cell>
          <cell r="Z117" t="str">
            <v>1902</v>
          </cell>
          <cell r="AA117" t="str">
            <v>1100108189</v>
          </cell>
          <cell r="AB117">
            <v>258</v>
          </cell>
          <cell r="AC117" t="str">
            <v/>
          </cell>
          <cell r="AD117">
            <v>8.5</v>
          </cell>
          <cell r="AE117" t="str">
            <v>G0552-221228-352-4</v>
          </cell>
        </row>
        <row r="118">
          <cell r="B118" t="str">
            <v>7101041060</v>
          </cell>
          <cell r="C118" t="str">
            <v>G2302-0942</v>
          </cell>
          <cell r="D118" t="str">
            <v>000042944039112207</v>
          </cell>
          <cell r="E118" t="str">
            <v>螺套</v>
          </cell>
          <cell r="F118" t="str">
            <v>S18.6.0110</v>
          </cell>
          <cell r="G118" t="str">
            <v>2</v>
          </cell>
          <cell r="H118" t="str">
            <v>HRC30-37</v>
          </cell>
          <cell r="I118" t="str">
            <v>镀镉3-8μm,钝化</v>
          </cell>
          <cell r="J118" t="str">
            <v>38CrA</v>
          </cell>
          <cell r="K118">
            <v>292</v>
          </cell>
          <cell r="L118">
            <v>45986</v>
          </cell>
          <cell r="M118" t="str">
            <v>0-初始未打印</v>
          </cell>
        </row>
        <row r="118">
          <cell r="O118">
            <v>0</v>
          </cell>
          <cell r="P118" t="str">
            <v>中国航发航空科技股份有限公司</v>
          </cell>
          <cell r="Q118" t="str">
            <v>790</v>
          </cell>
        </row>
        <row r="118">
          <cell r="U118" t="str">
            <v>010000573619</v>
          </cell>
          <cell r="V118" t="str">
            <v/>
          </cell>
          <cell r="W118" t="str">
            <v/>
          </cell>
          <cell r="X118" t="str">
            <v>CP-108-A/CP-26-4-4-3</v>
          </cell>
          <cell r="Y118" t="str">
            <v/>
          </cell>
          <cell r="Z118" t="str">
            <v>1902</v>
          </cell>
          <cell r="AA118" t="str">
            <v>1100108189</v>
          </cell>
          <cell r="AB118">
            <v>300</v>
          </cell>
          <cell r="AC118" t="str">
            <v/>
          </cell>
          <cell r="AD118">
            <v>28</v>
          </cell>
          <cell r="AE118" t="str">
            <v>G0552-221228-352-4</v>
          </cell>
        </row>
        <row r="119">
          <cell r="B119" t="str">
            <v>7101041061</v>
          </cell>
          <cell r="C119" t="str">
            <v>G2305-1621</v>
          </cell>
          <cell r="D119" t="str">
            <v>000042944039112207</v>
          </cell>
          <cell r="E119" t="str">
            <v>螺套</v>
          </cell>
          <cell r="F119" t="str">
            <v>S18.6.0110</v>
          </cell>
          <cell r="G119" t="str">
            <v>2</v>
          </cell>
          <cell r="H119" t="str">
            <v>HRC30-37</v>
          </cell>
          <cell r="I119" t="str">
            <v>镀镉3-8μm,钝化</v>
          </cell>
          <cell r="J119" t="str">
            <v>38CrA</v>
          </cell>
          <cell r="K119">
            <v>8</v>
          </cell>
          <cell r="L119">
            <v>45986</v>
          </cell>
          <cell r="M119" t="str">
            <v>0-初始未打印</v>
          </cell>
        </row>
        <row r="119">
          <cell r="O119">
            <v>0</v>
          </cell>
          <cell r="P119" t="str">
            <v>中国航发航空科技股份有限公司</v>
          </cell>
          <cell r="Q119" t="str">
            <v>790</v>
          </cell>
        </row>
        <row r="119">
          <cell r="U119" t="str">
            <v>010000602766</v>
          </cell>
          <cell r="V119" t="str">
            <v/>
          </cell>
          <cell r="W119" t="str">
            <v/>
          </cell>
          <cell r="X119" t="str">
            <v>CP-58-1-4-6</v>
          </cell>
          <cell r="Y119" t="str">
            <v/>
          </cell>
          <cell r="Z119" t="str">
            <v>1902</v>
          </cell>
          <cell r="AA119" t="str">
            <v>1100108189</v>
          </cell>
          <cell r="AB119">
            <v>300</v>
          </cell>
          <cell r="AC119" t="str">
            <v/>
          </cell>
          <cell r="AD119">
            <v>28</v>
          </cell>
          <cell r="AE119" t="str">
            <v>G0552-221228-352-4</v>
          </cell>
        </row>
        <row r="120">
          <cell r="B120" t="str">
            <v>7101041062</v>
          </cell>
          <cell r="C120" t="str">
            <v>G2302-2598</v>
          </cell>
          <cell r="D120" t="str">
            <v>000042944039112208</v>
          </cell>
          <cell r="E120" t="str">
            <v>螺套</v>
          </cell>
          <cell r="F120" t="str">
            <v>S18.6.0110</v>
          </cell>
          <cell r="G120" t="str">
            <v>3</v>
          </cell>
          <cell r="H120" t="str">
            <v>HRC30-37</v>
          </cell>
          <cell r="I120" t="str">
            <v>镀镉3-8μm,钝化</v>
          </cell>
          <cell r="J120" t="str">
            <v>38CrA</v>
          </cell>
          <cell r="K120">
            <v>293</v>
          </cell>
          <cell r="L120">
            <v>45986</v>
          </cell>
          <cell r="M120" t="str">
            <v>0-初始未打印</v>
          </cell>
        </row>
        <row r="120">
          <cell r="O120">
            <v>0</v>
          </cell>
          <cell r="P120" t="str">
            <v>中国航发航空科技股份有限公司</v>
          </cell>
          <cell r="Q120" t="str">
            <v>800</v>
          </cell>
        </row>
        <row r="120">
          <cell r="U120" t="str">
            <v>010000577221</v>
          </cell>
          <cell r="V120" t="str">
            <v/>
          </cell>
          <cell r="W120" t="str">
            <v/>
          </cell>
          <cell r="X120" t="str">
            <v>CP-108-A/CP-26-5-2-2</v>
          </cell>
          <cell r="Y120" t="str">
            <v/>
          </cell>
          <cell r="Z120" t="str">
            <v>1902</v>
          </cell>
          <cell r="AA120" t="str">
            <v>1100108189</v>
          </cell>
          <cell r="AB120">
            <v>300</v>
          </cell>
          <cell r="AC120" t="str">
            <v/>
          </cell>
          <cell r="AD120">
            <v>28</v>
          </cell>
          <cell r="AE120" t="str">
            <v>G0552-221228-352-4</v>
          </cell>
        </row>
        <row r="121">
          <cell r="B121" t="str">
            <v>7101041063</v>
          </cell>
          <cell r="C121" t="str">
            <v>G2305-1622</v>
          </cell>
          <cell r="D121" t="str">
            <v>000042944039112208</v>
          </cell>
          <cell r="E121" t="str">
            <v>螺套</v>
          </cell>
          <cell r="F121" t="str">
            <v>S18.6.0110</v>
          </cell>
          <cell r="G121" t="str">
            <v>3</v>
          </cell>
          <cell r="H121" t="str">
            <v>HRC30-37</v>
          </cell>
          <cell r="I121" t="str">
            <v>镀镉3-8μm,钝化</v>
          </cell>
          <cell r="J121" t="str">
            <v>38CrA</v>
          </cell>
          <cell r="K121">
            <v>7</v>
          </cell>
          <cell r="L121">
            <v>45986</v>
          </cell>
          <cell r="M121" t="str">
            <v>0-初始未打印</v>
          </cell>
        </row>
        <row r="121">
          <cell r="O121">
            <v>0</v>
          </cell>
          <cell r="P121" t="str">
            <v>中国航发航空科技股份有限公司</v>
          </cell>
          <cell r="Q121" t="str">
            <v>800</v>
          </cell>
        </row>
        <row r="121">
          <cell r="U121" t="str">
            <v>010000602767</v>
          </cell>
          <cell r="V121" t="str">
            <v/>
          </cell>
          <cell r="W121" t="str">
            <v/>
          </cell>
          <cell r="X121" t="str">
            <v>CP-58-3-4-7</v>
          </cell>
          <cell r="Y121" t="str">
            <v/>
          </cell>
          <cell r="Z121" t="str">
            <v>1902</v>
          </cell>
          <cell r="AA121" t="str">
            <v>1100108189</v>
          </cell>
          <cell r="AB121">
            <v>300</v>
          </cell>
          <cell r="AC121" t="str">
            <v/>
          </cell>
          <cell r="AD121">
            <v>28</v>
          </cell>
          <cell r="AE121" t="str">
            <v>G0552-221228-352-4</v>
          </cell>
        </row>
        <row r="122">
          <cell r="B122" t="str">
            <v>7101041064</v>
          </cell>
          <cell r="C122" t="str">
            <v>G2411-2945</v>
          </cell>
          <cell r="D122" t="str">
            <v>000042944440000467</v>
          </cell>
          <cell r="E122" t="str">
            <v>挡圈</v>
          </cell>
          <cell r="F122" t="str">
            <v>S18.5.0807</v>
          </cell>
          <cell r="G122" t="str">
            <v>-</v>
          </cell>
          <cell r="H122" t="str">
            <v>44-48HRC</v>
          </cell>
          <cell r="I122" t="str">
            <v>Ep·Cd8-12·c2C</v>
          </cell>
          <cell r="J122" t="str">
            <v>60Si2MnA</v>
          </cell>
          <cell r="K122">
            <v>330</v>
          </cell>
          <cell r="L122">
            <v>45986</v>
          </cell>
          <cell r="M122" t="str">
            <v>0-初始未打印</v>
          </cell>
        </row>
        <row r="122">
          <cell r="O122">
            <v>0</v>
          </cell>
          <cell r="P122" t="str">
            <v>中国航发航空科技股份有限公司</v>
          </cell>
          <cell r="Q122" t="str">
            <v>810</v>
          </cell>
        </row>
        <row r="122">
          <cell r="U122" t="str">
            <v>010000755879</v>
          </cell>
          <cell r="V122" t="str">
            <v/>
          </cell>
          <cell r="W122" t="str">
            <v/>
          </cell>
          <cell r="X122" t="str">
            <v>CP-108-A</v>
          </cell>
          <cell r="Y122" t="str">
            <v/>
          </cell>
          <cell r="Z122" t="str">
            <v>1902</v>
          </cell>
          <cell r="AA122" t="str">
            <v>1100108189</v>
          </cell>
          <cell r="AB122">
            <v>330</v>
          </cell>
          <cell r="AC122" t="str">
            <v/>
          </cell>
          <cell r="AD122">
            <v>61.44</v>
          </cell>
          <cell r="AE122" t="str">
            <v>G0552-221228-352-4</v>
          </cell>
        </row>
        <row r="123">
          <cell r="B123" t="str">
            <v>7101041065</v>
          </cell>
          <cell r="C123" t="str">
            <v>G2301-7566</v>
          </cell>
          <cell r="D123" t="str">
            <v>000042944319002069</v>
          </cell>
          <cell r="E123" t="str">
            <v>外套螺母</v>
          </cell>
          <cell r="F123" t="str">
            <v>S18.4.0026</v>
          </cell>
          <cell r="G123" t="str">
            <v>-</v>
          </cell>
          <cell r="H123" t="str">
            <v/>
          </cell>
          <cell r="I123" t="str">
            <v>Et·A(S)·Cs</v>
          </cell>
          <cell r="J123" t="str">
            <v>2A12-T4</v>
          </cell>
          <cell r="K123">
            <v>300</v>
          </cell>
          <cell r="L123">
            <v>45986</v>
          </cell>
          <cell r="M123" t="str">
            <v>0-初始未打印</v>
          </cell>
        </row>
        <row r="123">
          <cell r="O123">
            <v>0</v>
          </cell>
          <cell r="P123" t="str">
            <v>中国航发航空科技股份有限公司</v>
          </cell>
          <cell r="Q123" t="str">
            <v>820</v>
          </cell>
        </row>
        <row r="123">
          <cell r="U123" t="str">
            <v/>
          </cell>
          <cell r="V123" t="str">
            <v/>
          </cell>
          <cell r="W123" t="str">
            <v/>
          </cell>
          <cell r="X123" t="str">
            <v>XH-000/CP-9-5-3-1</v>
          </cell>
          <cell r="Y123" t="str">
            <v/>
          </cell>
          <cell r="Z123" t="str">
            <v>1902</v>
          </cell>
          <cell r="AA123" t="str">
            <v>1100108189</v>
          </cell>
          <cell r="AB123">
            <v>300</v>
          </cell>
          <cell r="AC123" t="str">
            <v/>
          </cell>
          <cell r="AD123">
            <v>88.8</v>
          </cell>
          <cell r="AE123" t="str">
            <v>G0552-221228-352-4</v>
          </cell>
        </row>
        <row r="124">
          <cell r="B124" t="str">
            <v>7101041066</v>
          </cell>
          <cell r="C124" t="str">
            <v>G2305-2653</v>
          </cell>
          <cell r="D124" t="str">
            <v>000042944239048746</v>
          </cell>
          <cell r="E124" t="str">
            <v>螺栓</v>
          </cell>
          <cell r="F124" t="str">
            <v>S18.42.4119</v>
          </cell>
          <cell r="G124" t="str">
            <v>Ⅰ</v>
          </cell>
          <cell r="H124" t="str">
            <v>d=3.3-3.55</v>
          </cell>
          <cell r="I124" t="str">
            <v/>
          </cell>
          <cell r="J124" t="str">
            <v>GH4698</v>
          </cell>
          <cell r="K124">
            <v>1171</v>
          </cell>
          <cell r="L124">
            <v>45986</v>
          </cell>
          <cell r="M124" t="str">
            <v>0-初始未打印</v>
          </cell>
        </row>
        <row r="124">
          <cell r="O124">
            <v>0</v>
          </cell>
          <cell r="P124" t="str">
            <v>中国航发航空科技股份有限公司</v>
          </cell>
          <cell r="Q124" t="str">
            <v>830</v>
          </cell>
        </row>
        <row r="124">
          <cell r="U124" t="str">
            <v>010000605766</v>
          </cell>
          <cell r="V124" t="str">
            <v/>
          </cell>
          <cell r="W124" t="str">
            <v/>
          </cell>
          <cell r="X124" t="str">
            <v>CP-30-5-2-10</v>
          </cell>
          <cell r="Y124" t="str">
            <v/>
          </cell>
          <cell r="Z124" t="str">
            <v>1902</v>
          </cell>
          <cell r="AA124" t="str">
            <v>1100108189</v>
          </cell>
          <cell r="AB124">
            <v>2509</v>
          </cell>
          <cell r="AC124" t="str">
            <v/>
          </cell>
          <cell r="AD124">
            <v>130.68</v>
          </cell>
          <cell r="AE124" t="str">
            <v>G0552-221228-352-4</v>
          </cell>
        </row>
        <row r="125">
          <cell r="B125" t="str">
            <v>7101041067</v>
          </cell>
          <cell r="C125" t="str">
            <v>G2306-1734</v>
          </cell>
          <cell r="D125" t="str">
            <v>000042944239048746</v>
          </cell>
          <cell r="E125" t="str">
            <v>螺栓</v>
          </cell>
          <cell r="F125" t="str">
            <v>S18.42.4119</v>
          </cell>
          <cell r="G125" t="str">
            <v>Ⅰ</v>
          </cell>
          <cell r="H125" t="str">
            <v>d=3.3-3.55</v>
          </cell>
          <cell r="I125" t="str">
            <v/>
          </cell>
          <cell r="J125" t="str">
            <v>GH4698</v>
          </cell>
          <cell r="K125">
            <v>1338</v>
          </cell>
          <cell r="L125">
            <v>45986</v>
          </cell>
          <cell r="M125" t="str">
            <v>0-初始未打印</v>
          </cell>
        </row>
        <row r="125">
          <cell r="O125">
            <v>0</v>
          </cell>
          <cell r="P125" t="str">
            <v>中国航发航空科技股份有限公司</v>
          </cell>
          <cell r="Q125" t="str">
            <v>830</v>
          </cell>
        </row>
        <row r="125">
          <cell r="U125" t="str">
            <v>010000612181</v>
          </cell>
          <cell r="V125" t="str">
            <v/>
          </cell>
          <cell r="W125" t="str">
            <v/>
          </cell>
          <cell r="X125" t="str">
            <v>CP-26-3-3-4</v>
          </cell>
          <cell r="Y125" t="str">
            <v/>
          </cell>
          <cell r="Z125" t="str">
            <v>1902</v>
          </cell>
          <cell r="AA125" t="str">
            <v>1100108189</v>
          </cell>
          <cell r="AB125">
            <v>2509</v>
          </cell>
          <cell r="AC125" t="str">
            <v/>
          </cell>
          <cell r="AD125">
            <v>130.68</v>
          </cell>
          <cell r="AE125" t="str">
            <v>G0552-221228-352-4</v>
          </cell>
        </row>
        <row r="126">
          <cell r="B126" t="str">
            <v>7101041069</v>
          </cell>
          <cell r="C126" t="str">
            <v>G2301-1643</v>
          </cell>
          <cell r="D126" t="str">
            <v>000042944999095535</v>
          </cell>
          <cell r="E126" t="str">
            <v>空气滤堵头</v>
          </cell>
          <cell r="F126" t="str">
            <v>S18.00.0937</v>
          </cell>
          <cell r="G126" t="str">
            <v>-</v>
          </cell>
          <cell r="H126" t="str">
            <v>d=3.4-3.7</v>
          </cell>
          <cell r="I126" t="str">
            <v/>
          </cell>
          <cell r="J126" t="str">
            <v>13Cr11Ni2W2MoV</v>
          </cell>
          <cell r="K126">
            <v>330</v>
          </cell>
          <cell r="L126">
            <v>45986</v>
          </cell>
          <cell r="M126" t="str">
            <v>0-初始未打印</v>
          </cell>
        </row>
        <row r="126">
          <cell r="O126">
            <v>0</v>
          </cell>
          <cell r="P126" t="str">
            <v>中国航发航空科技股份有限公司</v>
          </cell>
          <cell r="Q126" t="str">
            <v>860</v>
          </cell>
        </row>
        <row r="126">
          <cell r="U126" t="str">
            <v>010000565971</v>
          </cell>
          <cell r="V126" t="str">
            <v/>
          </cell>
          <cell r="W126" t="str">
            <v/>
          </cell>
          <cell r="X126" t="str">
            <v>CP-64-2-3-6</v>
          </cell>
          <cell r="Y126" t="str">
            <v/>
          </cell>
          <cell r="Z126" t="str">
            <v>1902</v>
          </cell>
          <cell r="AA126" t="str">
            <v>1100108189</v>
          </cell>
          <cell r="AB126">
            <v>330</v>
          </cell>
          <cell r="AC126" t="str">
            <v/>
          </cell>
          <cell r="AD126">
            <v>19.78</v>
          </cell>
          <cell r="AE126" t="str">
            <v>G0552-221228-352-4</v>
          </cell>
        </row>
        <row r="127">
          <cell r="B127" t="str">
            <v>7101041070</v>
          </cell>
          <cell r="C127" t="str">
            <v>G2301-0448</v>
          </cell>
          <cell r="D127" t="str">
            <v>000042944160098147</v>
          </cell>
          <cell r="E127" t="str">
            <v>螺钉</v>
          </cell>
          <cell r="F127" t="str">
            <v>S18.15.3767</v>
          </cell>
          <cell r="G127" t="str">
            <v>-</v>
          </cell>
          <cell r="H127" t="str">
            <v>d=3.15-3.45</v>
          </cell>
          <cell r="I127" t="str">
            <v>Ct·P</v>
          </cell>
          <cell r="J127" t="str">
            <v>13Cr11Ni2W2MoV</v>
          </cell>
          <cell r="K127">
            <v>330</v>
          </cell>
          <cell r="L127">
            <v>45986</v>
          </cell>
          <cell r="M127" t="str">
            <v>0-初始未打印</v>
          </cell>
        </row>
        <row r="127">
          <cell r="O127">
            <v>0</v>
          </cell>
          <cell r="P127" t="str">
            <v>中国航发航空科技股份有限公司</v>
          </cell>
          <cell r="Q127" t="str">
            <v>890</v>
          </cell>
        </row>
        <row r="127">
          <cell r="U127" t="str">
            <v>010000561859</v>
          </cell>
          <cell r="V127" t="str">
            <v/>
          </cell>
          <cell r="W127" t="str">
            <v/>
          </cell>
          <cell r="X127" t="str">
            <v>CP-54-4-3-6</v>
          </cell>
          <cell r="Y127" t="str">
            <v/>
          </cell>
          <cell r="Z127" t="str">
            <v>1902</v>
          </cell>
          <cell r="AA127" t="str">
            <v>1100108189</v>
          </cell>
          <cell r="AB127">
            <v>330</v>
          </cell>
          <cell r="AC127" t="str">
            <v/>
          </cell>
          <cell r="AD127">
            <v>90.53</v>
          </cell>
          <cell r="AE127" t="str">
            <v>G0552-221228-352-4</v>
          </cell>
        </row>
        <row r="128">
          <cell r="B128" t="str">
            <v>7101041082</v>
          </cell>
          <cell r="C128" t="str">
            <v>G2301-7543</v>
          </cell>
          <cell r="D128" t="str">
            <v>000042944999008920</v>
          </cell>
          <cell r="E128" t="str">
            <v>螺帽</v>
          </cell>
          <cell r="F128" t="str">
            <v>S18.40.4037</v>
          </cell>
          <cell r="G128" t="str">
            <v>-</v>
          </cell>
          <cell r="H128" t="str">
            <v>d=3.4-3.8</v>
          </cell>
          <cell r="I128" t="str">
            <v>Ct·P</v>
          </cell>
          <cell r="J128" t="str">
            <v>GH4033</v>
          </cell>
          <cell r="K128">
            <v>519</v>
          </cell>
          <cell r="L128">
            <v>45986</v>
          </cell>
          <cell r="M128" t="str">
            <v>0-初始未打印</v>
          </cell>
        </row>
        <row r="128">
          <cell r="O128">
            <v>0</v>
          </cell>
          <cell r="P128" t="str">
            <v>中国航发航空科技股份有限公司</v>
          </cell>
          <cell r="Q128" t="str">
            <v>910</v>
          </cell>
        </row>
        <row r="128">
          <cell r="U128" t="str">
            <v/>
          </cell>
          <cell r="V128" t="str">
            <v/>
          </cell>
          <cell r="W128" t="str">
            <v/>
          </cell>
          <cell r="X128" t="str">
            <v>XH-000/CP-C8-5-3-3</v>
          </cell>
          <cell r="Y128" t="str">
            <v/>
          </cell>
          <cell r="Z128" t="str">
            <v>1902</v>
          </cell>
          <cell r="AA128" t="str">
            <v>1100108189</v>
          </cell>
          <cell r="AB128">
            <v>1152</v>
          </cell>
          <cell r="AC128" t="str">
            <v/>
          </cell>
          <cell r="AD128">
            <v>43.06</v>
          </cell>
          <cell r="AE128" t="str">
            <v>G0552-221228-352-4</v>
          </cell>
        </row>
        <row r="129">
          <cell r="B129" t="str">
            <v>7101041083</v>
          </cell>
          <cell r="C129" t="str">
            <v>G2002-7511</v>
          </cell>
          <cell r="D129" t="str">
            <v>000042944999008920</v>
          </cell>
          <cell r="E129" t="str">
            <v>螺帽</v>
          </cell>
          <cell r="F129" t="str">
            <v>S18.40.4037</v>
          </cell>
          <cell r="G129" t="str">
            <v>-</v>
          </cell>
          <cell r="H129" t="str">
            <v>d=3.4-3.8</v>
          </cell>
          <cell r="I129" t="str">
            <v>Ct·P</v>
          </cell>
          <cell r="J129" t="str">
            <v>GH4033</v>
          </cell>
          <cell r="K129">
            <v>33</v>
          </cell>
          <cell r="L129">
            <v>45986</v>
          </cell>
          <cell r="M129" t="str">
            <v>0-初始未打印</v>
          </cell>
        </row>
        <row r="129">
          <cell r="O129">
            <v>0</v>
          </cell>
          <cell r="P129" t="str">
            <v>中国航发航空科技股份有限公司</v>
          </cell>
          <cell r="Q129" t="str">
            <v>910</v>
          </cell>
        </row>
        <row r="129">
          <cell r="U129" t="str">
            <v/>
          </cell>
          <cell r="V129" t="str">
            <v/>
          </cell>
          <cell r="W129" t="str">
            <v/>
          </cell>
          <cell r="X129" t="str">
            <v>XH-000</v>
          </cell>
          <cell r="Y129" t="str">
            <v/>
          </cell>
          <cell r="Z129" t="str">
            <v>1902</v>
          </cell>
          <cell r="AA129" t="str">
            <v>1100108189</v>
          </cell>
          <cell r="AB129">
            <v>1152</v>
          </cell>
          <cell r="AC129" t="str">
            <v/>
          </cell>
          <cell r="AD129">
            <v>43.06</v>
          </cell>
          <cell r="AE129" t="str">
            <v>G0552-221228-352-4</v>
          </cell>
        </row>
        <row r="130">
          <cell r="B130" t="str">
            <v>7101041084</v>
          </cell>
          <cell r="C130" t="str">
            <v>G2310-1091</v>
          </cell>
          <cell r="D130" t="str">
            <v>000042944239048750</v>
          </cell>
          <cell r="E130" t="str">
            <v>螺栓</v>
          </cell>
          <cell r="F130" t="str">
            <v>S18.42.4119</v>
          </cell>
          <cell r="G130" t="str">
            <v>Ⅴ</v>
          </cell>
          <cell r="H130" t="str">
            <v>d=3.3-3.55</v>
          </cell>
          <cell r="I130" t="str">
            <v/>
          </cell>
          <cell r="J130" t="str">
            <v>GH4698</v>
          </cell>
          <cell r="K130">
            <v>294</v>
          </cell>
          <cell r="L130">
            <v>45986</v>
          </cell>
          <cell r="M130" t="str">
            <v>0-初始未打印</v>
          </cell>
        </row>
        <row r="130">
          <cell r="O130">
            <v>0</v>
          </cell>
          <cell r="P130" t="str">
            <v>中国航发航空科技股份有限公司</v>
          </cell>
          <cell r="Q130" t="str">
            <v>940</v>
          </cell>
        </row>
        <row r="130">
          <cell r="U130" t="str">
            <v>010000643327</v>
          </cell>
          <cell r="V130" t="str">
            <v/>
          </cell>
          <cell r="W130" t="str">
            <v/>
          </cell>
          <cell r="X130" t="str">
            <v>CP-108-A/CP-26-2-4-4</v>
          </cell>
          <cell r="Y130" t="str">
            <v/>
          </cell>
          <cell r="Z130" t="str">
            <v>1902</v>
          </cell>
          <cell r="AA130" t="str">
            <v>1100108189</v>
          </cell>
          <cell r="AB130">
            <v>7840</v>
          </cell>
          <cell r="AC130" t="str">
            <v/>
          </cell>
          <cell r="AD130">
            <v>126.48</v>
          </cell>
          <cell r="AE130" t="str">
            <v>G0552-221228-352-4</v>
          </cell>
        </row>
        <row r="131">
          <cell r="B131" t="str">
            <v>7101041085</v>
          </cell>
          <cell r="C131" t="str">
            <v>G2412-3185</v>
          </cell>
          <cell r="D131" t="str">
            <v>000042944239048750</v>
          </cell>
          <cell r="E131" t="str">
            <v>螺栓</v>
          </cell>
          <cell r="F131" t="str">
            <v>S18.42.4119</v>
          </cell>
          <cell r="G131" t="str">
            <v>Ⅴ</v>
          </cell>
          <cell r="H131" t="str">
            <v>d=3.3-3.55</v>
          </cell>
          <cell r="I131" t="str">
            <v/>
          </cell>
          <cell r="J131" t="str">
            <v>GH4698</v>
          </cell>
          <cell r="K131">
            <v>26</v>
          </cell>
          <cell r="L131">
            <v>45986</v>
          </cell>
          <cell r="M131" t="str">
            <v>0-初始未打印</v>
          </cell>
        </row>
        <row r="131">
          <cell r="O131">
            <v>0</v>
          </cell>
          <cell r="P131" t="str">
            <v>中国航发航空科技股份有限公司</v>
          </cell>
          <cell r="Q131" t="str">
            <v>940</v>
          </cell>
        </row>
        <row r="131">
          <cell r="U131" t="str">
            <v>010000767001</v>
          </cell>
          <cell r="V131" t="str">
            <v/>
          </cell>
          <cell r="W131" t="str">
            <v/>
          </cell>
          <cell r="X131" t="str">
            <v>CP-73-3-4-18</v>
          </cell>
          <cell r="Y131" t="str">
            <v/>
          </cell>
          <cell r="Z131" t="str">
            <v>1902</v>
          </cell>
          <cell r="AA131" t="str">
            <v>1100108189</v>
          </cell>
          <cell r="AB131">
            <v>7840</v>
          </cell>
          <cell r="AC131" t="str">
            <v/>
          </cell>
          <cell r="AD131">
            <v>126.48</v>
          </cell>
          <cell r="AE131" t="str">
            <v>G0552-221228-352-4</v>
          </cell>
        </row>
        <row r="132">
          <cell r="B132" t="str">
            <v>7101041132</v>
          </cell>
          <cell r="C132" t="str">
            <v>G2309-2603</v>
          </cell>
          <cell r="D132" t="str">
            <v>000042944239048751</v>
          </cell>
          <cell r="E132" t="str">
            <v>螺栓</v>
          </cell>
          <cell r="F132" t="str">
            <v>S18.42.4119</v>
          </cell>
          <cell r="G132" t="str">
            <v>Ⅵ</v>
          </cell>
          <cell r="H132" t="str">
            <v>d=3.3-3.55</v>
          </cell>
          <cell r="I132" t="str">
            <v/>
          </cell>
          <cell r="J132" t="str">
            <v>GH4698</v>
          </cell>
          <cell r="K132">
            <v>742</v>
          </cell>
          <cell r="L132">
            <v>45986</v>
          </cell>
          <cell r="M132" t="str">
            <v>0-初始未打印</v>
          </cell>
        </row>
        <row r="132">
          <cell r="O132">
            <v>0</v>
          </cell>
          <cell r="P132" t="str">
            <v>中国航发航空科技股份有限公司</v>
          </cell>
          <cell r="Q132" t="str">
            <v>950</v>
          </cell>
        </row>
        <row r="132">
          <cell r="U132" t="str">
            <v>010000638876</v>
          </cell>
          <cell r="V132" t="str">
            <v/>
          </cell>
          <cell r="W132" t="str">
            <v/>
          </cell>
          <cell r="X132" t="str">
            <v>CP-108-A/CP-26-4-1-3</v>
          </cell>
          <cell r="Y132" t="str">
            <v/>
          </cell>
          <cell r="Z132" t="str">
            <v>1902</v>
          </cell>
          <cell r="AA132" t="str">
            <v>1100108189</v>
          </cell>
          <cell r="AB132">
            <v>2239</v>
          </cell>
          <cell r="AC132" t="str">
            <v/>
          </cell>
          <cell r="AD132">
            <v>126.48</v>
          </cell>
          <cell r="AE132" t="str">
            <v>G0552-221228-352-4</v>
          </cell>
        </row>
        <row r="133">
          <cell r="B133" t="str">
            <v>7101041133</v>
          </cell>
          <cell r="C133" t="str">
            <v>G2412-3188</v>
          </cell>
          <cell r="D133" t="str">
            <v>000042944239048751</v>
          </cell>
          <cell r="E133" t="str">
            <v>螺栓</v>
          </cell>
          <cell r="F133" t="str">
            <v>S18.42.4119</v>
          </cell>
          <cell r="G133" t="str">
            <v>Ⅵ</v>
          </cell>
          <cell r="H133" t="str">
            <v>d=3.3-3.55</v>
          </cell>
          <cell r="I133" t="str">
            <v/>
          </cell>
          <cell r="J133" t="str">
            <v>GH4698</v>
          </cell>
          <cell r="K133">
            <v>80</v>
          </cell>
          <cell r="L133">
            <v>45986</v>
          </cell>
          <cell r="M133" t="str">
            <v>0-初始未打印</v>
          </cell>
        </row>
        <row r="133">
          <cell r="O133">
            <v>0</v>
          </cell>
          <cell r="P133" t="str">
            <v>中国航发航空科技股份有限公司</v>
          </cell>
          <cell r="Q133" t="str">
            <v>950</v>
          </cell>
        </row>
        <row r="133">
          <cell r="U133" t="str">
            <v>010000767004</v>
          </cell>
          <cell r="V133" t="str">
            <v/>
          </cell>
          <cell r="W133" t="str">
            <v/>
          </cell>
          <cell r="X133" t="str">
            <v>CP-108-A</v>
          </cell>
          <cell r="Y133" t="str">
            <v/>
          </cell>
          <cell r="Z133" t="str">
            <v>1902</v>
          </cell>
          <cell r="AA133" t="str">
            <v>1100108189</v>
          </cell>
          <cell r="AB133">
            <v>2239</v>
          </cell>
          <cell r="AC133" t="str">
            <v/>
          </cell>
          <cell r="AD133">
            <v>126.48</v>
          </cell>
          <cell r="AE133" t="str">
            <v>G0552-221228-352-4</v>
          </cell>
        </row>
        <row r="134">
          <cell r="B134" t="str">
            <v>7101041135</v>
          </cell>
          <cell r="C134" t="str">
            <v>G2301-1109</v>
          </cell>
          <cell r="D134" t="str">
            <v>000042944999008887</v>
          </cell>
          <cell r="E134" t="str">
            <v>钢索</v>
          </cell>
          <cell r="F134" t="str">
            <v>S18.00.8040</v>
          </cell>
          <cell r="G134" t="str">
            <v>-</v>
          </cell>
          <cell r="H134" t="str">
            <v/>
          </cell>
          <cell r="I134" t="str">
            <v/>
          </cell>
          <cell r="J134" t="str">
            <v>组件</v>
          </cell>
          <cell r="K134">
            <v>234</v>
          </cell>
          <cell r="L134">
            <v>45986</v>
          </cell>
          <cell r="M134" t="str">
            <v>0-初始未打印</v>
          </cell>
        </row>
        <row r="134">
          <cell r="O134">
            <v>0</v>
          </cell>
          <cell r="P134" t="str">
            <v>中国航发航空科技股份有限公司</v>
          </cell>
          <cell r="Q134" t="str">
            <v>980</v>
          </cell>
        </row>
        <row r="134">
          <cell r="U134" t="str">
            <v>010000564050</v>
          </cell>
          <cell r="V134" t="str">
            <v/>
          </cell>
          <cell r="W134" t="str">
            <v/>
          </cell>
          <cell r="X134" t="str">
            <v>CP-108-A/CP-45-2-4-5</v>
          </cell>
          <cell r="Y134" t="str">
            <v/>
          </cell>
          <cell r="Z134" t="str">
            <v>1902</v>
          </cell>
          <cell r="AA134" t="str">
            <v>1100108189</v>
          </cell>
          <cell r="AB134">
            <v>300</v>
          </cell>
          <cell r="AC134" t="str">
            <v/>
          </cell>
          <cell r="AD134">
            <v>454.56</v>
          </cell>
          <cell r="AE134" t="str">
            <v>G0552-221228-352-4</v>
          </cell>
        </row>
        <row r="135">
          <cell r="B135" t="str">
            <v>7101041136</v>
          </cell>
          <cell r="C135" t="str">
            <v>G2310-0360</v>
          </cell>
          <cell r="D135" t="str">
            <v>000042944999008887</v>
          </cell>
          <cell r="E135" t="str">
            <v>钢索</v>
          </cell>
          <cell r="F135" t="str">
            <v>S18.00.8040</v>
          </cell>
          <cell r="G135" t="str">
            <v>-</v>
          </cell>
          <cell r="H135" t="str">
            <v/>
          </cell>
          <cell r="I135" t="str">
            <v/>
          </cell>
          <cell r="J135" t="str">
            <v>组件</v>
          </cell>
          <cell r="K135">
            <v>66</v>
          </cell>
          <cell r="L135">
            <v>45986</v>
          </cell>
          <cell r="M135" t="str">
            <v>0-初始未打印</v>
          </cell>
        </row>
        <row r="135">
          <cell r="O135">
            <v>0</v>
          </cell>
          <cell r="P135" t="str">
            <v>中国航发航空科技股份有限公司</v>
          </cell>
          <cell r="Q135" t="str">
            <v>980</v>
          </cell>
        </row>
        <row r="135">
          <cell r="U135" t="str">
            <v>010000640399</v>
          </cell>
          <cell r="V135" t="str">
            <v/>
          </cell>
          <cell r="W135" t="str">
            <v/>
          </cell>
          <cell r="X135" t="str">
            <v>CP-108-A/CP-26-5-2-1</v>
          </cell>
          <cell r="Y135" t="str">
            <v/>
          </cell>
          <cell r="Z135" t="str">
            <v>1902</v>
          </cell>
          <cell r="AA135" t="str">
            <v>1100108189</v>
          </cell>
          <cell r="AB135">
            <v>300</v>
          </cell>
          <cell r="AC135" t="str">
            <v/>
          </cell>
          <cell r="AD135">
            <v>454.56</v>
          </cell>
          <cell r="AE135" t="str">
            <v>G0552-221228-352-4</v>
          </cell>
        </row>
        <row r="136">
          <cell r="B136" t="str">
            <v>7101041138</v>
          </cell>
          <cell r="C136" t="str">
            <v>G2301-1110</v>
          </cell>
          <cell r="D136" t="str">
            <v>000042944999008888</v>
          </cell>
          <cell r="E136" t="str">
            <v>钢索</v>
          </cell>
          <cell r="F136" t="str">
            <v>S18.00.8041</v>
          </cell>
          <cell r="G136" t="str">
            <v>-</v>
          </cell>
          <cell r="H136" t="str">
            <v/>
          </cell>
          <cell r="I136" t="str">
            <v/>
          </cell>
          <cell r="J136" t="str">
            <v>组件</v>
          </cell>
          <cell r="K136">
            <v>94</v>
          </cell>
          <cell r="L136">
            <v>45986</v>
          </cell>
          <cell r="M136" t="str">
            <v>0-初始未打印</v>
          </cell>
        </row>
        <row r="136">
          <cell r="O136">
            <v>0</v>
          </cell>
          <cell r="P136" t="str">
            <v>中国航发航空科技股份有限公司</v>
          </cell>
          <cell r="Q136" t="str">
            <v>990</v>
          </cell>
        </row>
        <row r="136">
          <cell r="U136" t="str">
            <v>010000564051</v>
          </cell>
          <cell r="V136" t="str">
            <v/>
          </cell>
          <cell r="W136" t="str">
            <v/>
          </cell>
          <cell r="X136" t="str">
            <v>CP-108-A/CP-26-5-1-5</v>
          </cell>
          <cell r="Y136" t="str">
            <v/>
          </cell>
          <cell r="Z136" t="str">
            <v>1902</v>
          </cell>
          <cell r="AA136" t="str">
            <v>1100108189</v>
          </cell>
          <cell r="AB136">
            <v>174</v>
          </cell>
          <cell r="AC136" t="str">
            <v/>
          </cell>
          <cell r="AD136">
            <v>477.6</v>
          </cell>
          <cell r="AE136" t="str">
            <v>G0552-221228-352-4</v>
          </cell>
        </row>
        <row r="137">
          <cell r="B137" t="str">
            <v>7101041139</v>
          </cell>
          <cell r="C137" t="str">
            <v>G2306-0382</v>
          </cell>
          <cell r="D137" t="str">
            <v>000042944999008888</v>
          </cell>
          <cell r="E137" t="str">
            <v>钢索</v>
          </cell>
          <cell r="F137" t="str">
            <v>S18.00.8041</v>
          </cell>
          <cell r="G137" t="str">
            <v>-</v>
          </cell>
          <cell r="H137" t="str">
            <v/>
          </cell>
          <cell r="I137" t="str">
            <v/>
          </cell>
          <cell r="J137" t="str">
            <v>组件</v>
          </cell>
          <cell r="K137">
            <v>80</v>
          </cell>
          <cell r="L137">
            <v>45986</v>
          </cell>
          <cell r="M137" t="str">
            <v>0-初始未打印</v>
          </cell>
        </row>
        <row r="137">
          <cell r="O137">
            <v>0</v>
          </cell>
          <cell r="P137" t="str">
            <v>中国航发航空科技股份有限公司</v>
          </cell>
          <cell r="Q137" t="str">
            <v>990</v>
          </cell>
        </row>
        <row r="137">
          <cell r="U137" t="str">
            <v>010000607636</v>
          </cell>
          <cell r="V137" t="str">
            <v/>
          </cell>
          <cell r="W137" t="str">
            <v/>
          </cell>
          <cell r="X137" t="str">
            <v>CP-108-A</v>
          </cell>
          <cell r="Y137" t="str">
            <v/>
          </cell>
          <cell r="Z137" t="str">
            <v>1902</v>
          </cell>
          <cell r="AA137" t="str">
            <v>1100108189</v>
          </cell>
          <cell r="AB137">
            <v>174</v>
          </cell>
          <cell r="AC137" t="str">
            <v/>
          </cell>
          <cell r="AD137">
            <v>477.6</v>
          </cell>
          <cell r="AE137" t="str">
            <v>G0552-221228-352-4</v>
          </cell>
        </row>
        <row r="138">
          <cell r="B138" t="str">
            <v>7101041140</v>
          </cell>
          <cell r="C138" t="str">
            <v>G2301-7026</v>
          </cell>
          <cell r="D138" t="str">
            <v>000042944319002058</v>
          </cell>
          <cell r="E138" t="str">
            <v>螺母</v>
          </cell>
          <cell r="F138" t="str">
            <v>S18.00.0309</v>
          </cell>
          <cell r="G138" t="str">
            <v>-</v>
          </cell>
          <cell r="H138" t="str">
            <v>d=3.4-3.7</v>
          </cell>
          <cell r="I138" t="str">
            <v>Ep·Cd8·c2C</v>
          </cell>
          <cell r="J138" t="str">
            <v>38CrA</v>
          </cell>
          <cell r="K138">
            <v>265</v>
          </cell>
          <cell r="L138">
            <v>45986</v>
          </cell>
          <cell r="M138" t="str">
            <v>0-初始未打印</v>
          </cell>
        </row>
        <row r="138">
          <cell r="O138">
            <v>0</v>
          </cell>
          <cell r="P138" t="str">
            <v>中国航发航空科技股份有限公司</v>
          </cell>
          <cell r="Q138" t="str">
            <v>1010</v>
          </cell>
        </row>
        <row r="138">
          <cell r="U138" t="str">
            <v/>
          </cell>
          <cell r="V138" t="str">
            <v/>
          </cell>
          <cell r="W138" t="str">
            <v/>
          </cell>
          <cell r="X138" t="str">
            <v>XH-000</v>
          </cell>
          <cell r="Y138" t="str">
            <v/>
          </cell>
          <cell r="Z138" t="str">
            <v>1902</v>
          </cell>
          <cell r="AA138" t="str">
            <v>1100108189</v>
          </cell>
          <cell r="AB138">
            <v>380</v>
          </cell>
          <cell r="AC138" t="str">
            <v/>
          </cell>
          <cell r="AD138">
            <v>269.1</v>
          </cell>
          <cell r="AE138" t="str">
            <v>G0552-221228-352-4</v>
          </cell>
        </row>
        <row r="139">
          <cell r="B139" t="str">
            <v>7101041161</v>
          </cell>
          <cell r="C139" t="str">
            <v>G2104-7511</v>
          </cell>
          <cell r="D139" t="str">
            <v>000042944999008883</v>
          </cell>
          <cell r="E139" t="str">
            <v>螺纹套管</v>
          </cell>
          <cell r="F139" t="str">
            <v>S18.00.0310</v>
          </cell>
          <cell r="G139" t="str">
            <v>-</v>
          </cell>
          <cell r="H139" t="str">
            <v/>
          </cell>
          <cell r="I139" t="str">
            <v/>
          </cell>
          <cell r="J139" t="str">
            <v>TC2</v>
          </cell>
          <cell r="K139">
            <v>7</v>
          </cell>
          <cell r="L139">
            <v>45986</v>
          </cell>
          <cell r="M139" t="str">
            <v>0-初始未打印</v>
          </cell>
        </row>
        <row r="139">
          <cell r="O139">
            <v>0</v>
          </cell>
          <cell r="P139" t="str">
            <v>中国航发航空科技股份有限公司</v>
          </cell>
          <cell r="Q139" t="str">
            <v>1020</v>
          </cell>
        </row>
        <row r="139">
          <cell r="U139" t="str">
            <v/>
          </cell>
          <cell r="V139" t="str">
            <v/>
          </cell>
          <cell r="W139" t="str">
            <v/>
          </cell>
          <cell r="X139" t="str">
            <v>XH-000/CP-26-3-3-2</v>
          </cell>
          <cell r="Y139" t="str">
            <v/>
          </cell>
          <cell r="Z139" t="str">
            <v>1902</v>
          </cell>
          <cell r="AA139" t="str">
            <v>1100108189</v>
          </cell>
          <cell r="AB139">
            <v>330</v>
          </cell>
          <cell r="AC139" t="str">
            <v/>
          </cell>
          <cell r="AD139">
            <v>876.38</v>
          </cell>
          <cell r="AE139" t="str">
            <v>G0552-221228-352-4</v>
          </cell>
        </row>
        <row r="140">
          <cell r="B140" t="str">
            <v>7101041162</v>
          </cell>
          <cell r="C140" t="str">
            <v>G2303-6102</v>
          </cell>
          <cell r="D140" t="str">
            <v>000042944999008883</v>
          </cell>
          <cell r="E140" t="str">
            <v>螺纹套管</v>
          </cell>
          <cell r="F140" t="str">
            <v>S18.00.0310</v>
          </cell>
          <cell r="G140" t="str">
            <v>-</v>
          </cell>
          <cell r="H140" t="str">
            <v/>
          </cell>
          <cell r="I140" t="str">
            <v/>
          </cell>
          <cell r="J140" t="str">
            <v>TC2</v>
          </cell>
          <cell r="K140">
            <v>193</v>
          </cell>
          <cell r="L140">
            <v>45986</v>
          </cell>
          <cell r="M140" t="str">
            <v>0-初始未打印</v>
          </cell>
        </row>
        <row r="140">
          <cell r="O140">
            <v>0</v>
          </cell>
          <cell r="P140" t="str">
            <v>中国航发航空科技股份有限公司</v>
          </cell>
          <cell r="Q140" t="str">
            <v>1020</v>
          </cell>
        </row>
        <row r="140">
          <cell r="U140" t="str">
            <v/>
          </cell>
          <cell r="V140" t="str">
            <v/>
          </cell>
          <cell r="W140" t="str">
            <v/>
          </cell>
          <cell r="X140" t="str">
            <v>XH-000/CP-9-5-1-1</v>
          </cell>
          <cell r="Y140" t="str">
            <v/>
          </cell>
          <cell r="Z140" t="str">
            <v>1902</v>
          </cell>
          <cell r="AA140" t="str">
            <v>1100108189</v>
          </cell>
          <cell r="AB140">
            <v>330</v>
          </cell>
          <cell r="AC140" t="str">
            <v/>
          </cell>
          <cell r="AD140">
            <v>876.38</v>
          </cell>
          <cell r="AE140" t="str">
            <v>G0552-221228-352-4</v>
          </cell>
        </row>
        <row r="141">
          <cell r="B141" t="str">
            <v>7101041163</v>
          </cell>
          <cell r="C141" t="str">
            <v>G2301-1269</v>
          </cell>
          <cell r="D141" t="str">
            <v>000042944319002059</v>
          </cell>
          <cell r="E141" t="str">
            <v>螺母</v>
          </cell>
          <cell r="F141" t="str">
            <v>S18.00.0335</v>
          </cell>
          <cell r="G141" t="str">
            <v>-</v>
          </cell>
          <cell r="H141" t="str">
            <v>d=3.4-3.7</v>
          </cell>
          <cell r="I141" t="str">
            <v>Ep·Cd8·c2C</v>
          </cell>
          <cell r="J141" t="str">
            <v>38CrA</v>
          </cell>
          <cell r="K141">
            <v>330</v>
          </cell>
          <cell r="L141">
            <v>45986</v>
          </cell>
          <cell r="M141" t="str">
            <v>0-初始未打印</v>
          </cell>
        </row>
        <row r="141">
          <cell r="O141">
            <v>0</v>
          </cell>
          <cell r="P141" t="str">
            <v>中国航发航空科技股份有限公司</v>
          </cell>
          <cell r="Q141" t="str">
            <v>1030</v>
          </cell>
        </row>
        <row r="141">
          <cell r="U141" t="str">
            <v>010000565103</v>
          </cell>
          <cell r="V141" t="str">
            <v/>
          </cell>
          <cell r="W141" t="str">
            <v/>
          </cell>
          <cell r="X141" t="str">
            <v>CP-63-1-4-2</v>
          </cell>
          <cell r="Y141" t="str">
            <v/>
          </cell>
          <cell r="Z141" t="str">
            <v>1902</v>
          </cell>
          <cell r="AA141" t="str">
            <v>1100108189</v>
          </cell>
          <cell r="AB141">
            <v>330</v>
          </cell>
          <cell r="AC141" t="str">
            <v/>
          </cell>
          <cell r="AD141">
            <v>251.52</v>
          </cell>
          <cell r="AE141" t="str">
            <v>G0552-221228-352-4</v>
          </cell>
        </row>
        <row r="142">
          <cell r="B142" t="str">
            <v>7101041164</v>
          </cell>
          <cell r="C142" t="str">
            <v>G2301-0473</v>
          </cell>
          <cell r="D142" t="str">
            <v>000042944319002060</v>
          </cell>
          <cell r="E142" t="str">
            <v>28管球面套管接头外套螺母一</v>
          </cell>
          <cell r="F142" t="str">
            <v>S18.00.0825</v>
          </cell>
          <cell r="G142" t="str">
            <v>-</v>
          </cell>
          <cell r="H142" t="str">
            <v>d=3.3-3.6</v>
          </cell>
          <cell r="I142" t="str">
            <v/>
          </cell>
          <cell r="J142" t="str">
            <v>GH696</v>
          </cell>
          <cell r="K142">
            <v>237</v>
          </cell>
          <cell r="L142">
            <v>45986</v>
          </cell>
          <cell r="M142" t="str">
            <v>0-初始未打印</v>
          </cell>
        </row>
        <row r="142">
          <cell r="O142">
            <v>0</v>
          </cell>
          <cell r="P142" t="str">
            <v>中国航发航空科技股份有限公司</v>
          </cell>
          <cell r="Q142" t="str">
            <v>1040</v>
          </cell>
        </row>
        <row r="142">
          <cell r="U142" t="str">
            <v>010000561888</v>
          </cell>
          <cell r="V142" t="str">
            <v/>
          </cell>
          <cell r="W142" t="str">
            <v/>
          </cell>
          <cell r="X142" t="str">
            <v>CP-108-A/CP-26-5-1-1</v>
          </cell>
          <cell r="Y142" t="str">
            <v/>
          </cell>
          <cell r="Z142" t="str">
            <v>1902</v>
          </cell>
          <cell r="AA142" t="str">
            <v>1100108189</v>
          </cell>
          <cell r="AB142">
            <v>283</v>
          </cell>
          <cell r="AC142" t="str">
            <v/>
          </cell>
          <cell r="AD142">
            <v>264.67</v>
          </cell>
          <cell r="AE142" t="str">
            <v>G0552-221228-352-4</v>
          </cell>
        </row>
        <row r="143">
          <cell r="B143" t="str">
            <v>7101041165</v>
          </cell>
          <cell r="C143" t="str">
            <v>G2309-1180</v>
          </cell>
          <cell r="D143" t="str">
            <v>000042944319002060</v>
          </cell>
          <cell r="E143" t="str">
            <v>28管球面套管接头外套螺母一</v>
          </cell>
          <cell r="F143" t="str">
            <v>S18.00.0825</v>
          </cell>
          <cell r="G143" t="str">
            <v>-</v>
          </cell>
          <cell r="H143" t="str">
            <v>d=3.3-3.6</v>
          </cell>
          <cell r="I143" t="str">
            <v/>
          </cell>
          <cell r="J143" t="str">
            <v>GH696</v>
          </cell>
          <cell r="K143">
            <v>46</v>
          </cell>
          <cell r="L143">
            <v>45986</v>
          </cell>
          <cell r="M143" t="str">
            <v>0-初始未打印</v>
          </cell>
        </row>
        <row r="143">
          <cell r="O143">
            <v>0</v>
          </cell>
          <cell r="P143" t="str">
            <v>中国航发航空科技股份有限公司</v>
          </cell>
          <cell r="Q143" t="str">
            <v>1040</v>
          </cell>
        </row>
        <row r="143">
          <cell r="U143" t="str">
            <v>010000633794</v>
          </cell>
          <cell r="V143" t="str">
            <v/>
          </cell>
          <cell r="W143" t="str">
            <v/>
          </cell>
          <cell r="X143" t="str">
            <v>CP-108-A/CP-26-5-2-5/6</v>
          </cell>
          <cell r="Y143" t="str">
            <v/>
          </cell>
          <cell r="Z143" t="str">
            <v>1902</v>
          </cell>
          <cell r="AA143" t="str">
            <v>1100108189</v>
          </cell>
          <cell r="AB143">
            <v>283</v>
          </cell>
          <cell r="AC143" t="str">
            <v/>
          </cell>
          <cell r="AD143">
            <v>264.67</v>
          </cell>
          <cell r="AE143" t="str">
            <v>G0552-221228-352-4</v>
          </cell>
        </row>
        <row r="144">
          <cell r="B144" t="str">
            <v>7101041166</v>
          </cell>
          <cell r="C144" t="str">
            <v>G2306-1614</v>
          </cell>
          <cell r="D144" t="str">
            <v>000042944201084805</v>
          </cell>
          <cell r="E144" t="str">
            <v>螺栓</v>
          </cell>
          <cell r="F144" t="str">
            <v>S18.40.4249</v>
          </cell>
          <cell r="G144" t="str">
            <v>-</v>
          </cell>
          <cell r="H144" t="str">
            <v>HB285-341</v>
          </cell>
          <cell r="I144" t="str">
            <v>Ct·P</v>
          </cell>
          <cell r="J144" t="str">
            <v>GH2696-Ⅲ</v>
          </cell>
          <cell r="K144">
            <v>310</v>
          </cell>
          <cell r="L144">
            <v>45986</v>
          </cell>
          <cell r="M144" t="str">
            <v>0-初始未打印</v>
          </cell>
        </row>
        <row r="144">
          <cell r="O144">
            <v>0</v>
          </cell>
          <cell r="P144" t="str">
            <v>中国航发航空科技股份有限公司</v>
          </cell>
          <cell r="Q144" t="str">
            <v>1050</v>
          </cell>
        </row>
        <row r="144">
          <cell r="U144" t="str">
            <v>010000611821</v>
          </cell>
          <cell r="V144" t="str">
            <v/>
          </cell>
          <cell r="W144" t="str">
            <v/>
          </cell>
          <cell r="X144" t="str">
            <v>CP-36-2-2-7</v>
          </cell>
          <cell r="Y144" t="str">
            <v/>
          </cell>
          <cell r="Z144" t="str">
            <v>1902</v>
          </cell>
          <cell r="AA144" t="str">
            <v>1100108189</v>
          </cell>
          <cell r="AB144">
            <v>1000</v>
          </cell>
          <cell r="AC144" t="str">
            <v/>
          </cell>
          <cell r="AD144">
            <v>94.54</v>
          </cell>
          <cell r="AE144" t="str">
            <v>G0552-221228-352-4</v>
          </cell>
        </row>
        <row r="145">
          <cell r="B145" t="str">
            <v>7101041167</v>
          </cell>
          <cell r="C145" t="str">
            <v>G2301-0956</v>
          </cell>
          <cell r="D145" t="str">
            <v>000042944239002661</v>
          </cell>
          <cell r="E145" t="str">
            <v>螺栓</v>
          </cell>
          <cell r="F145" t="str">
            <v>S18.42.4118</v>
          </cell>
          <cell r="G145" t="str">
            <v>Ⅰ</v>
          </cell>
          <cell r="H145" t="str">
            <v>d=3.3-3.55</v>
          </cell>
          <cell r="I145" t="str">
            <v/>
          </cell>
          <cell r="J145" t="str">
            <v>GH4698</v>
          </cell>
          <cell r="K145">
            <v>2959</v>
          </cell>
          <cell r="L145">
            <v>45986</v>
          </cell>
          <cell r="M145" t="str">
            <v>0-初始未打印</v>
          </cell>
        </row>
        <row r="145">
          <cell r="O145">
            <v>0</v>
          </cell>
          <cell r="P145" t="str">
            <v>中国航发航空科技股份有限公司</v>
          </cell>
          <cell r="Q145" t="str">
            <v>1090</v>
          </cell>
        </row>
        <row r="145">
          <cell r="U145" t="str">
            <v>010000563562</v>
          </cell>
          <cell r="V145" t="str">
            <v/>
          </cell>
          <cell r="W145" t="str">
            <v/>
          </cell>
          <cell r="X145" t="str">
            <v>CP-26-4-4-4</v>
          </cell>
          <cell r="Y145" t="str">
            <v/>
          </cell>
          <cell r="Z145" t="str">
            <v>1902</v>
          </cell>
          <cell r="AA145" t="str">
            <v>1100108189</v>
          </cell>
          <cell r="AB145">
            <v>3351</v>
          </cell>
          <cell r="AC145" t="str">
            <v/>
          </cell>
          <cell r="AD145">
            <v>100.7</v>
          </cell>
          <cell r="AE145" t="str">
            <v>G0552-221228-352-4</v>
          </cell>
        </row>
        <row r="146">
          <cell r="B146" t="str">
            <v>7101041168</v>
          </cell>
          <cell r="C146" t="str">
            <v>G2303-3260</v>
          </cell>
          <cell r="D146" t="str">
            <v>000042944239002661</v>
          </cell>
          <cell r="E146" t="str">
            <v>螺栓</v>
          </cell>
          <cell r="F146" t="str">
            <v>S18.42.4118</v>
          </cell>
          <cell r="G146" t="str">
            <v>Ⅰ</v>
          </cell>
          <cell r="H146" t="str">
            <v>d=3.3-3.55</v>
          </cell>
          <cell r="I146" t="str">
            <v/>
          </cell>
          <cell r="J146" t="str">
            <v>GH4698</v>
          </cell>
          <cell r="K146">
            <v>392</v>
          </cell>
          <cell r="L146">
            <v>45986</v>
          </cell>
          <cell r="M146" t="str">
            <v>0-初始未打印</v>
          </cell>
        </row>
        <row r="146">
          <cell r="O146">
            <v>0</v>
          </cell>
          <cell r="P146" t="str">
            <v>中国航发航空科技股份有限公司</v>
          </cell>
          <cell r="Q146" t="str">
            <v>1090</v>
          </cell>
        </row>
        <row r="146">
          <cell r="U146" t="str">
            <v>010000589480</v>
          </cell>
          <cell r="V146" t="str">
            <v/>
          </cell>
          <cell r="W146" t="str">
            <v/>
          </cell>
          <cell r="X146" t="str">
            <v>CP-108-A/CP-26-3-3-2</v>
          </cell>
          <cell r="Y146" t="str">
            <v/>
          </cell>
          <cell r="Z146" t="str">
            <v>1902</v>
          </cell>
          <cell r="AA146" t="str">
            <v>1100108189</v>
          </cell>
          <cell r="AB146">
            <v>3351</v>
          </cell>
          <cell r="AC146" t="str">
            <v/>
          </cell>
          <cell r="AD146">
            <v>100.7</v>
          </cell>
          <cell r="AE146" t="str">
            <v>G0552-221228-352-4</v>
          </cell>
        </row>
        <row r="147">
          <cell r="B147" t="str">
            <v>7101041169</v>
          </cell>
          <cell r="C147" t="str">
            <v>G2301-0959</v>
          </cell>
          <cell r="D147" t="str">
            <v>000042944239002663</v>
          </cell>
          <cell r="E147" t="str">
            <v>螺栓</v>
          </cell>
          <cell r="F147" t="str">
            <v>S18.42.4118</v>
          </cell>
          <cell r="G147" t="str">
            <v>Ⅲ</v>
          </cell>
          <cell r="H147" t="str">
            <v>d=3.3-3.55</v>
          </cell>
          <cell r="I147" t="str">
            <v/>
          </cell>
          <cell r="J147" t="str">
            <v>GH4698</v>
          </cell>
          <cell r="K147">
            <v>2796</v>
          </cell>
          <cell r="L147">
            <v>45986</v>
          </cell>
          <cell r="M147" t="str">
            <v>0-初始未打印</v>
          </cell>
        </row>
        <row r="147">
          <cell r="O147">
            <v>0</v>
          </cell>
          <cell r="P147" t="str">
            <v>中国航发航空科技股份有限公司</v>
          </cell>
          <cell r="Q147" t="str">
            <v>1110</v>
          </cell>
        </row>
        <row r="147">
          <cell r="U147" t="str">
            <v>010000563567</v>
          </cell>
          <cell r="V147" t="str">
            <v/>
          </cell>
          <cell r="W147" t="str">
            <v/>
          </cell>
          <cell r="X147" t="str">
            <v>CP-26-2-2-1</v>
          </cell>
          <cell r="Y147" t="str">
            <v/>
          </cell>
          <cell r="Z147" t="str">
            <v>1902</v>
          </cell>
          <cell r="AA147" t="str">
            <v>1100108189</v>
          </cell>
          <cell r="AB147">
            <v>2888</v>
          </cell>
          <cell r="AC147" t="str">
            <v/>
          </cell>
          <cell r="AD147">
            <v>100.7</v>
          </cell>
          <cell r="AE147" t="str">
            <v>G0552-221228-352-4</v>
          </cell>
        </row>
        <row r="148">
          <cell r="B148" t="str">
            <v>7101041170</v>
          </cell>
          <cell r="C148" t="str">
            <v>G2410-1552</v>
          </cell>
          <cell r="D148" t="str">
            <v>000042944239002663</v>
          </cell>
          <cell r="E148" t="str">
            <v>螺栓</v>
          </cell>
          <cell r="F148" t="str">
            <v>S18.42.4118</v>
          </cell>
          <cell r="G148" t="str">
            <v>Ⅲ</v>
          </cell>
          <cell r="H148" t="str">
            <v>d=3.3-3.55</v>
          </cell>
          <cell r="I148" t="str">
            <v/>
          </cell>
          <cell r="J148" t="str">
            <v>GH4698</v>
          </cell>
          <cell r="K148">
            <v>92</v>
          </cell>
          <cell r="L148">
            <v>45986</v>
          </cell>
          <cell r="M148" t="str">
            <v>0-初始未打印</v>
          </cell>
        </row>
        <row r="148">
          <cell r="O148">
            <v>0</v>
          </cell>
          <cell r="P148" t="str">
            <v>中国航发航空科技股份有限公司</v>
          </cell>
          <cell r="Q148" t="str">
            <v>1110</v>
          </cell>
        </row>
        <row r="148">
          <cell r="U148" t="str">
            <v>010000743475</v>
          </cell>
          <cell r="V148" t="str">
            <v/>
          </cell>
          <cell r="W148" t="str">
            <v/>
          </cell>
          <cell r="X148" t="str">
            <v>CP-C8-2-3-3</v>
          </cell>
          <cell r="Y148" t="str">
            <v/>
          </cell>
          <cell r="Z148" t="str">
            <v>1902</v>
          </cell>
          <cell r="AA148" t="str">
            <v>1100108189</v>
          </cell>
          <cell r="AB148">
            <v>2888</v>
          </cell>
          <cell r="AC148" t="str">
            <v/>
          </cell>
          <cell r="AD148">
            <v>100.7</v>
          </cell>
          <cell r="AE148" t="str">
            <v>G0552-221228-352-4</v>
          </cell>
        </row>
        <row r="149">
          <cell r="B149" t="str">
            <v>7101041174</v>
          </cell>
          <cell r="C149" t="str">
            <v>G2301-0946</v>
          </cell>
          <cell r="D149" t="str">
            <v>000042944239002666</v>
          </cell>
          <cell r="E149" t="str">
            <v>螺栓</v>
          </cell>
          <cell r="F149" t="str">
            <v>S18.42.4118</v>
          </cell>
          <cell r="G149" t="str">
            <v>Ⅵ</v>
          </cell>
          <cell r="H149" t="str">
            <v>d=3.3-3.55</v>
          </cell>
          <cell r="I149" t="str">
            <v/>
          </cell>
          <cell r="J149" t="str">
            <v>GH4698</v>
          </cell>
          <cell r="K149">
            <v>3778</v>
          </cell>
          <cell r="L149">
            <v>45986</v>
          </cell>
          <cell r="M149" t="str">
            <v>0-初始未打印</v>
          </cell>
        </row>
        <row r="149">
          <cell r="O149">
            <v>0</v>
          </cell>
          <cell r="P149" t="str">
            <v>中国航发航空科技股份有限公司</v>
          </cell>
          <cell r="Q149" t="str">
            <v>1130</v>
          </cell>
        </row>
        <row r="149">
          <cell r="U149" t="str">
            <v>010000563512</v>
          </cell>
          <cell r="V149" t="str">
            <v/>
          </cell>
          <cell r="W149" t="str">
            <v/>
          </cell>
          <cell r="X149" t="str">
            <v>CP-108-A/CP-8-5-3-1</v>
          </cell>
          <cell r="Y149" t="str">
            <v/>
          </cell>
          <cell r="Z149" t="str">
            <v>1902</v>
          </cell>
          <cell r="AA149" t="str">
            <v>1100108189</v>
          </cell>
          <cell r="AB149">
            <v>3920</v>
          </cell>
          <cell r="AC149" t="str">
            <v/>
          </cell>
          <cell r="AD149">
            <v>100.7</v>
          </cell>
          <cell r="AE149" t="str">
            <v>G0552-221228-352-4</v>
          </cell>
        </row>
        <row r="150">
          <cell r="B150" t="str">
            <v>7101041175</v>
          </cell>
          <cell r="C150" t="str">
            <v>G2409-2232</v>
          </cell>
          <cell r="D150" t="str">
            <v>000042944239002666</v>
          </cell>
          <cell r="E150" t="str">
            <v>螺栓</v>
          </cell>
          <cell r="F150" t="str">
            <v>S18.42.4118</v>
          </cell>
          <cell r="G150" t="str">
            <v>Ⅵ</v>
          </cell>
          <cell r="H150" t="str">
            <v>d=3.3-3.55</v>
          </cell>
          <cell r="I150" t="str">
            <v/>
          </cell>
          <cell r="J150" t="str">
            <v>GH4698</v>
          </cell>
          <cell r="K150">
            <v>142</v>
          </cell>
          <cell r="L150">
            <v>45986</v>
          </cell>
          <cell r="M150" t="str">
            <v>0-初始未打印</v>
          </cell>
        </row>
        <row r="150">
          <cell r="O150">
            <v>0</v>
          </cell>
          <cell r="P150" t="str">
            <v>中国航发航空科技股份有限公司</v>
          </cell>
          <cell r="Q150" t="str">
            <v>1130</v>
          </cell>
        </row>
        <row r="150">
          <cell r="U150" t="str">
            <v>010000737791</v>
          </cell>
          <cell r="V150" t="str">
            <v/>
          </cell>
          <cell r="W150" t="str">
            <v/>
          </cell>
          <cell r="X150" t="str">
            <v>CP-108-A/CP-42-4-1-16</v>
          </cell>
          <cell r="Y150" t="str">
            <v/>
          </cell>
          <cell r="Z150" t="str">
            <v>1902</v>
          </cell>
          <cell r="AA150" t="str">
            <v>1100108189</v>
          </cell>
          <cell r="AB150">
            <v>3920</v>
          </cell>
          <cell r="AC150" t="str">
            <v/>
          </cell>
          <cell r="AD150">
            <v>100.7</v>
          </cell>
          <cell r="AE150" t="str">
            <v>G0552-221228-352-4</v>
          </cell>
        </row>
        <row r="151">
          <cell r="B151" t="str">
            <v>7101041177</v>
          </cell>
          <cell r="C151" t="str">
            <v>G2306-1282</v>
          </cell>
          <cell r="D151" t="str">
            <v>000042944239002667</v>
          </cell>
          <cell r="E151" t="str">
            <v>螺栓</v>
          </cell>
          <cell r="F151" t="str">
            <v>S18.42.4120</v>
          </cell>
          <cell r="G151" t="str">
            <v>Ⅰ</v>
          </cell>
          <cell r="H151" t="str">
            <v>d=3.3-3.55</v>
          </cell>
          <cell r="I151" t="str">
            <v/>
          </cell>
          <cell r="J151" t="str">
            <v>GH4698</v>
          </cell>
          <cell r="K151">
            <v>220</v>
          </cell>
          <cell r="L151">
            <v>45986</v>
          </cell>
          <cell r="M151" t="str">
            <v>0-初始未打印</v>
          </cell>
        </row>
        <row r="151">
          <cell r="O151">
            <v>0</v>
          </cell>
          <cell r="P151" t="str">
            <v>中国航发航空科技股份有限公司</v>
          </cell>
          <cell r="Q151" t="str">
            <v>1140</v>
          </cell>
        </row>
        <row r="151">
          <cell r="U151" t="str">
            <v>010000610858</v>
          </cell>
          <cell r="V151" t="str">
            <v/>
          </cell>
          <cell r="W151" t="str">
            <v/>
          </cell>
          <cell r="X151" t="str">
            <v>CP-108-A/CP-26-3-3-4</v>
          </cell>
          <cell r="Y151" t="str">
            <v/>
          </cell>
          <cell r="Z151" t="str">
            <v>1902</v>
          </cell>
          <cell r="AA151" t="str">
            <v>1100108189</v>
          </cell>
          <cell r="AB151">
            <v>2234</v>
          </cell>
          <cell r="AC151" t="str">
            <v/>
          </cell>
          <cell r="AD151">
            <v>120.29</v>
          </cell>
          <cell r="AE151" t="str">
            <v>G0552-221228-352-4</v>
          </cell>
        </row>
        <row r="152">
          <cell r="B152" t="str">
            <v>7101041182</v>
          </cell>
          <cell r="C152" t="str">
            <v>G2301-0944</v>
          </cell>
          <cell r="D152" t="str">
            <v>000042944239011994</v>
          </cell>
          <cell r="E152" t="str">
            <v>螺栓</v>
          </cell>
          <cell r="F152" t="str">
            <v>S18.42.4120</v>
          </cell>
          <cell r="G152" t="str">
            <v>Ⅱ</v>
          </cell>
          <cell r="H152" t="str">
            <v>d=3.3-3.55</v>
          </cell>
          <cell r="I152" t="str">
            <v/>
          </cell>
          <cell r="J152" t="str">
            <v>GH4698</v>
          </cell>
          <cell r="K152">
            <v>4536</v>
          </cell>
          <cell r="L152">
            <v>45986</v>
          </cell>
          <cell r="M152" t="str">
            <v>0-初始未打印</v>
          </cell>
        </row>
        <row r="152">
          <cell r="O152">
            <v>0</v>
          </cell>
          <cell r="P152" t="str">
            <v>中国航发航空科技股份有限公司</v>
          </cell>
          <cell r="Q152" t="str">
            <v>1150</v>
          </cell>
        </row>
        <row r="152">
          <cell r="U152" t="str">
            <v>010000563525</v>
          </cell>
          <cell r="V152" t="str">
            <v/>
          </cell>
          <cell r="W152" t="str">
            <v/>
          </cell>
          <cell r="X152" t="str">
            <v>CP-38-5-3-6/44-3-1-4/5/6</v>
          </cell>
          <cell r="Y152" t="str">
            <v/>
          </cell>
          <cell r="Z152" t="str">
            <v>1902</v>
          </cell>
          <cell r="AA152" t="str">
            <v>1100108189</v>
          </cell>
          <cell r="AB152">
            <v>4536</v>
          </cell>
          <cell r="AC152" t="str">
            <v/>
          </cell>
          <cell r="AD152">
            <v>120.29</v>
          </cell>
          <cell r="AE152" t="str">
            <v>G0552-221228-352-4</v>
          </cell>
        </row>
        <row r="153">
          <cell r="B153" t="str">
            <v>7101041189</v>
          </cell>
          <cell r="C153" t="str">
            <v>G2301-1327</v>
          </cell>
          <cell r="D153" t="str">
            <v>000042944239002671</v>
          </cell>
          <cell r="E153" t="str">
            <v>螺栓</v>
          </cell>
          <cell r="F153" t="str">
            <v>S18.42.4120</v>
          </cell>
          <cell r="G153" t="str">
            <v>Ⅵ</v>
          </cell>
          <cell r="H153" t="str">
            <v>d=3.3-3.55</v>
          </cell>
          <cell r="I153" t="str">
            <v/>
          </cell>
          <cell r="J153" t="str">
            <v>GH4698</v>
          </cell>
          <cell r="K153">
            <v>1353</v>
          </cell>
          <cell r="L153">
            <v>45986</v>
          </cell>
          <cell r="M153" t="str">
            <v>0-初始未打印</v>
          </cell>
        </row>
        <row r="153">
          <cell r="O153">
            <v>0</v>
          </cell>
          <cell r="P153" t="str">
            <v>中国航发航空科技股份有限公司</v>
          </cell>
          <cell r="Q153" t="str">
            <v>1190</v>
          </cell>
        </row>
        <row r="153">
          <cell r="U153" t="str">
            <v>010000565263</v>
          </cell>
          <cell r="V153" t="str">
            <v/>
          </cell>
          <cell r="W153" t="str">
            <v/>
          </cell>
          <cell r="X153" t="str">
            <v>CP-108-A/CP-26-5-1-1</v>
          </cell>
          <cell r="Y153" t="str">
            <v/>
          </cell>
          <cell r="Z153" t="str">
            <v>1902</v>
          </cell>
          <cell r="AA153" t="str">
            <v>1100108189</v>
          </cell>
          <cell r="AB153">
            <v>3670</v>
          </cell>
          <cell r="AC153" t="str">
            <v/>
          </cell>
          <cell r="AD153">
            <v>120.29</v>
          </cell>
          <cell r="AE153" t="str">
            <v>G0552-221228-352-4</v>
          </cell>
        </row>
        <row r="154">
          <cell r="B154" t="str">
            <v>7101041201</v>
          </cell>
          <cell r="C154" t="str">
            <v>G2308-0248</v>
          </cell>
          <cell r="D154" t="str">
            <v>000042944239002671</v>
          </cell>
          <cell r="E154" t="str">
            <v>螺栓</v>
          </cell>
          <cell r="F154" t="str">
            <v>S18.42.4120</v>
          </cell>
          <cell r="G154" t="str">
            <v>Ⅵ</v>
          </cell>
          <cell r="H154" t="str">
            <v>d=3.3-3.55</v>
          </cell>
          <cell r="I154" t="str">
            <v/>
          </cell>
          <cell r="J154" t="str">
            <v>GH4698</v>
          </cell>
          <cell r="K154">
            <v>1047</v>
          </cell>
          <cell r="L154">
            <v>45986</v>
          </cell>
          <cell r="M154" t="str">
            <v>0-初始未打印</v>
          </cell>
        </row>
        <row r="154">
          <cell r="O154">
            <v>0</v>
          </cell>
          <cell r="P154" t="str">
            <v>中国航发航空科技股份有限公司</v>
          </cell>
          <cell r="Q154" t="str">
            <v>1190</v>
          </cell>
        </row>
        <row r="154">
          <cell r="U154" t="str">
            <v>010000624773</v>
          </cell>
          <cell r="V154" t="str">
            <v/>
          </cell>
          <cell r="W154" t="str">
            <v/>
          </cell>
          <cell r="X154" t="str">
            <v>CP-108-A/CP-26-2-1-1</v>
          </cell>
          <cell r="Y154" t="str">
            <v/>
          </cell>
          <cell r="Z154" t="str">
            <v>1902</v>
          </cell>
          <cell r="AA154" t="str">
            <v>1100108189</v>
          </cell>
          <cell r="AB154">
            <v>3670</v>
          </cell>
          <cell r="AC154" t="str">
            <v/>
          </cell>
          <cell r="AD154">
            <v>120.29</v>
          </cell>
          <cell r="AE154" t="str">
            <v>G0552-221228-352-4</v>
          </cell>
        </row>
        <row r="155">
          <cell r="B155" t="str">
            <v>7101041203</v>
          </cell>
          <cell r="C155" t="str">
            <v>G2401-0848</v>
          </cell>
          <cell r="D155" t="str">
            <v>000042944239002671</v>
          </cell>
          <cell r="E155" t="str">
            <v>螺栓</v>
          </cell>
          <cell r="F155" t="str">
            <v>S18.42.4120</v>
          </cell>
          <cell r="G155" t="str">
            <v>Ⅵ</v>
          </cell>
          <cell r="H155" t="str">
            <v>d=3.3-3.55</v>
          </cell>
          <cell r="I155" t="str">
            <v/>
          </cell>
          <cell r="J155" t="str">
            <v>GH4698</v>
          </cell>
          <cell r="K155">
            <v>1208</v>
          </cell>
          <cell r="L155">
            <v>45986</v>
          </cell>
          <cell r="M155" t="str">
            <v>0-初始未打印</v>
          </cell>
        </row>
        <row r="155">
          <cell r="O155">
            <v>0</v>
          </cell>
          <cell r="P155" t="str">
            <v>中国航发航空科技股份有限公司</v>
          </cell>
          <cell r="Q155" t="str">
            <v>1190</v>
          </cell>
        </row>
        <row r="155">
          <cell r="U155" t="str">
            <v>010000667103</v>
          </cell>
          <cell r="V155" t="str">
            <v/>
          </cell>
          <cell r="W155" t="str">
            <v/>
          </cell>
          <cell r="X155" t="str">
            <v>CP-108-A/CP-26-5-3-5</v>
          </cell>
          <cell r="Y155" t="str">
            <v/>
          </cell>
          <cell r="Z155" t="str">
            <v>1902</v>
          </cell>
          <cell r="AA155" t="str">
            <v>1100108189</v>
          </cell>
          <cell r="AB155">
            <v>3670</v>
          </cell>
          <cell r="AC155" t="str">
            <v/>
          </cell>
          <cell r="AD155">
            <v>120.29</v>
          </cell>
          <cell r="AE155" t="str">
            <v>G0552-221228-352-4</v>
          </cell>
        </row>
        <row r="156">
          <cell r="B156" t="str">
            <v>7101041207</v>
          </cell>
          <cell r="C156" t="str">
            <v>G2412-3186</v>
          </cell>
          <cell r="D156" t="str">
            <v>000042944239002671</v>
          </cell>
          <cell r="E156" t="str">
            <v>螺栓</v>
          </cell>
          <cell r="F156" t="str">
            <v>S18.42.4120</v>
          </cell>
          <cell r="G156" t="str">
            <v>Ⅵ</v>
          </cell>
          <cell r="H156" t="str">
            <v>d=3.3-3.55</v>
          </cell>
          <cell r="I156" t="str">
            <v/>
          </cell>
          <cell r="J156" t="str">
            <v>GH4698</v>
          </cell>
          <cell r="K156">
            <v>62</v>
          </cell>
          <cell r="L156">
            <v>45986</v>
          </cell>
          <cell r="M156" t="str">
            <v>0-初始未打印</v>
          </cell>
        </row>
        <row r="156">
          <cell r="O156">
            <v>0</v>
          </cell>
          <cell r="P156" t="str">
            <v>中国航发航空科技股份有限公司</v>
          </cell>
          <cell r="Q156" t="str">
            <v>1190</v>
          </cell>
        </row>
        <row r="156">
          <cell r="U156" t="str">
            <v>010000767002</v>
          </cell>
          <cell r="V156" t="str">
            <v/>
          </cell>
          <cell r="W156" t="str">
            <v/>
          </cell>
          <cell r="X156" t="str">
            <v>CP-48-2-2-2</v>
          </cell>
          <cell r="Y156" t="str">
            <v/>
          </cell>
          <cell r="Z156" t="str">
            <v>1902</v>
          </cell>
          <cell r="AA156" t="str">
            <v>1100108189</v>
          </cell>
          <cell r="AB156">
            <v>3670</v>
          </cell>
          <cell r="AC156" t="str">
            <v/>
          </cell>
          <cell r="AD156">
            <v>120.29</v>
          </cell>
          <cell r="AE156" t="str">
            <v>G0552-221228-352-4</v>
          </cell>
        </row>
        <row r="157">
          <cell r="B157" t="str">
            <v>7101041209</v>
          </cell>
          <cell r="C157" t="str">
            <v>G2302-2599</v>
          </cell>
          <cell r="D157" t="str">
            <v>000042944239095121</v>
          </cell>
          <cell r="E157" t="str">
            <v>螺栓</v>
          </cell>
          <cell r="F157" t="str">
            <v>S18.48.5076</v>
          </cell>
          <cell r="G157" t="str">
            <v>-</v>
          </cell>
          <cell r="H157" t="str">
            <v>d=3.4-3.7</v>
          </cell>
          <cell r="I157" t="str">
            <v>Ct·P</v>
          </cell>
          <cell r="J157" t="str">
            <v>13Cr11Ni2W2MoV</v>
          </cell>
          <cell r="K157">
            <v>915</v>
          </cell>
          <cell r="L157">
            <v>45986</v>
          </cell>
          <cell r="M157" t="str">
            <v>0-初始未打印</v>
          </cell>
        </row>
        <row r="157">
          <cell r="O157">
            <v>0</v>
          </cell>
          <cell r="P157" t="str">
            <v>中国航发航空科技股份有限公司</v>
          </cell>
          <cell r="Q157" t="str">
            <v>1200</v>
          </cell>
        </row>
        <row r="157">
          <cell r="U157" t="str">
            <v>010000577222</v>
          </cell>
          <cell r="V157" t="str">
            <v/>
          </cell>
          <cell r="W157" t="str">
            <v/>
          </cell>
          <cell r="X157" t="str">
            <v>CP-108-A/CP-10-5-3-1</v>
          </cell>
          <cell r="Y157" t="str">
            <v/>
          </cell>
          <cell r="Z157" t="str">
            <v>1902</v>
          </cell>
          <cell r="AA157" t="str">
            <v>1100108189</v>
          </cell>
          <cell r="AB157">
            <v>915</v>
          </cell>
          <cell r="AC157" t="str">
            <v/>
          </cell>
          <cell r="AD157">
            <v>42.05</v>
          </cell>
          <cell r="AE157" t="str">
            <v>G0552-221228-352-4</v>
          </cell>
        </row>
        <row r="158">
          <cell r="B158" t="str">
            <v>7101041222</v>
          </cell>
          <cell r="C158" t="str">
            <v>G2301-1937</v>
          </cell>
          <cell r="D158" t="str">
            <v>000042944239095123</v>
          </cell>
          <cell r="E158" t="str">
            <v>螺栓</v>
          </cell>
          <cell r="F158" t="str">
            <v>S18.48.5077</v>
          </cell>
          <cell r="G158" t="str">
            <v>-</v>
          </cell>
          <cell r="H158" t="str">
            <v>d=3.4-3.7</v>
          </cell>
          <cell r="I158" t="str">
            <v>Ct·P</v>
          </cell>
          <cell r="J158" t="str">
            <v>13Cr11Ni2W2MoV</v>
          </cell>
          <cell r="K158">
            <v>305</v>
          </cell>
          <cell r="L158">
            <v>45986</v>
          </cell>
          <cell r="M158" t="str">
            <v>0-初始未打印</v>
          </cell>
        </row>
        <row r="158">
          <cell r="O158">
            <v>0</v>
          </cell>
          <cell r="P158" t="str">
            <v>中国航发航空科技股份有限公司</v>
          </cell>
          <cell r="Q158" t="str">
            <v>1210</v>
          </cell>
        </row>
        <row r="158">
          <cell r="U158" t="str">
            <v>010000566399</v>
          </cell>
          <cell r="V158" t="str">
            <v/>
          </cell>
          <cell r="W158" t="str">
            <v/>
          </cell>
          <cell r="X158" t="str">
            <v>CP-69-3-2-5</v>
          </cell>
          <cell r="Y158" t="str">
            <v/>
          </cell>
          <cell r="Z158" t="str">
            <v>1902</v>
          </cell>
          <cell r="AA158" t="str">
            <v>1100108189</v>
          </cell>
          <cell r="AB158">
            <v>305</v>
          </cell>
          <cell r="AC158" t="str">
            <v/>
          </cell>
          <cell r="AD158">
            <v>46.66</v>
          </cell>
          <cell r="AE158" t="str">
            <v>G0552-221228-352-4</v>
          </cell>
        </row>
        <row r="159">
          <cell r="B159" t="str">
            <v>7101041225</v>
          </cell>
          <cell r="C159" t="str">
            <v>G2301-0955</v>
          </cell>
          <cell r="D159" t="str">
            <v>000042944239002665</v>
          </cell>
          <cell r="E159" t="str">
            <v>螺栓</v>
          </cell>
          <cell r="F159" t="str">
            <v>S18.42.4118</v>
          </cell>
          <cell r="G159" t="str">
            <v>Ⅴ</v>
          </cell>
          <cell r="H159" t="str">
            <v>d=3.3-3.55</v>
          </cell>
          <cell r="I159" t="str">
            <v/>
          </cell>
          <cell r="J159" t="str">
            <v>GH4698</v>
          </cell>
          <cell r="K159">
            <v>2194</v>
          </cell>
          <cell r="L159">
            <v>45986</v>
          </cell>
          <cell r="M159" t="str">
            <v>0-初始未打印</v>
          </cell>
        </row>
        <row r="159">
          <cell r="O159">
            <v>0</v>
          </cell>
          <cell r="P159" t="str">
            <v>中国航发航空科技股份有限公司</v>
          </cell>
          <cell r="Q159" t="str">
            <v>1220</v>
          </cell>
        </row>
        <row r="159">
          <cell r="U159" t="str">
            <v>010000563561</v>
          </cell>
          <cell r="V159" t="str">
            <v/>
          </cell>
          <cell r="W159" t="str">
            <v/>
          </cell>
          <cell r="X159" t="str">
            <v>CP-20-4-4-1/CP-26-3-4-6</v>
          </cell>
          <cell r="Y159" t="str">
            <v/>
          </cell>
          <cell r="Z159" t="str">
            <v>1902</v>
          </cell>
          <cell r="AA159" t="str">
            <v>1100108189</v>
          </cell>
          <cell r="AB159">
            <v>3423</v>
          </cell>
          <cell r="AC159" t="str">
            <v/>
          </cell>
          <cell r="AD159">
            <v>100.7</v>
          </cell>
          <cell r="AE159" t="str">
            <v>G0552-221228-352-4</v>
          </cell>
        </row>
        <row r="160">
          <cell r="B160" t="str">
            <v>7101041227</v>
          </cell>
          <cell r="C160" t="str">
            <v>G2301-0100</v>
          </cell>
          <cell r="D160" t="str">
            <v>000042944999008898</v>
          </cell>
          <cell r="E160" t="str">
            <v>螺桩</v>
          </cell>
          <cell r="F160" t="str">
            <v>S18.3.0004</v>
          </cell>
          <cell r="G160" t="str">
            <v>Ⅱ</v>
          </cell>
          <cell r="H160" t="str">
            <v>27-35HRC</v>
          </cell>
          <cell r="I160" t="str">
            <v>Ep·Cd5-8·c2C</v>
          </cell>
          <cell r="J160" t="str">
            <v>38CrA</v>
          </cell>
          <cell r="K160">
            <v>1080</v>
          </cell>
          <cell r="L160">
            <v>45986</v>
          </cell>
          <cell r="M160" t="str">
            <v>0-初始未打印</v>
          </cell>
        </row>
        <row r="160">
          <cell r="O160">
            <v>0</v>
          </cell>
          <cell r="P160" t="str">
            <v>中国航发航空科技股份有限公司</v>
          </cell>
          <cell r="Q160" t="str">
            <v>1230</v>
          </cell>
        </row>
        <row r="160">
          <cell r="U160" t="str">
            <v>010000561251</v>
          </cell>
          <cell r="V160" t="str">
            <v/>
          </cell>
          <cell r="W160" t="str">
            <v/>
          </cell>
          <cell r="X160" t="str">
            <v>CP-66-2-4-8</v>
          </cell>
          <cell r="Y160" t="str">
            <v/>
          </cell>
          <cell r="Z160" t="str">
            <v>1902</v>
          </cell>
          <cell r="AA160" t="str">
            <v>1100108189</v>
          </cell>
          <cell r="AB160">
            <v>1080</v>
          </cell>
          <cell r="AC160" t="str">
            <v/>
          </cell>
          <cell r="AD160">
            <v>13.15</v>
          </cell>
          <cell r="AE160" t="str">
            <v>G0552-221228-352-4</v>
          </cell>
        </row>
        <row r="161">
          <cell r="B161" t="str">
            <v>7101041241</v>
          </cell>
          <cell r="C161" t="str">
            <v>G2301-2867</v>
          </cell>
          <cell r="D161" t="str">
            <v>000042944319002075</v>
          </cell>
          <cell r="E161" t="str">
            <v>调整螺母</v>
          </cell>
          <cell r="F161" t="str">
            <v>S18.71.7110</v>
          </cell>
          <cell r="G161" t="str">
            <v>-</v>
          </cell>
          <cell r="H161" t="str">
            <v>HRC30-37</v>
          </cell>
          <cell r="I161" t="str">
            <v>Ep·Cd5·C2c</v>
          </cell>
          <cell r="J161" t="str">
            <v>38CrA</v>
          </cell>
          <cell r="K161">
            <v>200</v>
          </cell>
          <cell r="L161">
            <v>45986</v>
          </cell>
          <cell r="M161" t="str">
            <v>0-初始未打印</v>
          </cell>
        </row>
        <row r="161">
          <cell r="O161">
            <v>0</v>
          </cell>
          <cell r="P161" t="str">
            <v>中国航发航空科技股份有限公司</v>
          </cell>
          <cell r="Q161" t="str">
            <v>1240</v>
          </cell>
        </row>
        <row r="161">
          <cell r="U161" t="str">
            <v>010000569099</v>
          </cell>
          <cell r="V161" t="str">
            <v/>
          </cell>
          <cell r="W161" t="str">
            <v/>
          </cell>
          <cell r="X161" t="str">
            <v>CP-108-A/CP-26-3-3-4</v>
          </cell>
          <cell r="Y161" t="str">
            <v/>
          </cell>
          <cell r="Z161" t="str">
            <v>1902</v>
          </cell>
          <cell r="AA161" t="str">
            <v>1100108189</v>
          </cell>
          <cell r="AB161">
            <v>200</v>
          </cell>
          <cell r="AC161" t="str">
            <v/>
          </cell>
          <cell r="AD161">
            <v>42</v>
          </cell>
          <cell r="AE161" t="str">
            <v>G0552-221228-352-4</v>
          </cell>
        </row>
        <row r="162">
          <cell r="B162" t="str">
            <v>7101041243</v>
          </cell>
          <cell r="C162" t="str">
            <v>G2101-7559</v>
          </cell>
          <cell r="D162" t="str">
            <v>000042944288002571</v>
          </cell>
          <cell r="E162" t="str">
            <v>自锁螺母</v>
          </cell>
          <cell r="F162" t="str">
            <v>S18.71.7223</v>
          </cell>
          <cell r="G162" t="str">
            <v>-</v>
          </cell>
          <cell r="H162" t="str">
            <v>27-35HRC</v>
          </cell>
          <cell r="I162" t="str">
            <v>Ep·Cd5(Cu打底)</v>
          </cell>
          <cell r="J162" t="str">
            <v>38CrA</v>
          </cell>
          <cell r="K162">
            <v>980</v>
          </cell>
          <cell r="L162">
            <v>45986</v>
          </cell>
          <cell r="M162" t="str">
            <v>0-初始未打印</v>
          </cell>
        </row>
        <row r="162">
          <cell r="O162">
            <v>0</v>
          </cell>
          <cell r="P162" t="str">
            <v>中国航发航空科技股份有限公司</v>
          </cell>
          <cell r="Q162" t="str">
            <v>1250</v>
          </cell>
        </row>
        <row r="162">
          <cell r="U162" t="str">
            <v/>
          </cell>
          <cell r="V162" t="str">
            <v/>
          </cell>
          <cell r="W162" t="str">
            <v/>
          </cell>
          <cell r="X162" t="str">
            <v>CP-C8-4-4-3/CP-26-3-2-4</v>
          </cell>
          <cell r="Y162" t="str">
            <v/>
          </cell>
          <cell r="Z162" t="str">
            <v>1902</v>
          </cell>
          <cell r="AA162" t="str">
            <v>1100108189</v>
          </cell>
          <cell r="AB162">
            <v>980</v>
          </cell>
          <cell r="AC162" t="str">
            <v/>
          </cell>
          <cell r="AD162">
            <v>17</v>
          </cell>
          <cell r="AE162" t="str">
            <v>G0552-221228-352-4</v>
          </cell>
        </row>
        <row r="163">
          <cell r="B163" t="str">
            <v>7101041247</v>
          </cell>
          <cell r="C163" t="str">
            <v>G2301-1636</v>
          </cell>
          <cell r="D163" t="str">
            <v>000042944239011985</v>
          </cell>
          <cell r="E163" t="str">
            <v>螺栓</v>
          </cell>
          <cell r="F163" t="str">
            <v>S18.07.3139</v>
          </cell>
          <cell r="G163" t="str">
            <v>-</v>
          </cell>
          <cell r="H163" t="str">
            <v>34-42HRC</v>
          </cell>
          <cell r="I163" t="str">
            <v>Ep·Cu3-5·P</v>
          </cell>
          <cell r="J163" t="str">
            <v>38CrA</v>
          </cell>
          <cell r="K163">
            <v>175</v>
          </cell>
          <cell r="L163">
            <v>45986</v>
          </cell>
          <cell r="M163" t="str">
            <v>0-初始未打印</v>
          </cell>
        </row>
        <row r="163">
          <cell r="O163">
            <v>0</v>
          </cell>
          <cell r="P163" t="str">
            <v>中国航发航空科技股份有限公司</v>
          </cell>
          <cell r="Q163" t="str">
            <v>1260</v>
          </cell>
        </row>
        <row r="163">
          <cell r="U163" t="str">
            <v>010000565568</v>
          </cell>
          <cell r="V163" t="str">
            <v/>
          </cell>
          <cell r="W163" t="str">
            <v/>
          </cell>
          <cell r="X163" t="str">
            <v>CP-34-4-2-2</v>
          </cell>
          <cell r="Y163" t="str">
            <v/>
          </cell>
          <cell r="Z163" t="str">
            <v>1902</v>
          </cell>
          <cell r="AA163" t="str">
            <v>1100108189</v>
          </cell>
          <cell r="AB163">
            <v>175</v>
          </cell>
          <cell r="AC163" t="str">
            <v/>
          </cell>
          <cell r="AD163">
            <v>85.44</v>
          </cell>
          <cell r="AE163" t="str">
            <v>G0552-221228-352-4</v>
          </cell>
        </row>
        <row r="164">
          <cell r="B164" t="str">
            <v>7101041249</v>
          </cell>
          <cell r="C164" t="str">
            <v>G2301-1637</v>
          </cell>
          <cell r="D164" t="str">
            <v>000042944239011986</v>
          </cell>
          <cell r="E164" t="str">
            <v>拉紧螺栓</v>
          </cell>
          <cell r="F164" t="str">
            <v>S18.07.3149</v>
          </cell>
          <cell r="G164" t="str">
            <v>-</v>
          </cell>
          <cell r="H164" t="str">
            <v>27-35HRC</v>
          </cell>
          <cell r="I164" t="str">
            <v>Ep·Cd5-8·c2C</v>
          </cell>
          <cell r="J164" t="str">
            <v>38CrA</v>
          </cell>
          <cell r="K164">
            <v>204</v>
          </cell>
          <cell r="L164">
            <v>45986</v>
          </cell>
          <cell r="M164" t="str">
            <v>0-初始未打印</v>
          </cell>
        </row>
        <row r="164">
          <cell r="O164">
            <v>0</v>
          </cell>
          <cell r="P164" t="str">
            <v>中国航发航空科技股份有限公司</v>
          </cell>
          <cell r="Q164" t="str">
            <v>1270</v>
          </cell>
        </row>
        <row r="164">
          <cell r="U164" t="str">
            <v>010000565569</v>
          </cell>
          <cell r="V164" t="str">
            <v/>
          </cell>
          <cell r="W164" t="str">
            <v/>
          </cell>
          <cell r="X164" t="str">
            <v>CP-108-A/CP-26-4-3-2</v>
          </cell>
          <cell r="Y164" t="str">
            <v/>
          </cell>
          <cell r="Z164" t="str">
            <v>1902</v>
          </cell>
          <cell r="AA164" t="str">
            <v>1100108189</v>
          </cell>
          <cell r="AB164">
            <v>380</v>
          </cell>
          <cell r="AC164" t="str">
            <v/>
          </cell>
          <cell r="AD164">
            <v>75.65</v>
          </cell>
          <cell r="AE164" t="str">
            <v>G0552-221228-352-4</v>
          </cell>
        </row>
        <row r="165">
          <cell r="B165" t="str">
            <v>7101041251</v>
          </cell>
          <cell r="C165" t="str">
            <v>G2309-0829</v>
          </cell>
          <cell r="D165" t="str">
            <v>000042944239011986</v>
          </cell>
          <cell r="E165" t="str">
            <v>拉紧螺栓</v>
          </cell>
          <cell r="F165" t="str">
            <v>S18.07.3149</v>
          </cell>
          <cell r="G165" t="str">
            <v>-</v>
          </cell>
          <cell r="H165" t="str">
            <v>27-35HRC</v>
          </cell>
          <cell r="I165" t="str">
            <v>Ep·Cd5-8·c2C</v>
          </cell>
          <cell r="J165" t="str">
            <v>38CrA</v>
          </cell>
          <cell r="K165">
            <v>176</v>
          </cell>
          <cell r="L165">
            <v>45986</v>
          </cell>
          <cell r="M165" t="str">
            <v>0-初始未打印</v>
          </cell>
        </row>
        <row r="165">
          <cell r="O165">
            <v>0</v>
          </cell>
          <cell r="P165" t="str">
            <v>中国航发航空科技股份有限公司</v>
          </cell>
          <cell r="Q165" t="str">
            <v>1270</v>
          </cell>
        </row>
        <row r="165">
          <cell r="U165" t="str">
            <v>010000632835</v>
          </cell>
          <cell r="V165" t="str">
            <v/>
          </cell>
          <cell r="W165" t="str">
            <v/>
          </cell>
          <cell r="X165" t="str">
            <v>CP-36-3-1-12</v>
          </cell>
          <cell r="Y165" t="str">
            <v/>
          </cell>
          <cell r="Z165" t="str">
            <v>1902</v>
          </cell>
          <cell r="AA165" t="str">
            <v>1100108189</v>
          </cell>
          <cell r="AB165">
            <v>380</v>
          </cell>
          <cell r="AC165" t="str">
            <v/>
          </cell>
          <cell r="AD165">
            <v>75.65</v>
          </cell>
          <cell r="AE165" t="str">
            <v>G0552-221228-352-4</v>
          </cell>
        </row>
        <row r="166">
          <cell r="B166" t="str">
            <v>7101041253</v>
          </cell>
          <cell r="C166" t="str">
            <v>G2301-1936</v>
          </cell>
          <cell r="D166" t="str">
            <v>000042944239094793</v>
          </cell>
          <cell r="E166" t="str">
            <v>螺栓</v>
          </cell>
          <cell r="F166" t="str">
            <v>S18.1.0011</v>
          </cell>
          <cell r="G166" t="str">
            <v>-</v>
          </cell>
          <cell r="H166" t="str">
            <v>d=3.4-3.7</v>
          </cell>
          <cell r="I166" t="str">
            <v>Ct·P</v>
          </cell>
          <cell r="J166" t="str">
            <v>13Cr11Ni2W2MoV</v>
          </cell>
          <cell r="K166">
            <v>10</v>
          </cell>
          <cell r="L166">
            <v>45986</v>
          </cell>
          <cell r="M166" t="str">
            <v>0-初始未打印</v>
          </cell>
        </row>
        <row r="166">
          <cell r="O166">
            <v>0</v>
          </cell>
          <cell r="P166" t="str">
            <v>中国航发航空科技股份有限公司</v>
          </cell>
          <cell r="Q166" t="str">
            <v>1280</v>
          </cell>
        </row>
        <row r="166">
          <cell r="U166" t="str">
            <v>010000566398</v>
          </cell>
          <cell r="V166" t="str">
            <v/>
          </cell>
          <cell r="W166" t="str">
            <v/>
          </cell>
          <cell r="X166" t="str">
            <v>CP-69-2-3-16</v>
          </cell>
          <cell r="Y166" t="str">
            <v/>
          </cell>
          <cell r="Z166" t="str">
            <v>1902</v>
          </cell>
          <cell r="AA166" t="str">
            <v>1100108189</v>
          </cell>
          <cell r="AB166">
            <v>10</v>
          </cell>
          <cell r="AC166" t="str">
            <v/>
          </cell>
          <cell r="AD166">
            <v>77.3</v>
          </cell>
          <cell r="AE166" t="str">
            <v>G0552-221228-352-4</v>
          </cell>
        </row>
        <row r="167">
          <cell r="B167" t="str">
            <v>7101041259</v>
          </cell>
          <cell r="C167" t="str">
            <v>G2301-1638</v>
          </cell>
          <cell r="D167" t="str">
            <v>000042944239011990</v>
          </cell>
          <cell r="E167" t="str">
            <v>螺栓</v>
          </cell>
          <cell r="F167" t="str">
            <v>S18.1.0041</v>
          </cell>
          <cell r="G167" t="str">
            <v>-</v>
          </cell>
          <cell r="H167" t="str">
            <v>27-35HRC</v>
          </cell>
          <cell r="I167" t="str">
            <v>Ep·Cd5-8·c2C</v>
          </cell>
          <cell r="J167" t="str">
            <v>38CrA</v>
          </cell>
          <cell r="K167">
            <v>54</v>
          </cell>
          <cell r="L167">
            <v>45986</v>
          </cell>
          <cell r="M167" t="str">
            <v>0-初始未打印</v>
          </cell>
        </row>
        <row r="167">
          <cell r="O167">
            <v>0</v>
          </cell>
          <cell r="P167" t="str">
            <v>中国航发航空科技股份有限公司</v>
          </cell>
          <cell r="Q167" t="str">
            <v>1300</v>
          </cell>
        </row>
        <row r="167">
          <cell r="U167" t="str">
            <v>010000565570</v>
          </cell>
          <cell r="V167" t="str">
            <v/>
          </cell>
          <cell r="W167" t="str">
            <v/>
          </cell>
          <cell r="X167" t="str">
            <v>CP-80-1-1-4</v>
          </cell>
          <cell r="Y167" t="str">
            <v/>
          </cell>
          <cell r="Z167" t="str">
            <v>1902</v>
          </cell>
          <cell r="AA167" t="str">
            <v>1100108189</v>
          </cell>
          <cell r="AB167">
            <v>54</v>
          </cell>
          <cell r="AC167" t="str">
            <v/>
          </cell>
          <cell r="AD167">
            <v>54.14</v>
          </cell>
          <cell r="AE167" t="str">
            <v>G0552-221228-352-4</v>
          </cell>
        </row>
        <row r="168">
          <cell r="B168" t="str">
            <v>7101041260</v>
          </cell>
          <cell r="C168" t="str">
            <v>G2301-1322</v>
          </cell>
          <cell r="D168" t="str">
            <v>000042944160098148</v>
          </cell>
          <cell r="E168" t="str">
            <v>螺钉</v>
          </cell>
          <cell r="F168" t="str">
            <v>S18.2.0018</v>
          </cell>
          <cell r="G168" t="str">
            <v>-</v>
          </cell>
          <cell r="H168" t="str">
            <v>d=3.4-3.7</v>
          </cell>
          <cell r="I168" t="str">
            <v>Ct·P</v>
          </cell>
          <cell r="J168" t="str">
            <v>13Cr11Ni2W2MoV</v>
          </cell>
          <cell r="K168">
            <v>3440</v>
          </cell>
          <cell r="L168">
            <v>45986</v>
          </cell>
          <cell r="M168" t="str">
            <v>0-初始未打印</v>
          </cell>
        </row>
        <row r="168">
          <cell r="O168">
            <v>0</v>
          </cell>
          <cell r="P168" t="str">
            <v>中国航发航空科技股份有限公司</v>
          </cell>
          <cell r="Q168" t="str">
            <v>1320</v>
          </cell>
        </row>
        <row r="168">
          <cell r="U168" t="str">
            <v>010000565238</v>
          </cell>
          <cell r="V168" t="str">
            <v/>
          </cell>
          <cell r="W168" t="str">
            <v/>
          </cell>
          <cell r="X168" t="str">
            <v>CP-26-4-1-4/CP-26-4-1-6</v>
          </cell>
          <cell r="Y168" t="str">
            <v/>
          </cell>
          <cell r="Z168" t="str">
            <v>1902</v>
          </cell>
          <cell r="AA168" t="str">
            <v>1100108189</v>
          </cell>
          <cell r="AB168">
            <v>4554</v>
          </cell>
          <cell r="AC168" t="str">
            <v/>
          </cell>
          <cell r="AD168">
            <v>21.39</v>
          </cell>
          <cell r="AE168" t="str">
            <v>G0552-221228-352-4</v>
          </cell>
        </row>
        <row r="169">
          <cell r="B169" t="str">
            <v>7101041275</v>
          </cell>
          <cell r="C169" t="str">
            <v>G2302-0191</v>
          </cell>
          <cell r="D169" t="str">
            <v>000042944160011474</v>
          </cell>
          <cell r="E169" t="str">
            <v>螺钉</v>
          </cell>
          <cell r="F169" t="str">
            <v>S18.2.0223</v>
          </cell>
          <cell r="G169" t="str">
            <v>-</v>
          </cell>
          <cell r="H169" t="str">
            <v>35-41HRC</v>
          </cell>
          <cell r="I169" t="str">
            <v>Ep·Cd5-8·c2C</v>
          </cell>
          <cell r="J169" t="str">
            <v>30CrMnSiA</v>
          </cell>
          <cell r="K169">
            <v>353</v>
          </cell>
          <cell r="L169">
            <v>45986</v>
          </cell>
          <cell r="M169" t="str">
            <v>0-初始未打印</v>
          </cell>
        </row>
        <row r="169">
          <cell r="O169">
            <v>0</v>
          </cell>
          <cell r="P169" t="str">
            <v>中国航发航空科技股份有限公司</v>
          </cell>
          <cell r="Q169" t="str">
            <v>1400</v>
          </cell>
        </row>
        <row r="169">
          <cell r="U169" t="str">
            <v>010000571575</v>
          </cell>
          <cell r="V169" t="str">
            <v/>
          </cell>
          <cell r="W169" t="str">
            <v/>
          </cell>
          <cell r="X169" t="str">
            <v>CP-24-3-4-9</v>
          </cell>
          <cell r="Y169" t="str">
            <v/>
          </cell>
          <cell r="Z169" t="str">
            <v>1902</v>
          </cell>
          <cell r="AA169" t="str">
            <v>1100108189</v>
          </cell>
          <cell r="AB169">
            <v>360</v>
          </cell>
          <cell r="AC169" t="str">
            <v/>
          </cell>
          <cell r="AD169">
            <v>24.19</v>
          </cell>
          <cell r="AE169" t="str">
            <v>G0552-221228-352-4</v>
          </cell>
        </row>
        <row r="170">
          <cell r="B170" t="str">
            <v>7101041279</v>
          </cell>
          <cell r="C170" t="str">
            <v>G2306-2417</v>
          </cell>
          <cell r="D170" t="str">
            <v>000042944160011475</v>
          </cell>
          <cell r="E170" t="str">
            <v>螺钉</v>
          </cell>
          <cell r="F170" t="str">
            <v>S18.2.0227</v>
          </cell>
          <cell r="G170" t="str">
            <v>-</v>
          </cell>
          <cell r="H170" t="str">
            <v>27-35HRC</v>
          </cell>
          <cell r="I170" t="str">
            <v>Ep·Cd8-12·c2C</v>
          </cell>
          <cell r="J170" t="str">
            <v>38CrA</v>
          </cell>
          <cell r="K170">
            <v>69</v>
          </cell>
          <cell r="L170">
            <v>45986</v>
          </cell>
          <cell r="M170" t="str">
            <v>0-初始未打印</v>
          </cell>
        </row>
        <row r="170">
          <cell r="O170">
            <v>0</v>
          </cell>
          <cell r="P170" t="str">
            <v>中国航发航空科技股份有限公司</v>
          </cell>
          <cell r="Q170" t="str">
            <v>1410</v>
          </cell>
        </row>
        <row r="170">
          <cell r="U170" t="str">
            <v>010000614694</v>
          </cell>
          <cell r="V170" t="str">
            <v/>
          </cell>
          <cell r="W170" t="str">
            <v/>
          </cell>
          <cell r="X170" t="str">
            <v>CP-63-2-2-13</v>
          </cell>
          <cell r="Y170" t="str">
            <v/>
          </cell>
          <cell r="Z170" t="str">
            <v>1902</v>
          </cell>
          <cell r="AA170" t="str">
            <v>1100108189</v>
          </cell>
          <cell r="AB170">
            <v>1100</v>
          </cell>
          <cell r="AC170" t="str">
            <v/>
          </cell>
          <cell r="AD170">
            <v>20.59</v>
          </cell>
          <cell r="AE170" t="str">
            <v>G0552-221228-352-4</v>
          </cell>
        </row>
        <row r="171">
          <cell r="B171" t="str">
            <v>7101041291</v>
          </cell>
          <cell r="C171" t="str">
            <v>G2203-1892</v>
          </cell>
          <cell r="D171" t="str">
            <v>000042944160011476</v>
          </cell>
          <cell r="E171" t="str">
            <v>螺钉</v>
          </cell>
          <cell r="F171" t="str">
            <v>S18.2.0229</v>
          </cell>
          <cell r="G171" t="str">
            <v>-</v>
          </cell>
          <cell r="H171" t="str">
            <v>31-38HRC</v>
          </cell>
          <cell r="I171" t="str">
            <v>Ep·Cd5-8·c2C</v>
          </cell>
          <cell r="J171" t="str">
            <v>30CrMnSiA</v>
          </cell>
          <cell r="K171">
            <v>4</v>
          </cell>
          <cell r="L171">
            <v>45986</v>
          </cell>
          <cell r="M171" t="str">
            <v>0-初始未打印</v>
          </cell>
        </row>
        <row r="171">
          <cell r="O171">
            <v>0</v>
          </cell>
          <cell r="P171" t="str">
            <v>中国航发航空科技股份有限公司</v>
          </cell>
          <cell r="Q171" t="str">
            <v>1420</v>
          </cell>
        </row>
        <row r="171">
          <cell r="U171" t="str">
            <v>010000472659</v>
          </cell>
          <cell r="V171" t="str">
            <v/>
          </cell>
          <cell r="W171" t="str">
            <v/>
          </cell>
          <cell r="X171" t="str">
            <v>CP-75-2-1-5</v>
          </cell>
          <cell r="Y171" t="str">
            <v/>
          </cell>
          <cell r="Z171" t="str">
            <v>1902</v>
          </cell>
          <cell r="AA171" t="str">
            <v>1100108189</v>
          </cell>
          <cell r="AB171">
            <v>400</v>
          </cell>
          <cell r="AC171" t="str">
            <v/>
          </cell>
          <cell r="AD171">
            <v>38.5</v>
          </cell>
          <cell r="AE171" t="str">
            <v>G0552-221228-352-4</v>
          </cell>
        </row>
        <row r="172">
          <cell r="B172" t="str">
            <v>7101041293</v>
          </cell>
          <cell r="C172" t="str">
            <v>G2301-2604</v>
          </cell>
          <cell r="D172" t="str">
            <v>000042944160011476</v>
          </cell>
          <cell r="E172" t="str">
            <v>螺钉</v>
          </cell>
          <cell r="F172" t="str">
            <v>S18.2.0229</v>
          </cell>
          <cell r="G172" t="str">
            <v>-</v>
          </cell>
          <cell r="H172" t="str">
            <v>31-38HRC</v>
          </cell>
          <cell r="I172" t="str">
            <v>Ep·Cd5-8·c2C</v>
          </cell>
          <cell r="J172" t="str">
            <v>30CrMnSiA</v>
          </cell>
          <cell r="K172">
            <v>396</v>
          </cell>
          <cell r="L172">
            <v>45986</v>
          </cell>
          <cell r="M172" t="str">
            <v>0-初始未打印</v>
          </cell>
        </row>
        <row r="172">
          <cell r="O172">
            <v>0</v>
          </cell>
          <cell r="P172" t="str">
            <v>中国航发航空科技股份有限公司</v>
          </cell>
          <cell r="Q172" t="str">
            <v>1420</v>
          </cell>
        </row>
        <row r="172">
          <cell r="U172" t="str">
            <v>010000568337</v>
          </cell>
          <cell r="V172" t="str">
            <v/>
          </cell>
          <cell r="W172" t="str">
            <v/>
          </cell>
          <cell r="X172" t="str">
            <v>CP-36-3-4-15</v>
          </cell>
          <cell r="Y172" t="str">
            <v/>
          </cell>
          <cell r="Z172" t="str">
            <v>1902</v>
          </cell>
          <cell r="AA172" t="str">
            <v>1100108189</v>
          </cell>
          <cell r="AB172">
            <v>400</v>
          </cell>
          <cell r="AC172" t="str">
            <v/>
          </cell>
          <cell r="AD172">
            <v>38.5</v>
          </cell>
          <cell r="AE172" t="str">
            <v>G0552-221228-352-4</v>
          </cell>
        </row>
        <row r="173">
          <cell r="B173" t="str">
            <v>7101041294</v>
          </cell>
          <cell r="C173" t="str">
            <v>G2308-0637</v>
          </cell>
          <cell r="D173" t="str">
            <v>000042944160011477</v>
          </cell>
          <cell r="E173" t="str">
            <v>螺钉</v>
          </cell>
          <cell r="F173" t="str">
            <v>S18.2.0230</v>
          </cell>
          <cell r="G173" t="str">
            <v>-</v>
          </cell>
          <cell r="H173" t="str">
            <v>d=3.3-3.6</v>
          </cell>
          <cell r="I173" t="str">
            <v/>
          </cell>
          <cell r="J173" t="str">
            <v>GH2696-Ⅲ</v>
          </cell>
          <cell r="K173">
            <v>310</v>
          </cell>
          <cell r="L173">
            <v>45986</v>
          </cell>
          <cell r="M173" t="str">
            <v>0-初始未打印</v>
          </cell>
        </row>
        <row r="173">
          <cell r="O173">
            <v>0</v>
          </cell>
          <cell r="P173" t="str">
            <v>中国航发航空科技股份有限公司</v>
          </cell>
          <cell r="Q173" t="str">
            <v>1430</v>
          </cell>
        </row>
        <row r="173">
          <cell r="U173" t="str">
            <v>010000626284</v>
          </cell>
          <cell r="V173" t="str">
            <v/>
          </cell>
          <cell r="W173" t="str">
            <v/>
          </cell>
          <cell r="X173" t="str">
            <v>CP-33-4-1-2</v>
          </cell>
          <cell r="Y173" t="str">
            <v/>
          </cell>
          <cell r="Z173" t="str">
            <v>1902</v>
          </cell>
          <cell r="AA173" t="str">
            <v>1100108189</v>
          </cell>
          <cell r="AB173">
            <v>310</v>
          </cell>
          <cell r="AC173" t="str">
            <v/>
          </cell>
          <cell r="AD173">
            <v>81.79</v>
          </cell>
          <cell r="AE173" t="str">
            <v>G0552-221228-352-4</v>
          </cell>
        </row>
        <row r="174">
          <cell r="B174" t="str">
            <v>7101041297</v>
          </cell>
          <cell r="C174" t="str">
            <v>G2301-2605</v>
          </cell>
          <cell r="D174" t="str">
            <v>000042944160011478</v>
          </cell>
          <cell r="E174" t="str">
            <v>螺钉</v>
          </cell>
          <cell r="F174" t="str">
            <v>S18.2.0233</v>
          </cell>
          <cell r="G174" t="str">
            <v>-</v>
          </cell>
          <cell r="H174" t="str">
            <v>d=3.2-3.7</v>
          </cell>
          <cell r="I174" t="str">
            <v>Ep·Ag5-8</v>
          </cell>
          <cell r="J174" t="str">
            <v>TC6</v>
          </cell>
          <cell r="K174">
            <v>175</v>
          </cell>
          <cell r="L174">
            <v>45986</v>
          </cell>
          <cell r="M174" t="str">
            <v>0-初始未打印</v>
          </cell>
        </row>
        <row r="174">
          <cell r="O174">
            <v>0</v>
          </cell>
          <cell r="P174" t="str">
            <v>中国航发航空科技股份有限公司</v>
          </cell>
          <cell r="Q174" t="str">
            <v>1440</v>
          </cell>
        </row>
        <row r="174">
          <cell r="U174" t="str">
            <v>010000568338</v>
          </cell>
          <cell r="V174" t="str">
            <v/>
          </cell>
          <cell r="W174" t="str">
            <v/>
          </cell>
          <cell r="X174" t="str">
            <v>CP-34-2-3-19</v>
          </cell>
          <cell r="Y174" t="str">
            <v/>
          </cell>
          <cell r="Z174" t="str">
            <v>1902</v>
          </cell>
          <cell r="AA174" t="str">
            <v>1100108189</v>
          </cell>
          <cell r="AB174">
            <v>175</v>
          </cell>
          <cell r="AC174" t="str">
            <v/>
          </cell>
          <cell r="AD174">
            <v>85.73</v>
          </cell>
          <cell r="AE174" t="str">
            <v>G0552-221228-352-4</v>
          </cell>
        </row>
        <row r="175">
          <cell r="B175" t="str">
            <v>7101041298</v>
          </cell>
          <cell r="C175" t="str">
            <v>G2301-2606</v>
          </cell>
          <cell r="D175" t="str">
            <v>000042944160011479</v>
          </cell>
          <cell r="E175" t="str">
            <v>螺钉</v>
          </cell>
          <cell r="F175" t="str">
            <v>S18.2.0236</v>
          </cell>
          <cell r="G175" t="str">
            <v>-</v>
          </cell>
          <cell r="H175" t="str">
            <v>27-35HRC</v>
          </cell>
          <cell r="I175" t="str">
            <v>Ep·Cd8-12·c2C</v>
          </cell>
          <cell r="J175" t="str">
            <v>38CrA</v>
          </cell>
          <cell r="K175">
            <v>175</v>
          </cell>
          <cell r="L175">
            <v>45986</v>
          </cell>
          <cell r="M175" t="str">
            <v>0-初始未打印</v>
          </cell>
        </row>
        <row r="175">
          <cell r="O175">
            <v>0</v>
          </cell>
          <cell r="P175" t="str">
            <v>中国航发航空科技股份有限公司</v>
          </cell>
          <cell r="Q175" t="str">
            <v>1450</v>
          </cell>
        </row>
        <row r="175">
          <cell r="U175" t="str">
            <v>010000568339</v>
          </cell>
          <cell r="V175" t="str">
            <v/>
          </cell>
          <cell r="W175" t="str">
            <v/>
          </cell>
          <cell r="X175" t="str">
            <v>CP-108-A/CP-26-4-4-6</v>
          </cell>
          <cell r="Y175" t="str">
            <v/>
          </cell>
          <cell r="Z175" t="str">
            <v>1902</v>
          </cell>
          <cell r="AA175" t="str">
            <v>1100108189</v>
          </cell>
          <cell r="AB175">
            <v>175</v>
          </cell>
          <cell r="AC175" t="str">
            <v/>
          </cell>
          <cell r="AD175">
            <v>74.11</v>
          </cell>
          <cell r="AE175" t="str">
            <v>G0552-221228-352-4</v>
          </cell>
        </row>
        <row r="176">
          <cell r="B176" t="str">
            <v>7101041300</v>
          </cell>
          <cell r="C176" t="str">
            <v>G2301-2834</v>
          </cell>
          <cell r="D176" t="str">
            <v>000042944999008900</v>
          </cell>
          <cell r="E176" t="str">
            <v>螺桩</v>
          </cell>
          <cell r="F176" t="str">
            <v>S18.3.0005</v>
          </cell>
          <cell r="G176" t="str">
            <v>Ⅰ</v>
          </cell>
          <cell r="H176" t="str">
            <v>27-35HRC</v>
          </cell>
          <cell r="I176" t="str">
            <v>Ep·Cd5-8·c2C</v>
          </cell>
          <cell r="J176" t="str">
            <v>38CrA</v>
          </cell>
          <cell r="K176">
            <v>1119</v>
          </cell>
          <cell r="L176">
            <v>45986</v>
          </cell>
          <cell r="M176" t="str">
            <v>0-初始未打印</v>
          </cell>
        </row>
        <row r="176">
          <cell r="O176">
            <v>0</v>
          </cell>
          <cell r="P176" t="str">
            <v>中国航发航空科技股份有限公司</v>
          </cell>
          <cell r="Q176" t="str">
            <v>1480</v>
          </cell>
        </row>
        <row r="176">
          <cell r="U176" t="str">
            <v>010000569138</v>
          </cell>
          <cell r="V176" t="str">
            <v/>
          </cell>
          <cell r="W176" t="str">
            <v/>
          </cell>
          <cell r="X176" t="str">
            <v>CP-108-A/CP-26-3-3-4</v>
          </cell>
          <cell r="Y176" t="str">
            <v/>
          </cell>
          <cell r="Z176" t="str">
            <v>1902</v>
          </cell>
          <cell r="AA176" t="str">
            <v>1100108189</v>
          </cell>
          <cell r="AB176">
            <v>2250</v>
          </cell>
          <cell r="AC176" t="str">
            <v/>
          </cell>
          <cell r="AD176">
            <v>11.71</v>
          </cell>
          <cell r="AE176" t="str">
            <v>G0552-221228-352-4</v>
          </cell>
        </row>
        <row r="177">
          <cell r="B177" t="str">
            <v>7101041303</v>
          </cell>
          <cell r="C177" t="str">
            <v>G2301-2835</v>
          </cell>
          <cell r="D177" t="str">
            <v>000042944999008900</v>
          </cell>
          <cell r="E177" t="str">
            <v>螺桩</v>
          </cell>
          <cell r="F177" t="str">
            <v>S18.3.0005</v>
          </cell>
          <cell r="G177" t="str">
            <v>Ⅰ</v>
          </cell>
          <cell r="H177" t="str">
            <v>27-35HRC</v>
          </cell>
          <cell r="I177" t="str">
            <v>Ep·Cd5-8·c2C</v>
          </cell>
          <cell r="J177" t="str">
            <v>38CrA</v>
          </cell>
          <cell r="K177">
            <v>1066</v>
          </cell>
          <cell r="L177">
            <v>45986</v>
          </cell>
          <cell r="M177" t="str">
            <v>0-初始未打印</v>
          </cell>
        </row>
        <row r="177">
          <cell r="O177">
            <v>0</v>
          </cell>
          <cell r="P177" t="str">
            <v>中国航发航空科技股份有限公司</v>
          </cell>
          <cell r="Q177" t="str">
            <v>1480</v>
          </cell>
        </row>
        <row r="177">
          <cell r="U177" t="str">
            <v>010000569140</v>
          </cell>
          <cell r="V177" t="str">
            <v/>
          </cell>
          <cell r="W177" t="str">
            <v/>
          </cell>
          <cell r="X177" t="str">
            <v>CP-108-A/CP-26-4-3-1</v>
          </cell>
          <cell r="Y177" t="str">
            <v/>
          </cell>
          <cell r="Z177" t="str">
            <v>1902</v>
          </cell>
          <cell r="AA177" t="str">
            <v>1100108189</v>
          </cell>
          <cell r="AB177">
            <v>2250</v>
          </cell>
          <cell r="AC177" t="str">
            <v/>
          </cell>
          <cell r="AD177">
            <v>11.71</v>
          </cell>
          <cell r="AE177" t="str">
            <v>G0552-221228-352-4</v>
          </cell>
        </row>
        <row r="178">
          <cell r="B178" t="str">
            <v>7101041304</v>
          </cell>
          <cell r="C178" t="str">
            <v>G2303-3356</v>
          </cell>
          <cell r="D178" t="str">
            <v>000042944999008900</v>
          </cell>
          <cell r="E178" t="str">
            <v>螺桩</v>
          </cell>
          <cell r="F178" t="str">
            <v>S18.3.0005</v>
          </cell>
          <cell r="G178" t="str">
            <v>Ⅰ</v>
          </cell>
          <cell r="H178" t="str">
            <v>27-35HRC</v>
          </cell>
          <cell r="I178" t="str">
            <v>Ep·Cd5-8·c2C</v>
          </cell>
          <cell r="J178" t="str">
            <v>38CrA</v>
          </cell>
          <cell r="K178">
            <v>65</v>
          </cell>
          <cell r="L178">
            <v>45986</v>
          </cell>
          <cell r="M178" t="str">
            <v>0-初始未打印</v>
          </cell>
        </row>
        <row r="178">
          <cell r="O178">
            <v>0</v>
          </cell>
          <cell r="P178" t="str">
            <v>中国航发航空科技股份有限公司</v>
          </cell>
          <cell r="Q178" t="str">
            <v>1480</v>
          </cell>
        </row>
        <row r="178">
          <cell r="U178" t="str">
            <v>010000589664</v>
          </cell>
          <cell r="V178" t="str">
            <v/>
          </cell>
          <cell r="W178" t="str">
            <v/>
          </cell>
          <cell r="X178" t="str">
            <v>CP-34-2-3-9</v>
          </cell>
          <cell r="Y178" t="str">
            <v/>
          </cell>
          <cell r="Z178" t="str">
            <v>1902</v>
          </cell>
          <cell r="AA178" t="str">
            <v>1100108189</v>
          </cell>
          <cell r="AB178">
            <v>2250</v>
          </cell>
          <cell r="AC178" t="str">
            <v/>
          </cell>
          <cell r="AD178">
            <v>11.71</v>
          </cell>
          <cell r="AE178" t="str">
            <v>G0552-221228-352-4</v>
          </cell>
        </row>
        <row r="179">
          <cell r="B179" t="str">
            <v>7101041306</v>
          </cell>
          <cell r="C179" t="str">
            <v>G2301-0102</v>
          </cell>
          <cell r="D179" t="str">
            <v>000042944999008901</v>
          </cell>
          <cell r="E179" t="str">
            <v>螺桩</v>
          </cell>
          <cell r="F179" t="str">
            <v>S18.3.0005</v>
          </cell>
          <cell r="G179" t="str">
            <v>Ⅱ</v>
          </cell>
          <cell r="H179" t="str">
            <v>27-35HRC</v>
          </cell>
          <cell r="I179" t="str">
            <v>Ep·Cd5-8·c2C</v>
          </cell>
          <cell r="J179" t="str">
            <v>38CrA</v>
          </cell>
          <cell r="K179">
            <v>821</v>
          </cell>
          <cell r="L179">
            <v>45986</v>
          </cell>
          <cell r="M179" t="str">
            <v>0-初始未打印</v>
          </cell>
        </row>
        <row r="179">
          <cell r="O179">
            <v>0</v>
          </cell>
          <cell r="P179" t="str">
            <v>中国航发航空科技股份有限公司</v>
          </cell>
          <cell r="Q179" t="str">
            <v>1490</v>
          </cell>
        </row>
        <row r="179">
          <cell r="U179" t="str">
            <v>010000561254</v>
          </cell>
          <cell r="V179" t="str">
            <v/>
          </cell>
          <cell r="W179" t="str">
            <v/>
          </cell>
          <cell r="X179" t="str">
            <v>CP-108-A/CP-26-4-2-6/7</v>
          </cell>
          <cell r="Y179" t="str">
            <v/>
          </cell>
          <cell r="Z179" t="str">
            <v>1902</v>
          </cell>
          <cell r="AA179" t="str">
            <v>1100108189</v>
          </cell>
          <cell r="AB179">
            <v>900</v>
          </cell>
          <cell r="AC179" t="str">
            <v/>
          </cell>
          <cell r="AD179">
            <v>11.71</v>
          </cell>
          <cell r="AE179" t="str">
            <v>G0552-221228-352-4</v>
          </cell>
        </row>
        <row r="180">
          <cell r="B180" t="str">
            <v>7101041308</v>
          </cell>
          <cell r="C180" t="str">
            <v>G2303-0987</v>
          </cell>
          <cell r="D180" t="str">
            <v>000042944999008901</v>
          </cell>
          <cell r="E180" t="str">
            <v>螺桩</v>
          </cell>
          <cell r="F180" t="str">
            <v>S18.3.0005</v>
          </cell>
          <cell r="G180" t="str">
            <v>Ⅱ</v>
          </cell>
          <cell r="H180" t="str">
            <v>27-35HRC</v>
          </cell>
          <cell r="I180" t="str">
            <v>Ep·Cd5-8·c2C</v>
          </cell>
          <cell r="J180" t="str">
            <v>38CrA</v>
          </cell>
          <cell r="K180">
            <v>79</v>
          </cell>
          <cell r="L180">
            <v>45986</v>
          </cell>
          <cell r="M180" t="str">
            <v>0-初始未打印</v>
          </cell>
        </row>
        <row r="180">
          <cell r="O180">
            <v>0</v>
          </cell>
          <cell r="P180" t="str">
            <v>中国航发航空科技股份有限公司</v>
          </cell>
          <cell r="Q180" t="str">
            <v>1490</v>
          </cell>
        </row>
        <row r="180">
          <cell r="U180" t="str">
            <v>010000582769</v>
          </cell>
          <cell r="V180" t="str">
            <v/>
          </cell>
          <cell r="W180" t="str">
            <v/>
          </cell>
          <cell r="X180" t="str">
            <v>CP-34-3-4-6</v>
          </cell>
          <cell r="Y180" t="str">
            <v/>
          </cell>
          <cell r="Z180" t="str">
            <v>1902</v>
          </cell>
          <cell r="AA180" t="str">
            <v>1100108189</v>
          </cell>
          <cell r="AB180">
            <v>900</v>
          </cell>
          <cell r="AC180" t="str">
            <v/>
          </cell>
          <cell r="AD180">
            <v>11.71</v>
          </cell>
          <cell r="AE180" t="str">
            <v>G0552-221228-352-4</v>
          </cell>
        </row>
        <row r="181">
          <cell r="B181" t="str">
            <v>7101041311</v>
          </cell>
          <cell r="C181" t="str">
            <v>G2301-0103</v>
          </cell>
          <cell r="D181" t="str">
            <v>000042944999008902</v>
          </cell>
          <cell r="E181" t="str">
            <v>螺桩</v>
          </cell>
          <cell r="F181" t="str">
            <v>S18.3.0005</v>
          </cell>
          <cell r="G181" t="str">
            <v>Ⅲ</v>
          </cell>
          <cell r="H181" t="str">
            <v>27-35HRC</v>
          </cell>
          <cell r="I181" t="str">
            <v>Ep·Cd5-8·c2C</v>
          </cell>
          <cell r="J181" t="str">
            <v>38CrA</v>
          </cell>
          <cell r="K181">
            <v>900</v>
          </cell>
          <cell r="L181">
            <v>45986</v>
          </cell>
          <cell r="M181" t="str">
            <v>0-初始未打印</v>
          </cell>
        </row>
        <row r="181">
          <cell r="O181">
            <v>0</v>
          </cell>
          <cell r="P181" t="str">
            <v>中国航发航空科技股份有限公司</v>
          </cell>
          <cell r="Q181" t="str">
            <v>1500</v>
          </cell>
        </row>
        <row r="181">
          <cell r="U181" t="str">
            <v>010000561255</v>
          </cell>
          <cell r="V181" t="str">
            <v/>
          </cell>
          <cell r="W181" t="str">
            <v/>
          </cell>
          <cell r="X181" t="str">
            <v>CP-77-2-4-6</v>
          </cell>
          <cell r="Y181" t="str">
            <v/>
          </cell>
          <cell r="Z181" t="str">
            <v>1902</v>
          </cell>
          <cell r="AA181" t="str">
            <v>1100108189</v>
          </cell>
          <cell r="AB181">
            <v>900</v>
          </cell>
          <cell r="AC181" t="str">
            <v/>
          </cell>
          <cell r="AD181">
            <v>11.71</v>
          </cell>
          <cell r="AE181" t="str">
            <v>G0552-221228-352-4</v>
          </cell>
        </row>
        <row r="182">
          <cell r="B182" t="str">
            <v>7101041313</v>
          </cell>
          <cell r="C182" t="str">
            <v>G2301-1641</v>
          </cell>
          <cell r="D182" t="str">
            <v>000042944999008903</v>
          </cell>
          <cell r="E182" t="str">
            <v>螺桩</v>
          </cell>
          <cell r="F182" t="str">
            <v>S18.3.0006</v>
          </cell>
          <cell r="G182" t="str">
            <v>Ⅰ</v>
          </cell>
          <cell r="H182" t="str">
            <v>27-35HRC</v>
          </cell>
          <cell r="I182" t="str">
            <v>Ep·Cd5-8·c2C</v>
          </cell>
          <cell r="J182" t="str">
            <v>38CrA</v>
          </cell>
          <cell r="K182">
            <v>2957</v>
          </cell>
          <cell r="L182">
            <v>45986</v>
          </cell>
          <cell r="M182" t="str">
            <v>0-初始未打印</v>
          </cell>
        </row>
        <row r="182">
          <cell r="O182">
            <v>0</v>
          </cell>
          <cell r="P182" t="str">
            <v>中国航发航空科技股份有限公司</v>
          </cell>
          <cell r="Q182" t="str">
            <v>1510</v>
          </cell>
        </row>
        <row r="182">
          <cell r="U182" t="str">
            <v>010000565946</v>
          </cell>
          <cell r="V182" t="str">
            <v/>
          </cell>
          <cell r="W182" t="str">
            <v/>
          </cell>
          <cell r="X182" t="str">
            <v>CP-108-A/CP-26-5-2-4</v>
          </cell>
          <cell r="Y182" t="str">
            <v/>
          </cell>
          <cell r="Z182" t="str">
            <v>1902</v>
          </cell>
          <cell r="AA182" t="str">
            <v>1100108189</v>
          </cell>
          <cell r="AB182">
            <v>3389</v>
          </cell>
          <cell r="AC182" t="str">
            <v/>
          </cell>
          <cell r="AD182">
            <v>14.21</v>
          </cell>
          <cell r="AE182" t="str">
            <v>G0552-221228-352-4</v>
          </cell>
        </row>
        <row r="183">
          <cell r="B183" t="str">
            <v>7101041314</v>
          </cell>
          <cell r="C183" t="str">
            <v>G2305-1587</v>
          </cell>
          <cell r="D183" t="str">
            <v>000042944999008903</v>
          </cell>
          <cell r="E183" t="str">
            <v>螺桩</v>
          </cell>
          <cell r="F183" t="str">
            <v>S18.3.0006</v>
          </cell>
          <cell r="G183" t="str">
            <v>Ⅰ</v>
          </cell>
          <cell r="H183" t="str">
            <v>27-35HRC</v>
          </cell>
          <cell r="I183" t="str">
            <v>Ep·Cd5-8·c2C</v>
          </cell>
          <cell r="J183" t="str">
            <v>38CrA</v>
          </cell>
          <cell r="K183">
            <v>427</v>
          </cell>
          <cell r="L183">
            <v>45986</v>
          </cell>
          <cell r="M183" t="str">
            <v>0-初始未打印</v>
          </cell>
        </row>
        <row r="183">
          <cell r="O183">
            <v>0</v>
          </cell>
          <cell r="P183" t="str">
            <v>中国航发航空科技股份有限公司</v>
          </cell>
          <cell r="Q183" t="str">
            <v>1510</v>
          </cell>
        </row>
        <row r="183">
          <cell r="U183" t="str">
            <v>010000602689</v>
          </cell>
          <cell r="V183" t="str">
            <v/>
          </cell>
          <cell r="W183" t="str">
            <v/>
          </cell>
          <cell r="X183" t="str">
            <v>CP-68-1-3-1</v>
          </cell>
          <cell r="Y183" t="str">
            <v/>
          </cell>
          <cell r="Z183" t="str">
            <v>1902</v>
          </cell>
          <cell r="AA183" t="str">
            <v>1100108189</v>
          </cell>
          <cell r="AB183">
            <v>3389</v>
          </cell>
          <cell r="AC183" t="str">
            <v/>
          </cell>
          <cell r="AD183">
            <v>14.21</v>
          </cell>
          <cell r="AE183" t="str">
            <v>G0552-221228-352-4</v>
          </cell>
        </row>
        <row r="184">
          <cell r="B184" t="str">
            <v>7101041316</v>
          </cell>
          <cell r="C184" t="str">
            <v>G2301-0104</v>
          </cell>
          <cell r="D184" t="str">
            <v>000042944999008905</v>
          </cell>
          <cell r="E184" t="str">
            <v>螺桩</v>
          </cell>
          <cell r="F184" t="str">
            <v>S18.3.0006</v>
          </cell>
          <cell r="G184" t="str">
            <v>Ⅲ</v>
          </cell>
          <cell r="H184" t="str">
            <v>27-35HRC</v>
          </cell>
          <cell r="I184" t="str">
            <v>Ep·Cd5-8·c2C</v>
          </cell>
          <cell r="J184" t="str">
            <v>38CrA</v>
          </cell>
          <cell r="K184">
            <v>1080</v>
          </cell>
          <cell r="L184">
            <v>45986</v>
          </cell>
          <cell r="M184" t="str">
            <v>0-初始未打印</v>
          </cell>
        </row>
        <row r="184">
          <cell r="O184">
            <v>0</v>
          </cell>
          <cell r="P184" t="str">
            <v>中国航发航空科技股份有限公司</v>
          </cell>
          <cell r="Q184" t="str">
            <v>1520</v>
          </cell>
        </row>
        <row r="184">
          <cell r="U184" t="str">
            <v>010000561257</v>
          </cell>
          <cell r="V184" t="str">
            <v/>
          </cell>
          <cell r="W184" t="str">
            <v/>
          </cell>
          <cell r="X184" t="str">
            <v>CP-108-A/CP-26-4-2-5</v>
          </cell>
          <cell r="Y184" t="str">
            <v/>
          </cell>
          <cell r="Z184" t="str">
            <v>1902</v>
          </cell>
          <cell r="AA184" t="str">
            <v>1100108189</v>
          </cell>
          <cell r="AB184">
            <v>1428</v>
          </cell>
          <cell r="AC184" t="str">
            <v/>
          </cell>
          <cell r="AD184">
            <v>14.21</v>
          </cell>
          <cell r="AE184" t="str">
            <v>G0552-221228-352-4</v>
          </cell>
        </row>
        <row r="185">
          <cell r="B185" t="str">
            <v>7101041317</v>
          </cell>
          <cell r="C185" t="str">
            <v>G2303-0988</v>
          </cell>
          <cell r="D185" t="str">
            <v>000042944999008905</v>
          </cell>
          <cell r="E185" t="str">
            <v>螺桩</v>
          </cell>
          <cell r="F185" t="str">
            <v>S18.3.0006</v>
          </cell>
          <cell r="G185" t="str">
            <v>Ⅲ</v>
          </cell>
          <cell r="H185" t="str">
            <v>27-35HRC</v>
          </cell>
          <cell r="I185" t="str">
            <v>Ep·Cd5-8·c2C</v>
          </cell>
          <cell r="J185" t="str">
            <v>38CrA</v>
          </cell>
          <cell r="K185">
            <v>348</v>
          </cell>
          <cell r="L185">
            <v>45986</v>
          </cell>
          <cell r="M185" t="str">
            <v>0-初始未打印</v>
          </cell>
        </row>
        <row r="185">
          <cell r="O185">
            <v>0</v>
          </cell>
          <cell r="P185" t="str">
            <v>中国航发航空科技股份有限公司</v>
          </cell>
          <cell r="Q185" t="str">
            <v>1520</v>
          </cell>
        </row>
        <row r="185">
          <cell r="U185" t="str">
            <v>010000582770</v>
          </cell>
          <cell r="V185" t="str">
            <v/>
          </cell>
          <cell r="W185" t="str">
            <v/>
          </cell>
          <cell r="X185" t="str">
            <v>CP-108-A/CP-26-2-4-5</v>
          </cell>
          <cell r="Y185" t="str">
            <v/>
          </cell>
          <cell r="Z185" t="str">
            <v>1902</v>
          </cell>
          <cell r="AA185" t="str">
            <v>1100108189</v>
          </cell>
          <cell r="AB185">
            <v>1428</v>
          </cell>
          <cell r="AC185" t="str">
            <v/>
          </cell>
          <cell r="AD185">
            <v>14.21</v>
          </cell>
          <cell r="AE185" t="str">
            <v>G0552-221228-352-4</v>
          </cell>
        </row>
        <row r="186">
          <cell r="B186" t="str">
            <v>7101041462</v>
          </cell>
          <cell r="C186" t="str">
            <v>G2503-1728</v>
          </cell>
          <cell r="D186" t="str">
            <v>000042944160011467</v>
          </cell>
          <cell r="E186" t="str">
            <v>螺钉</v>
          </cell>
          <cell r="F186" t="str">
            <v>S18.2.0105</v>
          </cell>
          <cell r="G186" t="str">
            <v>-</v>
          </cell>
          <cell r="H186" t="str">
            <v>d=3.4-3.8</v>
          </cell>
          <cell r="I186" t="str">
            <v>Ep·Ag3-5</v>
          </cell>
          <cell r="J186" t="str">
            <v>GH4033</v>
          </cell>
          <cell r="K186">
            <v>146</v>
          </cell>
          <cell r="L186">
            <v>45986</v>
          </cell>
          <cell r="M186" t="str">
            <v>0-初始未打印</v>
          </cell>
        </row>
        <row r="186">
          <cell r="O186">
            <v>0</v>
          </cell>
          <cell r="P186" t="str">
            <v>中国航发航空科技股份有限公司</v>
          </cell>
          <cell r="Q186" t="str">
            <v>30</v>
          </cell>
        </row>
        <row r="186">
          <cell r="U186" t="str">
            <v>010000797944</v>
          </cell>
          <cell r="V186" t="str">
            <v/>
          </cell>
          <cell r="W186" t="str">
            <v/>
          </cell>
          <cell r="X186" t="str">
            <v>CP-C8-4-4-3</v>
          </cell>
          <cell r="Y186" t="str">
            <v/>
          </cell>
          <cell r="Z186" t="str">
            <v>1902</v>
          </cell>
          <cell r="AA186" t="str">
            <v>1100125161</v>
          </cell>
          <cell r="AB186">
            <v>514</v>
          </cell>
          <cell r="AC186" t="str">
            <v/>
          </cell>
          <cell r="AD186">
            <v>22</v>
          </cell>
          <cell r="AE186" t="str">
            <v>G0555-240226-352-6-1</v>
          </cell>
        </row>
        <row r="187">
          <cell r="B187" t="str">
            <v>7101041738</v>
          </cell>
          <cell r="C187" t="str">
            <v>G2310-1204</v>
          </cell>
          <cell r="D187" t="str">
            <v>000042944319002071</v>
          </cell>
          <cell r="E187" t="str">
            <v>螺母</v>
          </cell>
          <cell r="F187" t="str">
            <v>S18.40.4263</v>
          </cell>
          <cell r="G187" t="str">
            <v>-</v>
          </cell>
          <cell r="H187" t="str">
            <v>d=3.4-3.8</v>
          </cell>
          <cell r="I187" t="str">
            <v/>
          </cell>
          <cell r="J187" t="str">
            <v>GH4033</v>
          </cell>
          <cell r="K187">
            <v>267</v>
          </cell>
          <cell r="L187">
            <v>45986</v>
          </cell>
          <cell r="M187" t="str">
            <v>0-初始未打印</v>
          </cell>
        </row>
        <row r="187">
          <cell r="O187">
            <v>0</v>
          </cell>
          <cell r="P187" t="str">
            <v>中国航发航空科技股份有限公司</v>
          </cell>
          <cell r="Q187" t="str">
            <v>1070</v>
          </cell>
        </row>
        <row r="187">
          <cell r="U187" t="str">
            <v>010000643669</v>
          </cell>
          <cell r="V187" t="str">
            <v/>
          </cell>
          <cell r="W187" t="str">
            <v/>
          </cell>
          <cell r="X187" t="str">
            <v>CP-32-4-3-3</v>
          </cell>
          <cell r="Y187" t="str">
            <v/>
          </cell>
          <cell r="Z187" t="str">
            <v>1902</v>
          </cell>
          <cell r="AA187" t="str">
            <v>1100108189</v>
          </cell>
          <cell r="AB187">
            <v>18000</v>
          </cell>
          <cell r="AC187" t="str">
            <v/>
          </cell>
          <cell r="AD187">
            <v>42.12</v>
          </cell>
          <cell r="AE187" t="str">
            <v>G0552-221228-352-4</v>
          </cell>
        </row>
        <row r="188">
          <cell r="B188" t="str">
            <v>7101041738</v>
          </cell>
          <cell r="C188" t="str">
            <v>G2310-1204</v>
          </cell>
          <cell r="D188" t="str">
            <v>000042944319002071</v>
          </cell>
          <cell r="E188" t="str">
            <v>螺母</v>
          </cell>
          <cell r="F188" t="str">
            <v>S18.40.4263</v>
          </cell>
          <cell r="G188" t="str">
            <v>-</v>
          </cell>
          <cell r="H188" t="str">
            <v>d=3.4-3.8</v>
          </cell>
          <cell r="I188" t="str">
            <v/>
          </cell>
          <cell r="J188" t="str">
            <v>GH4033</v>
          </cell>
          <cell r="K188">
            <v>267</v>
          </cell>
          <cell r="L188">
            <v>45986</v>
          </cell>
          <cell r="M188" t="str">
            <v>0-初始未打印</v>
          </cell>
        </row>
        <row r="188">
          <cell r="O188">
            <v>0</v>
          </cell>
          <cell r="P188" t="str">
            <v>中国航发航空科技股份有限公司</v>
          </cell>
          <cell r="Q188" t="str">
            <v>1070</v>
          </cell>
        </row>
        <row r="188">
          <cell r="U188" t="str">
            <v>010000643669</v>
          </cell>
          <cell r="V188" t="str">
            <v/>
          </cell>
          <cell r="W188" t="str">
            <v/>
          </cell>
          <cell r="X188" t="str">
            <v>CP-32-4-3-3</v>
          </cell>
          <cell r="Y188" t="str">
            <v/>
          </cell>
          <cell r="Z188" t="str">
            <v>1902</v>
          </cell>
          <cell r="AA188" t="str">
            <v>1100108189</v>
          </cell>
          <cell r="AB188">
            <v>18000</v>
          </cell>
          <cell r="AC188" t="str">
            <v/>
          </cell>
          <cell r="AD188">
            <v>42.12</v>
          </cell>
          <cell r="AE188" t="str">
            <v>G0552-221228-352-4</v>
          </cell>
        </row>
        <row r="189">
          <cell r="B189" t="str">
            <v>7101041739</v>
          </cell>
          <cell r="C189" t="str">
            <v>G2306-2416</v>
          </cell>
          <cell r="D189" t="str">
            <v>000042944160011471</v>
          </cell>
          <cell r="E189" t="str">
            <v>螺钉</v>
          </cell>
          <cell r="F189" t="str">
            <v>S18.2.0219</v>
          </cell>
          <cell r="G189" t="str">
            <v>-</v>
          </cell>
          <cell r="H189" t="str">
            <v>35-41HRC</v>
          </cell>
          <cell r="I189" t="str">
            <v>Ep·Cd5-8·c2C</v>
          </cell>
          <cell r="J189" t="str">
            <v>30CrMnSiA</v>
          </cell>
          <cell r="K189">
            <v>84</v>
          </cell>
          <cell r="L189">
            <v>45986</v>
          </cell>
          <cell r="M189" t="str">
            <v>0-初始未打印</v>
          </cell>
        </row>
        <row r="189">
          <cell r="O189">
            <v>0</v>
          </cell>
          <cell r="P189" t="str">
            <v>中国航发航空科技股份有限公司</v>
          </cell>
          <cell r="Q189" t="str">
            <v>1370</v>
          </cell>
        </row>
        <row r="189">
          <cell r="U189" t="str">
            <v>010000614693</v>
          </cell>
          <cell r="V189" t="str">
            <v/>
          </cell>
          <cell r="W189" t="str">
            <v/>
          </cell>
          <cell r="X189" t="str">
            <v>CP-36-3-2-3</v>
          </cell>
          <cell r="Y189" t="str">
            <v/>
          </cell>
          <cell r="Z189" t="str">
            <v>1902</v>
          </cell>
          <cell r="AA189" t="str">
            <v>1100108189</v>
          </cell>
          <cell r="AB189">
            <v>900</v>
          </cell>
          <cell r="AC189" t="str">
            <v/>
          </cell>
          <cell r="AD189">
            <v>20.59</v>
          </cell>
          <cell r="AE189" t="str">
            <v>G0552-221228-352-4</v>
          </cell>
        </row>
        <row r="190">
          <cell r="B190" t="str">
            <v>7101041739</v>
          </cell>
          <cell r="C190" t="str">
            <v>G2301-0400</v>
          </cell>
          <cell r="D190" t="str">
            <v>000042944160011471</v>
          </cell>
          <cell r="E190" t="str">
            <v>螺钉</v>
          </cell>
          <cell r="F190" t="str">
            <v>S18.2.0219</v>
          </cell>
          <cell r="G190" t="str">
            <v>-</v>
          </cell>
          <cell r="H190" t="str">
            <v>35-41HRC</v>
          </cell>
          <cell r="I190" t="str">
            <v>Ep·Cd5-8·c2C</v>
          </cell>
          <cell r="J190" t="str">
            <v>30CrMnSiA</v>
          </cell>
          <cell r="K190">
            <v>526</v>
          </cell>
          <cell r="L190">
            <v>45986</v>
          </cell>
          <cell r="M190" t="str">
            <v>0-初始未打印</v>
          </cell>
        </row>
        <row r="190">
          <cell r="O190">
            <v>0</v>
          </cell>
          <cell r="P190" t="str">
            <v>中国航发航空科技股份有限公司</v>
          </cell>
          <cell r="Q190" t="str">
            <v>1370</v>
          </cell>
        </row>
        <row r="190">
          <cell r="U190" t="str">
            <v>010000561810</v>
          </cell>
          <cell r="V190" t="str">
            <v/>
          </cell>
          <cell r="W190" t="str">
            <v/>
          </cell>
          <cell r="X190" t="str">
            <v>CP-37-5-1-13</v>
          </cell>
          <cell r="Y190" t="str">
            <v/>
          </cell>
          <cell r="Z190" t="str">
            <v>1902</v>
          </cell>
          <cell r="AA190" t="str">
            <v>1100108189</v>
          </cell>
          <cell r="AB190">
            <v>900</v>
          </cell>
          <cell r="AC190" t="str">
            <v/>
          </cell>
          <cell r="AD190">
            <v>20.59</v>
          </cell>
          <cell r="AE190" t="str">
            <v>G0552-221228-352-4</v>
          </cell>
        </row>
        <row r="191">
          <cell r="B191" t="str">
            <v>7101041740</v>
          </cell>
          <cell r="C191" t="str">
            <v>G2301-1642</v>
          </cell>
          <cell r="D191" t="str">
            <v>000042944999095124</v>
          </cell>
          <cell r="E191" t="str">
            <v>最大压力限制和自动加速空气滤外锥螺纹接嘴</v>
          </cell>
          <cell r="F191" t="str">
            <v>S18.00.0933</v>
          </cell>
          <cell r="G191" t="str">
            <v>-</v>
          </cell>
          <cell r="H191" t="str">
            <v>d=3.4-3.7</v>
          </cell>
          <cell r="I191" t="str">
            <v/>
          </cell>
          <cell r="J191" t="str">
            <v>13Cr11Ni2W2MoV</v>
          </cell>
          <cell r="K191">
            <v>292</v>
          </cell>
          <cell r="L191">
            <v>45986</v>
          </cell>
          <cell r="M191" t="str">
            <v>0-初始未打印</v>
          </cell>
        </row>
        <row r="191">
          <cell r="O191">
            <v>0</v>
          </cell>
          <cell r="P191" t="str">
            <v>中国航发航空科技股份有限公司</v>
          </cell>
          <cell r="Q191" t="str">
            <v>850</v>
          </cell>
        </row>
        <row r="191">
          <cell r="U191" t="str">
            <v>010000565969</v>
          </cell>
          <cell r="V191" t="str">
            <v/>
          </cell>
          <cell r="W191" t="str">
            <v/>
          </cell>
          <cell r="X191" t="str">
            <v>CP-23-5-1-5/CP-26-5-1-1</v>
          </cell>
          <cell r="Y191" t="str">
            <v/>
          </cell>
          <cell r="Z191" t="str">
            <v>1902</v>
          </cell>
          <cell r="AA191" t="str">
            <v>1100108189</v>
          </cell>
          <cell r="AB191">
            <v>300</v>
          </cell>
          <cell r="AC191" t="str">
            <v/>
          </cell>
          <cell r="AD191">
            <v>153.12</v>
          </cell>
          <cell r="AE191" t="str">
            <v>G0552-221228-352-4</v>
          </cell>
        </row>
        <row r="192">
          <cell r="B192" t="str">
            <v>7101041743</v>
          </cell>
          <cell r="C192" t="str">
            <v>G2301-2772</v>
          </cell>
          <cell r="D192" t="str">
            <v>000042944999008885</v>
          </cell>
          <cell r="E192" t="str">
            <v>钢索</v>
          </cell>
          <cell r="F192" t="str">
            <v>S18.00.8038</v>
          </cell>
          <cell r="G192" t="str">
            <v>-</v>
          </cell>
          <cell r="H192" t="str">
            <v/>
          </cell>
          <cell r="I192" t="str">
            <v/>
          </cell>
          <cell r="J192" t="str">
            <v>组件</v>
          </cell>
          <cell r="K192">
            <v>117</v>
          </cell>
          <cell r="L192">
            <v>45986</v>
          </cell>
          <cell r="M192" t="str">
            <v>0-初始未打印</v>
          </cell>
        </row>
        <row r="192">
          <cell r="O192">
            <v>0</v>
          </cell>
          <cell r="P192" t="str">
            <v>中国航发航空科技股份有限公司</v>
          </cell>
          <cell r="Q192" t="str">
            <v>960</v>
          </cell>
        </row>
        <row r="192">
          <cell r="U192" t="str">
            <v>010000568446</v>
          </cell>
          <cell r="V192" t="str">
            <v/>
          </cell>
          <cell r="W192" t="str">
            <v/>
          </cell>
          <cell r="X192" t="str">
            <v>CP-108-A/CP-75-5-4-6</v>
          </cell>
          <cell r="Y192" t="str">
            <v/>
          </cell>
          <cell r="Z192" t="str">
            <v>1902</v>
          </cell>
          <cell r="AA192" t="str">
            <v>1100108189</v>
          </cell>
          <cell r="AB192">
            <v>299</v>
          </cell>
          <cell r="AC192" t="str">
            <v/>
          </cell>
          <cell r="AD192">
            <v>411.84</v>
          </cell>
          <cell r="AE192" t="str">
            <v>G0552-221228-352-4</v>
          </cell>
        </row>
        <row r="193">
          <cell r="B193" t="str">
            <v>7101041746</v>
          </cell>
          <cell r="C193" t="str">
            <v>G2301-1111</v>
          </cell>
          <cell r="D193" t="str">
            <v>000042944999008889</v>
          </cell>
          <cell r="E193" t="str">
            <v>钢索</v>
          </cell>
          <cell r="F193" t="str">
            <v>S18.00.8042</v>
          </cell>
          <cell r="G193" t="str">
            <v>-</v>
          </cell>
          <cell r="H193" t="str">
            <v/>
          </cell>
          <cell r="I193" t="str">
            <v/>
          </cell>
          <cell r="J193" t="str">
            <v>组件</v>
          </cell>
          <cell r="K193">
            <v>149</v>
          </cell>
          <cell r="L193">
            <v>45986</v>
          </cell>
          <cell r="M193" t="str">
            <v>0-初始未打印</v>
          </cell>
        </row>
        <row r="193">
          <cell r="O193">
            <v>0</v>
          </cell>
          <cell r="P193" t="str">
            <v>中国航发航空科技股份有限公司</v>
          </cell>
          <cell r="Q193" t="str">
            <v>1000</v>
          </cell>
        </row>
        <row r="193">
          <cell r="U193" t="str">
            <v>010000564052</v>
          </cell>
          <cell r="V193" t="str">
            <v/>
          </cell>
          <cell r="W193" t="str">
            <v/>
          </cell>
          <cell r="X193" t="str">
            <v>CP-C8-3-2-1</v>
          </cell>
          <cell r="Y193" t="str">
            <v/>
          </cell>
          <cell r="Z193" t="str">
            <v>1902</v>
          </cell>
          <cell r="AA193" t="str">
            <v>1100108189</v>
          </cell>
          <cell r="AB193">
            <v>171</v>
          </cell>
          <cell r="AC193" t="str">
            <v/>
          </cell>
          <cell r="AD193">
            <v>481.73</v>
          </cell>
          <cell r="AE193" t="str">
            <v>G0552-221228-352-4</v>
          </cell>
        </row>
        <row r="194">
          <cell r="B194" t="str">
            <v>7101041748</v>
          </cell>
          <cell r="C194" t="str">
            <v>G2303-3369</v>
          </cell>
          <cell r="D194" t="str">
            <v>000042944000017939</v>
          </cell>
          <cell r="E194" t="str">
            <v>散热器管路支架组件</v>
          </cell>
          <cell r="F194" t="str">
            <v>S18C.00.18344</v>
          </cell>
          <cell r="G194" t="str">
            <v>-</v>
          </cell>
          <cell r="H194" t="str">
            <v/>
          </cell>
          <cell r="I194" t="str">
            <v/>
          </cell>
          <cell r="J194" t="str">
            <v>组件</v>
          </cell>
          <cell r="K194">
            <v>11</v>
          </cell>
          <cell r="L194">
            <v>45986</v>
          </cell>
          <cell r="M194" t="str">
            <v>0-初始未打印</v>
          </cell>
        </row>
        <row r="194">
          <cell r="O194">
            <v>0</v>
          </cell>
          <cell r="P194" t="str">
            <v>中国航发航空科技股份有限公司</v>
          </cell>
          <cell r="Q194" t="str">
            <v>930</v>
          </cell>
        </row>
        <row r="194">
          <cell r="U194" t="str">
            <v>010000589731</v>
          </cell>
          <cell r="V194" t="str">
            <v/>
          </cell>
          <cell r="W194" t="str">
            <v/>
          </cell>
          <cell r="X194" t="str">
            <v>CP-C8-5-4-7</v>
          </cell>
          <cell r="Y194" t="str">
            <v/>
          </cell>
          <cell r="Z194" t="str">
            <v>1902</v>
          </cell>
          <cell r="AA194" t="str">
            <v>1100109987</v>
          </cell>
          <cell r="AB194">
            <v>29</v>
          </cell>
          <cell r="AC194" t="str">
            <v/>
          </cell>
          <cell r="AD194">
            <v>384</v>
          </cell>
          <cell r="AE194" t="str">
            <v>G0552-230220-062</v>
          </cell>
        </row>
        <row r="195">
          <cell r="B195" t="str">
            <v>7101041753</v>
          </cell>
          <cell r="C195" t="str">
            <v>G2308-1649</v>
          </cell>
          <cell r="D195" t="str">
            <v>000042944999017815</v>
          </cell>
          <cell r="E195" t="str">
            <v>风扇机匣电路支架组件</v>
          </cell>
          <cell r="F195" t="str">
            <v>S18C.00.18392</v>
          </cell>
          <cell r="G195" t="str">
            <v>-</v>
          </cell>
          <cell r="H195" t="str">
            <v/>
          </cell>
          <cell r="I195" t="str">
            <v/>
          </cell>
          <cell r="J195" t="str">
            <v>组件</v>
          </cell>
          <cell r="K195">
            <v>1</v>
          </cell>
          <cell r="L195">
            <v>45986</v>
          </cell>
          <cell r="M195" t="str">
            <v>0-初始未打印</v>
          </cell>
        </row>
        <row r="195">
          <cell r="O195">
            <v>0</v>
          </cell>
          <cell r="P195" t="str">
            <v>中国航发航空科技股份有限公司</v>
          </cell>
          <cell r="Q195" t="str">
            <v>970</v>
          </cell>
        </row>
        <row r="195">
          <cell r="U195" t="str">
            <v>010000629136</v>
          </cell>
          <cell r="V195" t="str">
            <v/>
          </cell>
          <cell r="W195" t="str">
            <v/>
          </cell>
          <cell r="X195" t="str">
            <v>CP-35-4-1-6</v>
          </cell>
          <cell r="Y195" t="str">
            <v/>
          </cell>
          <cell r="Z195" t="str">
            <v>1902</v>
          </cell>
          <cell r="AA195" t="str">
            <v>1100109987</v>
          </cell>
          <cell r="AB195">
            <v>30</v>
          </cell>
          <cell r="AC195" t="str">
            <v/>
          </cell>
          <cell r="AD195">
            <v>432</v>
          </cell>
          <cell r="AE195" t="str">
            <v>G0552-230220-062</v>
          </cell>
        </row>
        <row r="196">
          <cell r="B196" t="str">
            <v>7101041777</v>
          </cell>
          <cell r="C196" t="str">
            <v>G2303-3348</v>
          </cell>
          <cell r="D196" t="str">
            <v>000042944440000462</v>
          </cell>
          <cell r="E196" t="str">
            <v>挡圈</v>
          </cell>
          <cell r="F196" t="str">
            <v>S18.5.0802</v>
          </cell>
          <cell r="G196" t="str">
            <v>-</v>
          </cell>
          <cell r="H196" t="str">
            <v>44-48HRC</v>
          </cell>
          <cell r="I196" t="str">
            <v>Ep·Cd8-12·c2C</v>
          </cell>
          <cell r="J196" t="str">
            <v>60Si2MnA</v>
          </cell>
          <cell r="K196">
            <v>27</v>
          </cell>
          <cell r="L196">
            <v>45986</v>
          </cell>
          <cell r="M196" t="str">
            <v>0-初始未打印</v>
          </cell>
        </row>
        <row r="196">
          <cell r="O196">
            <v>0</v>
          </cell>
          <cell r="P196" t="str">
            <v>中国航发航空科技股份有限公司</v>
          </cell>
          <cell r="Q196" t="str">
            <v>280</v>
          </cell>
        </row>
        <row r="196">
          <cell r="U196" t="str">
            <v>010000589652</v>
          </cell>
          <cell r="V196" t="str">
            <v/>
          </cell>
          <cell r="W196" t="str">
            <v/>
          </cell>
          <cell r="X196" t="str">
            <v>CP-108-A/CP-26-2-4-4</v>
          </cell>
          <cell r="Y196" t="str">
            <v/>
          </cell>
          <cell r="Z196" t="str">
            <v>1902</v>
          </cell>
          <cell r="AA196" t="str">
            <v>1100108189</v>
          </cell>
          <cell r="AB196">
            <v>1800</v>
          </cell>
          <cell r="AC196" t="str">
            <v/>
          </cell>
          <cell r="AD196">
            <v>92.93</v>
          </cell>
          <cell r="AE196" t="str">
            <v>G0552-221228-352-4</v>
          </cell>
        </row>
        <row r="197">
          <cell r="B197" t="str">
            <v>7101041777</v>
          </cell>
          <cell r="C197" t="str">
            <v>G2306-1992</v>
          </cell>
          <cell r="D197" t="str">
            <v>000042944440000462</v>
          </cell>
          <cell r="E197" t="str">
            <v>挡圈</v>
          </cell>
          <cell r="F197" t="str">
            <v>S18.5.0802</v>
          </cell>
          <cell r="G197" t="str">
            <v>-</v>
          </cell>
          <cell r="H197" t="str">
            <v>44-48HRC</v>
          </cell>
          <cell r="I197" t="str">
            <v>Ep·Cd8-12·c2C</v>
          </cell>
          <cell r="J197" t="str">
            <v>60Si2MnA</v>
          </cell>
          <cell r="K197">
            <v>16</v>
          </cell>
          <cell r="L197">
            <v>45986</v>
          </cell>
          <cell r="M197" t="str">
            <v>0-初始未打印</v>
          </cell>
        </row>
        <row r="197">
          <cell r="O197">
            <v>0</v>
          </cell>
          <cell r="P197" t="str">
            <v>中国航发航空科技股份有限公司</v>
          </cell>
          <cell r="Q197" t="str">
            <v>280</v>
          </cell>
        </row>
        <row r="197">
          <cell r="U197" t="str">
            <v>010000613211</v>
          </cell>
          <cell r="V197" t="str">
            <v/>
          </cell>
          <cell r="W197" t="str">
            <v/>
          </cell>
          <cell r="X197" t="str">
            <v>CP-26-4-1-5</v>
          </cell>
          <cell r="Y197" t="str">
            <v/>
          </cell>
          <cell r="Z197" t="str">
            <v>1902</v>
          </cell>
          <cell r="AA197" t="str">
            <v>1100108189</v>
          </cell>
          <cell r="AB197">
            <v>1800</v>
          </cell>
          <cell r="AC197" t="str">
            <v/>
          </cell>
          <cell r="AD197">
            <v>92.93</v>
          </cell>
          <cell r="AE197" t="str">
            <v>G0552-221228-352-4</v>
          </cell>
        </row>
        <row r="198">
          <cell r="B198" t="str">
            <v>7101041779</v>
          </cell>
          <cell r="C198" t="str">
            <v>G2203-0813</v>
          </cell>
          <cell r="D198" t="str">
            <v>000042944999008916</v>
          </cell>
          <cell r="E198" t="str">
            <v>螺桩</v>
          </cell>
          <cell r="F198" t="str">
            <v>S18.3.0037</v>
          </cell>
          <cell r="G198" t="str">
            <v>Ⅰ</v>
          </cell>
          <cell r="H198" t="str">
            <v>27-35HRC</v>
          </cell>
          <cell r="I198" t="str">
            <v>Ep·Cd5-8·c2C</v>
          </cell>
          <cell r="J198" t="str">
            <v>38CrA</v>
          </cell>
          <cell r="K198">
            <v>9</v>
          </cell>
          <cell r="L198">
            <v>45986</v>
          </cell>
          <cell r="M198" t="str">
            <v>0-初始未打印</v>
          </cell>
        </row>
        <row r="198">
          <cell r="O198">
            <v>0</v>
          </cell>
          <cell r="P198" t="str">
            <v>中国航发航空科技股份有限公司</v>
          </cell>
          <cell r="Q198" t="str">
            <v>50</v>
          </cell>
        </row>
        <row r="198">
          <cell r="U198" t="str">
            <v>010000468597</v>
          </cell>
          <cell r="V198" t="str">
            <v/>
          </cell>
          <cell r="W198" t="str">
            <v/>
          </cell>
          <cell r="X198" t="str">
            <v>CP-5-3-3-3</v>
          </cell>
          <cell r="Y198" t="str">
            <v/>
          </cell>
          <cell r="Z198" t="str">
            <v>1902</v>
          </cell>
          <cell r="AA198" t="str">
            <v>1100108189</v>
          </cell>
          <cell r="AB198">
            <v>120</v>
          </cell>
          <cell r="AC198" t="str">
            <v/>
          </cell>
          <cell r="AD198">
            <v>39.26</v>
          </cell>
          <cell r="AE198" t="str">
            <v>G0552-221228-352-4</v>
          </cell>
        </row>
        <row r="199">
          <cell r="B199" t="str">
            <v>7101041779</v>
          </cell>
          <cell r="C199" t="str">
            <v>G2301-2697</v>
          </cell>
          <cell r="D199" t="str">
            <v>000042944999008916</v>
          </cell>
          <cell r="E199" t="str">
            <v>螺桩</v>
          </cell>
          <cell r="F199" t="str">
            <v>S18.3.0037</v>
          </cell>
          <cell r="G199" t="str">
            <v>Ⅰ</v>
          </cell>
          <cell r="H199" t="str">
            <v>27-35HRC</v>
          </cell>
          <cell r="I199" t="str">
            <v>Ep·Cd5-8·c2C</v>
          </cell>
          <cell r="J199" t="str">
            <v>38CrA</v>
          </cell>
          <cell r="K199">
            <v>111</v>
          </cell>
          <cell r="L199">
            <v>45986</v>
          </cell>
          <cell r="M199" t="str">
            <v>0-初始未打印</v>
          </cell>
        </row>
        <row r="199">
          <cell r="O199">
            <v>0</v>
          </cell>
          <cell r="P199" t="str">
            <v>中国航发航空科技股份有限公司</v>
          </cell>
          <cell r="Q199" t="str">
            <v>50</v>
          </cell>
        </row>
        <row r="199">
          <cell r="U199" t="str">
            <v>010000568447</v>
          </cell>
          <cell r="V199" t="str">
            <v/>
          </cell>
          <cell r="W199" t="str">
            <v/>
          </cell>
          <cell r="X199" t="str">
            <v>CP-58-1-1-10</v>
          </cell>
          <cell r="Y199" t="str">
            <v/>
          </cell>
          <cell r="Z199" t="str">
            <v>1902</v>
          </cell>
          <cell r="AA199" t="str">
            <v>1100108189</v>
          </cell>
          <cell r="AB199">
            <v>120</v>
          </cell>
          <cell r="AC199" t="str">
            <v/>
          </cell>
          <cell r="AD199">
            <v>39.26</v>
          </cell>
          <cell r="AE199" t="str">
            <v>G0552-221228-352-4</v>
          </cell>
        </row>
        <row r="200">
          <cell r="B200" t="str">
            <v>7101041780</v>
          </cell>
          <cell r="C200" t="str">
            <v>G2203-0163</v>
          </cell>
          <cell r="D200" t="str">
            <v>000042944160011470</v>
          </cell>
          <cell r="E200" t="str">
            <v>螺钉</v>
          </cell>
          <cell r="F200" t="str">
            <v>S18.2.0215</v>
          </cell>
          <cell r="G200" t="str">
            <v>-</v>
          </cell>
          <cell r="H200" t="str">
            <v>27-35HRC</v>
          </cell>
          <cell r="I200" t="str">
            <v>Ep·Cd8-12·c2C</v>
          </cell>
          <cell r="J200" t="str">
            <v>38CrA</v>
          </cell>
          <cell r="K200">
            <v>3</v>
          </cell>
          <cell r="L200">
            <v>45986</v>
          </cell>
          <cell r="M200" t="str">
            <v>0-初始未打印</v>
          </cell>
        </row>
        <row r="200">
          <cell r="O200">
            <v>0</v>
          </cell>
          <cell r="P200" t="str">
            <v>中国航发航空科技股份有限公司</v>
          </cell>
          <cell r="Q200" t="str">
            <v>1360</v>
          </cell>
        </row>
        <row r="200">
          <cell r="U200" t="str">
            <v>010000465965</v>
          </cell>
          <cell r="V200" t="str">
            <v/>
          </cell>
          <cell r="W200" t="str">
            <v/>
          </cell>
          <cell r="X200" t="str">
            <v>CP-71-4-4-4</v>
          </cell>
          <cell r="Y200" t="str">
            <v/>
          </cell>
          <cell r="Z200" t="str">
            <v>1902</v>
          </cell>
          <cell r="AA200" t="str">
            <v>1100108189</v>
          </cell>
          <cell r="AB200">
            <v>400</v>
          </cell>
          <cell r="AC200" t="str">
            <v/>
          </cell>
          <cell r="AD200">
            <v>22.46</v>
          </cell>
          <cell r="AE200" t="str">
            <v>G0552-221228-352-4</v>
          </cell>
        </row>
        <row r="201">
          <cell r="B201" t="str">
            <v>7101041780</v>
          </cell>
          <cell r="C201" t="str">
            <v>G2301-0445</v>
          </cell>
          <cell r="D201" t="str">
            <v>000042944160011470</v>
          </cell>
          <cell r="E201" t="str">
            <v>螺钉</v>
          </cell>
          <cell r="F201" t="str">
            <v>S18.2.0215</v>
          </cell>
          <cell r="G201" t="str">
            <v>-</v>
          </cell>
          <cell r="H201" t="str">
            <v>27-35HRC</v>
          </cell>
          <cell r="I201" t="str">
            <v>Ep·Cd8-12·c2C</v>
          </cell>
          <cell r="J201" t="str">
            <v>38CrA</v>
          </cell>
          <cell r="K201">
            <v>173</v>
          </cell>
          <cell r="L201">
            <v>45986</v>
          </cell>
          <cell r="M201" t="str">
            <v>0-初始未打印</v>
          </cell>
        </row>
        <row r="201">
          <cell r="O201">
            <v>0</v>
          </cell>
          <cell r="P201" t="str">
            <v>中国航发航空科技股份有限公司</v>
          </cell>
          <cell r="Q201" t="str">
            <v>1360</v>
          </cell>
        </row>
        <row r="201">
          <cell r="U201" t="str">
            <v>010000561856</v>
          </cell>
          <cell r="V201" t="str">
            <v/>
          </cell>
          <cell r="W201" t="str">
            <v/>
          </cell>
          <cell r="X201" t="str">
            <v>CP-63-2-1-14</v>
          </cell>
          <cell r="Y201" t="str">
            <v/>
          </cell>
          <cell r="Z201" t="str">
            <v>1902</v>
          </cell>
          <cell r="AA201" t="str">
            <v>1100108189</v>
          </cell>
          <cell r="AB201">
            <v>400</v>
          </cell>
          <cell r="AC201" t="str">
            <v/>
          </cell>
          <cell r="AD201">
            <v>22.46</v>
          </cell>
          <cell r="AE201" t="str">
            <v>G0552-221228-352-4</v>
          </cell>
        </row>
        <row r="202">
          <cell r="B202" t="str">
            <v>7101041811</v>
          </cell>
          <cell r="C202" t="str">
            <v>G2301-2995</v>
          </cell>
          <cell r="D202" t="str">
            <v>000042944320012594</v>
          </cell>
          <cell r="E202" t="str">
            <v>半圆头铆钉</v>
          </cell>
          <cell r="F202" t="str">
            <v>S18.7.0120</v>
          </cell>
          <cell r="G202" t="str">
            <v>-</v>
          </cell>
          <cell r="H202" t="str">
            <v>固溶</v>
          </cell>
          <cell r="I202" t="str">
            <v/>
          </cell>
          <cell r="J202" t="str">
            <v>GH3030</v>
          </cell>
          <cell r="K202">
            <v>173</v>
          </cell>
          <cell r="L202">
            <v>45986</v>
          </cell>
          <cell r="M202" t="str">
            <v>0-初始未打印</v>
          </cell>
        </row>
        <row r="202">
          <cell r="O202">
            <v>0</v>
          </cell>
          <cell r="P202" t="str">
            <v>中国航发航空科技股份有限公司</v>
          </cell>
          <cell r="Q202" t="str">
            <v>470</v>
          </cell>
        </row>
        <row r="202">
          <cell r="U202" t="str">
            <v>010000569439</v>
          </cell>
          <cell r="V202" t="str">
            <v/>
          </cell>
          <cell r="W202" t="str">
            <v/>
          </cell>
          <cell r="X202" t="str">
            <v>CP-108-A/CP-26-5-4-4</v>
          </cell>
          <cell r="Y202" t="str">
            <v/>
          </cell>
          <cell r="Z202" t="str">
            <v>1902</v>
          </cell>
          <cell r="AA202" t="str">
            <v>1100108189</v>
          </cell>
          <cell r="AB202">
            <v>180</v>
          </cell>
          <cell r="AC202" t="str">
            <v/>
          </cell>
          <cell r="AD202">
            <v>16.13</v>
          </cell>
          <cell r="AE202" t="str">
            <v>G0552-221228-352-4</v>
          </cell>
        </row>
        <row r="203">
          <cell r="B203" t="str">
            <v>7101041811</v>
          </cell>
          <cell r="C203" t="str">
            <v>G2303-3334</v>
          </cell>
          <cell r="D203" t="str">
            <v>000042944320012594</v>
          </cell>
          <cell r="E203" t="str">
            <v>半圆头铆钉</v>
          </cell>
          <cell r="F203" t="str">
            <v>S18.7.0120</v>
          </cell>
          <cell r="G203" t="str">
            <v>-</v>
          </cell>
          <cell r="H203" t="str">
            <v>固溶</v>
          </cell>
          <cell r="I203" t="str">
            <v/>
          </cell>
          <cell r="J203" t="str">
            <v>GH3030</v>
          </cell>
          <cell r="K203">
            <v>7</v>
          </cell>
          <cell r="L203">
            <v>45986</v>
          </cell>
          <cell r="M203" t="str">
            <v>0-初始未打印</v>
          </cell>
        </row>
        <row r="203">
          <cell r="O203">
            <v>0</v>
          </cell>
          <cell r="P203" t="str">
            <v>中国航发航空科技股份有限公司</v>
          </cell>
          <cell r="Q203" t="str">
            <v>470</v>
          </cell>
        </row>
        <row r="203">
          <cell r="U203" t="str">
            <v>010000589636</v>
          </cell>
          <cell r="V203" t="str">
            <v/>
          </cell>
          <cell r="W203" t="str">
            <v/>
          </cell>
          <cell r="X203" t="str">
            <v>CP-59-1-4-5</v>
          </cell>
          <cell r="Y203" t="str">
            <v/>
          </cell>
          <cell r="Z203" t="str">
            <v>1902</v>
          </cell>
          <cell r="AA203" t="str">
            <v>1100108189</v>
          </cell>
          <cell r="AB203">
            <v>180</v>
          </cell>
          <cell r="AC203" t="str">
            <v/>
          </cell>
          <cell r="AD203">
            <v>16.13</v>
          </cell>
          <cell r="AE203" t="str">
            <v>G0552-221228-352-4</v>
          </cell>
        </row>
        <row r="204">
          <cell r="B204" t="str">
            <v>7101041812</v>
          </cell>
          <cell r="C204" t="str">
            <v>G2301-2998</v>
          </cell>
          <cell r="D204" t="str">
            <v>000042944320012604</v>
          </cell>
          <cell r="E204" t="str">
            <v>铆钉</v>
          </cell>
          <cell r="F204" t="str">
            <v>S18.7.0210</v>
          </cell>
          <cell r="G204" t="str">
            <v>-</v>
          </cell>
          <cell r="H204" t="str">
            <v>固溶</v>
          </cell>
          <cell r="I204" t="str">
            <v>Ct·P</v>
          </cell>
          <cell r="J204" t="str">
            <v>ML1Cr18Ni9Ti-R</v>
          </cell>
          <cell r="K204">
            <v>300</v>
          </cell>
          <cell r="L204">
            <v>45986</v>
          </cell>
          <cell r="M204" t="str">
            <v>0-初始未打印</v>
          </cell>
        </row>
        <row r="204">
          <cell r="O204">
            <v>0</v>
          </cell>
          <cell r="P204" t="str">
            <v>中国航发航空科技股份有限公司</v>
          </cell>
          <cell r="Q204" t="str">
            <v>540</v>
          </cell>
        </row>
        <row r="204">
          <cell r="U204" t="str">
            <v>010000569442</v>
          </cell>
          <cell r="V204" t="str">
            <v/>
          </cell>
          <cell r="W204" t="str">
            <v/>
          </cell>
          <cell r="X204" t="str">
            <v>CP-70-2-4-19</v>
          </cell>
          <cell r="Y204" t="str">
            <v/>
          </cell>
          <cell r="Z204" t="str">
            <v>1902</v>
          </cell>
          <cell r="AA204" t="str">
            <v>1100108189</v>
          </cell>
          <cell r="AB204">
            <v>300</v>
          </cell>
          <cell r="AC204" t="str">
            <v/>
          </cell>
          <cell r="AD204">
            <v>24.29</v>
          </cell>
          <cell r="AE204" t="str">
            <v>G0552-221228-352-4</v>
          </cell>
        </row>
        <row r="205">
          <cell r="B205" t="str">
            <v>7101041813</v>
          </cell>
          <cell r="C205" t="str">
            <v>G2203-0425</v>
          </cell>
          <cell r="D205" t="str">
            <v>000042944999095124</v>
          </cell>
          <cell r="E205" t="str">
            <v>最大压力限制和自动加速空气滤外锥螺纹接嘴</v>
          </cell>
          <cell r="F205" t="str">
            <v>S18.00.0933</v>
          </cell>
          <cell r="G205" t="str">
            <v>-</v>
          </cell>
          <cell r="H205" t="str">
            <v>d=3.4-3.7</v>
          </cell>
          <cell r="I205" t="str">
            <v/>
          </cell>
          <cell r="J205" t="str">
            <v>13Cr11Ni2W2MoV</v>
          </cell>
          <cell r="K205">
            <v>8</v>
          </cell>
          <cell r="L205">
            <v>45986</v>
          </cell>
          <cell r="M205" t="str">
            <v>0-初始未打印</v>
          </cell>
        </row>
        <row r="205">
          <cell r="O205">
            <v>0</v>
          </cell>
          <cell r="P205" t="str">
            <v>中国航发航空科技股份有限公司</v>
          </cell>
          <cell r="Q205" t="str">
            <v>850</v>
          </cell>
        </row>
        <row r="205">
          <cell r="U205" t="str">
            <v>010000466201</v>
          </cell>
          <cell r="V205" t="str">
            <v/>
          </cell>
          <cell r="W205" t="str">
            <v/>
          </cell>
          <cell r="X205" t="str">
            <v>CP-65-5-4-4</v>
          </cell>
          <cell r="Y205" t="str">
            <v/>
          </cell>
          <cell r="Z205" t="str">
            <v>1902</v>
          </cell>
          <cell r="AA205" t="str">
            <v>1100108189</v>
          </cell>
          <cell r="AB205">
            <v>300</v>
          </cell>
          <cell r="AC205" t="str">
            <v/>
          </cell>
          <cell r="AD205">
            <v>153.12</v>
          </cell>
          <cell r="AE205" t="str">
            <v>G0552-221228-352-4</v>
          </cell>
        </row>
        <row r="206">
          <cell r="B206" t="str">
            <v>7101041814</v>
          </cell>
          <cell r="C206" t="str">
            <v>G1912-0435</v>
          </cell>
          <cell r="D206" t="str">
            <v>000042944160011471</v>
          </cell>
          <cell r="E206" t="str">
            <v>螺钉</v>
          </cell>
          <cell r="F206" t="str">
            <v>S18.2.0219</v>
          </cell>
          <cell r="G206" t="str">
            <v>-</v>
          </cell>
          <cell r="H206" t="str">
            <v>35-41HRC</v>
          </cell>
          <cell r="I206" t="str">
            <v>Ep·Cd5-8·c2C</v>
          </cell>
          <cell r="J206" t="str">
            <v>30CrMnSiA</v>
          </cell>
          <cell r="K206">
            <v>12</v>
          </cell>
          <cell r="L206">
            <v>45986</v>
          </cell>
          <cell r="M206" t="str">
            <v>0-初始未打印</v>
          </cell>
        </row>
        <row r="206">
          <cell r="O206">
            <v>0</v>
          </cell>
          <cell r="P206" t="str">
            <v>中国航发航空科技股份有限公司</v>
          </cell>
          <cell r="Q206" t="str">
            <v>1370</v>
          </cell>
        </row>
        <row r="206">
          <cell r="U206" t="str">
            <v>010000199861</v>
          </cell>
          <cell r="V206" t="str">
            <v/>
          </cell>
          <cell r="W206" t="str">
            <v/>
          </cell>
          <cell r="X206" t="str">
            <v>CP-5-2-1-9</v>
          </cell>
          <cell r="Y206" t="str">
            <v/>
          </cell>
          <cell r="Z206" t="str">
            <v>1902</v>
          </cell>
          <cell r="AA206" t="str">
            <v>1100108189</v>
          </cell>
          <cell r="AB206">
            <v>900</v>
          </cell>
          <cell r="AC206" t="str">
            <v/>
          </cell>
          <cell r="AD206">
            <v>20.59</v>
          </cell>
          <cell r="AE206" t="str">
            <v>G0552-221228-352-4</v>
          </cell>
        </row>
        <row r="207">
          <cell r="B207" t="str">
            <v>7101041814</v>
          </cell>
          <cell r="C207" t="str">
            <v>G2203-0176</v>
          </cell>
          <cell r="D207" t="str">
            <v>000042944160011471</v>
          </cell>
          <cell r="E207" t="str">
            <v>螺钉</v>
          </cell>
          <cell r="F207" t="str">
            <v>S18.2.0219</v>
          </cell>
          <cell r="G207" t="str">
            <v>-</v>
          </cell>
          <cell r="H207" t="str">
            <v>35-41HRC</v>
          </cell>
          <cell r="I207" t="str">
            <v>Ep·Cd5-8·c2C</v>
          </cell>
          <cell r="J207" t="str">
            <v>30CrMnSiA</v>
          </cell>
          <cell r="K207">
            <v>26</v>
          </cell>
          <cell r="L207">
            <v>45986</v>
          </cell>
          <cell r="M207" t="str">
            <v>0-初始未打印</v>
          </cell>
        </row>
        <row r="207">
          <cell r="O207">
            <v>0</v>
          </cell>
          <cell r="P207" t="str">
            <v>中国航发航空科技股份有限公司</v>
          </cell>
          <cell r="Q207" t="str">
            <v>1370</v>
          </cell>
        </row>
        <row r="207">
          <cell r="U207" t="str">
            <v>010000465986</v>
          </cell>
          <cell r="V207" t="str">
            <v/>
          </cell>
          <cell r="W207" t="str">
            <v/>
          </cell>
          <cell r="X207" t="str">
            <v>CP-64-3-1-6</v>
          </cell>
          <cell r="Y207" t="str">
            <v/>
          </cell>
          <cell r="Z207" t="str">
            <v>1902</v>
          </cell>
          <cell r="AA207" t="str">
            <v>1100108189</v>
          </cell>
          <cell r="AB207">
            <v>900</v>
          </cell>
          <cell r="AC207" t="str">
            <v/>
          </cell>
          <cell r="AD207">
            <v>20.59</v>
          </cell>
          <cell r="AE207" t="str">
            <v>G0552-221228-352-4</v>
          </cell>
        </row>
        <row r="208">
          <cell r="B208" t="str">
            <v>7101041815</v>
          </cell>
          <cell r="C208" t="str">
            <v>G2008-1188</v>
          </cell>
          <cell r="D208" t="str">
            <v>000042944319002071</v>
          </cell>
          <cell r="E208" t="str">
            <v>螺母</v>
          </cell>
          <cell r="F208" t="str">
            <v>S18.40.4263</v>
          </cell>
          <cell r="G208" t="str">
            <v>-</v>
          </cell>
          <cell r="H208" t="str">
            <v>d=3.4-3.8</v>
          </cell>
          <cell r="I208" t="str">
            <v/>
          </cell>
          <cell r="J208" t="str">
            <v>GH4033</v>
          </cell>
          <cell r="K208">
            <v>42</v>
          </cell>
          <cell r="L208">
            <v>45986</v>
          </cell>
          <cell r="M208" t="str">
            <v>0-初始未打印</v>
          </cell>
        </row>
        <row r="208">
          <cell r="O208">
            <v>0</v>
          </cell>
          <cell r="P208" t="str">
            <v>中国航发航空科技股份有限公司</v>
          </cell>
          <cell r="Q208" t="str">
            <v>1070</v>
          </cell>
        </row>
        <row r="208">
          <cell r="U208" t="str">
            <v>010000269628</v>
          </cell>
          <cell r="V208" t="str">
            <v/>
          </cell>
          <cell r="W208" t="str">
            <v/>
          </cell>
          <cell r="X208" t="str">
            <v>CP-11-3-6-4</v>
          </cell>
          <cell r="Y208" t="str">
            <v/>
          </cell>
          <cell r="Z208" t="str">
            <v>1902</v>
          </cell>
          <cell r="AA208" t="str">
            <v>1100108189</v>
          </cell>
          <cell r="AB208">
            <v>18000</v>
          </cell>
          <cell r="AC208" t="str">
            <v/>
          </cell>
          <cell r="AD208">
            <v>42.12</v>
          </cell>
          <cell r="AE208" t="str">
            <v>G0552-221228-352-4</v>
          </cell>
        </row>
        <row r="209">
          <cell r="B209" t="str">
            <v>7101044238</v>
          </cell>
          <cell r="C209" t="str">
            <v>G2510-1284</v>
          </cell>
          <cell r="D209" t="str">
            <v>000042944000066212</v>
          </cell>
          <cell r="E209" t="str">
            <v>锁片</v>
          </cell>
          <cell r="F209" t="str">
            <v>S18.5.0213</v>
          </cell>
          <cell r="G209" t="str">
            <v>-</v>
          </cell>
          <cell r="H209" t="str">
            <v>固溶</v>
          </cell>
          <cell r="I209" t="str">
            <v>Ct·P</v>
          </cell>
          <cell r="J209" t="str">
            <v>1Cr18Ni9Ti</v>
          </cell>
          <cell r="K209">
            <v>260</v>
          </cell>
          <cell r="L209">
            <v>45990</v>
          </cell>
          <cell r="M209" t="str">
            <v>4-检验完成</v>
          </cell>
        </row>
        <row r="209">
          <cell r="O209">
            <v>0</v>
          </cell>
          <cell r="P209" t="str">
            <v>中国航发航空科技股份有限公司</v>
          </cell>
          <cell r="Q209" t="str">
            <v>750</v>
          </cell>
          <cell r="R209">
            <v>45992</v>
          </cell>
        </row>
        <row r="209">
          <cell r="U209" t="str">
            <v>010000876175</v>
          </cell>
          <cell r="V209" t="str">
            <v>BIAOQIAN2</v>
          </cell>
          <cell r="W209" t="str">
            <v/>
          </cell>
          <cell r="X209" t="str">
            <v>CP-108-A</v>
          </cell>
          <cell r="Y209" t="str">
            <v/>
          </cell>
          <cell r="Z209" t="str">
            <v>1902</v>
          </cell>
          <cell r="AA209" t="str">
            <v>1100108189</v>
          </cell>
          <cell r="AB209">
            <v>260</v>
          </cell>
          <cell r="AC209" t="str">
            <v/>
          </cell>
          <cell r="AD209">
            <v>4.2</v>
          </cell>
          <cell r="AE209" t="str">
            <v>G0552-221228-352-4</v>
          </cell>
        </row>
        <row r="210">
          <cell r="B210" t="str">
            <v>7101047276</v>
          </cell>
          <cell r="C210" t="str">
            <v>G2510-1096</v>
          </cell>
          <cell r="D210" t="str">
            <v>000042944000066213</v>
          </cell>
          <cell r="E210" t="str">
            <v>锁片</v>
          </cell>
          <cell r="F210" t="str">
            <v>S18.5.0303</v>
          </cell>
          <cell r="G210" t="str">
            <v>-</v>
          </cell>
          <cell r="H210" t="str">
            <v>固溶处理</v>
          </cell>
          <cell r="I210" t="str">
            <v>钝化</v>
          </cell>
          <cell r="J210" t="str">
            <v>1Cr18Ni9Ti</v>
          </cell>
          <cell r="K210">
            <v>393</v>
          </cell>
          <cell r="L210">
            <v>45996</v>
          </cell>
          <cell r="M210" t="str">
            <v>4-检验完成</v>
          </cell>
        </row>
        <row r="210">
          <cell r="O210">
            <v>0</v>
          </cell>
          <cell r="P210" t="str">
            <v>中国航发航空科技股份有限公司</v>
          </cell>
          <cell r="Q210" t="str">
            <v>760</v>
          </cell>
          <cell r="R210">
            <v>46006</v>
          </cell>
        </row>
        <row r="210">
          <cell r="U210" t="str">
            <v>010000875683</v>
          </cell>
          <cell r="V210" t="str">
            <v>BIAOQIAN1</v>
          </cell>
          <cell r="W210" t="str">
            <v/>
          </cell>
          <cell r="X210" t="str">
            <v>CP-108-A</v>
          </cell>
          <cell r="Y210" t="str">
            <v/>
          </cell>
          <cell r="Z210" t="str">
            <v>1902</v>
          </cell>
          <cell r="AA210" t="str">
            <v>1100108189</v>
          </cell>
          <cell r="AB210">
            <v>650</v>
          </cell>
          <cell r="AC210" t="str">
            <v/>
          </cell>
          <cell r="AD210">
            <v>4.2</v>
          </cell>
          <cell r="AE210" t="str">
            <v>G0552-221228-352-4</v>
          </cell>
        </row>
        <row r="211">
          <cell r="B211" t="str">
            <v>7101048285</v>
          </cell>
          <cell r="C211" t="str">
            <v>G2510-1331</v>
          </cell>
          <cell r="D211" t="str">
            <v>000042944320012595</v>
          </cell>
          <cell r="E211" t="str">
            <v>半圆头铆钉</v>
          </cell>
          <cell r="F211" t="str">
            <v>S18.7.0121</v>
          </cell>
          <cell r="G211" t="str">
            <v>-</v>
          </cell>
          <cell r="H211" t="str">
            <v>固溶</v>
          </cell>
          <cell r="I211" t="str">
            <v/>
          </cell>
          <cell r="J211" t="str">
            <v>GH3030</v>
          </cell>
          <cell r="K211">
            <v>8200</v>
          </cell>
          <cell r="L211">
            <v>46000</v>
          </cell>
          <cell r="M211" t="str">
            <v>4-检验完成</v>
          </cell>
        </row>
        <row r="211">
          <cell r="O211">
            <v>0</v>
          </cell>
          <cell r="P211" t="str">
            <v>中国航发航空科技股份有限公司</v>
          </cell>
          <cell r="Q211" t="str">
            <v>480</v>
          </cell>
          <cell r="R211">
            <v>46002</v>
          </cell>
        </row>
        <row r="211">
          <cell r="U211" t="str">
            <v>010000876308</v>
          </cell>
          <cell r="V211" t="str">
            <v>BIAOQIAN3</v>
          </cell>
          <cell r="W211" t="str">
            <v/>
          </cell>
          <cell r="X211" t="str">
            <v>CP-108-A</v>
          </cell>
          <cell r="Y211" t="str">
            <v/>
          </cell>
          <cell r="Z211" t="str">
            <v>1902</v>
          </cell>
          <cell r="AA211" t="str">
            <v>1100108189</v>
          </cell>
          <cell r="AB211">
            <v>10190</v>
          </cell>
          <cell r="AC211" t="str">
            <v/>
          </cell>
          <cell r="AD211">
            <v>12.86</v>
          </cell>
          <cell r="AE211" t="str">
            <v>G0552-221228-352-4</v>
          </cell>
        </row>
        <row r="212">
          <cell r="B212" t="str">
            <v>7101049894</v>
          </cell>
          <cell r="C212" t="str">
            <v>G2510-1139</v>
          </cell>
          <cell r="D212" t="str">
            <v>000042944439049627</v>
          </cell>
          <cell r="E212" t="str">
            <v>锁紧垫圈</v>
          </cell>
          <cell r="F212" t="str">
            <v>S18.5.0126</v>
          </cell>
          <cell r="G212" t="str">
            <v>-</v>
          </cell>
          <cell r="H212" t="str">
            <v>固溶</v>
          </cell>
          <cell r="I212" t="str">
            <v>Ct.P</v>
          </cell>
          <cell r="J212" t="str">
            <v>1Cr18Ni9Ti</v>
          </cell>
          <cell r="K212">
            <v>845</v>
          </cell>
          <cell r="L212">
            <v>46004</v>
          </cell>
          <cell r="M212" t="str">
            <v>4-检验完成</v>
          </cell>
        </row>
        <row r="212">
          <cell r="O212">
            <v>0</v>
          </cell>
          <cell r="P212" t="str">
            <v>中国航发航空科技股份有限公司</v>
          </cell>
          <cell r="Q212" t="str">
            <v>740</v>
          </cell>
          <cell r="R212">
            <v>46007</v>
          </cell>
        </row>
        <row r="212">
          <cell r="U212" t="str">
            <v>010000875841</v>
          </cell>
          <cell r="V212" t="str">
            <v>BIAOQIAN3</v>
          </cell>
          <cell r="W212" t="str">
            <v/>
          </cell>
          <cell r="X212" t="str">
            <v>CP-108-A</v>
          </cell>
          <cell r="Y212" t="str">
            <v/>
          </cell>
          <cell r="Z212" t="str">
            <v>1902</v>
          </cell>
          <cell r="AA212" t="str">
            <v>1100108189</v>
          </cell>
          <cell r="AB212">
            <v>2005</v>
          </cell>
          <cell r="AC212" t="str">
            <v/>
          </cell>
          <cell r="AD212">
            <v>4.5</v>
          </cell>
          <cell r="AE212" t="str">
            <v>G0552-221228-352-4</v>
          </cell>
        </row>
        <row r="213">
          <cell r="B213" t="str">
            <v>7101050610</v>
          </cell>
          <cell r="C213" t="str">
            <v>G2510-0241</v>
          </cell>
          <cell r="D213" t="str">
            <v>000042944039112206</v>
          </cell>
          <cell r="E213" t="str">
            <v>螺套</v>
          </cell>
          <cell r="F213" t="str">
            <v>S18.6.0110</v>
          </cell>
          <cell r="G213" t="str">
            <v>1</v>
          </cell>
          <cell r="H213" t="str">
            <v>HRC30-37</v>
          </cell>
          <cell r="I213" t="str">
            <v>镀镉3-8μm,钝化</v>
          </cell>
          <cell r="J213" t="str">
            <v>38CrA</v>
          </cell>
          <cell r="K213">
            <v>224</v>
          </cell>
          <cell r="L213">
            <v>46007</v>
          </cell>
          <cell r="M213" t="str">
            <v>4-检验完成</v>
          </cell>
        </row>
        <row r="213">
          <cell r="O213">
            <v>0</v>
          </cell>
          <cell r="P213" t="str">
            <v>中国航发航空科技股份有限公司</v>
          </cell>
          <cell r="Q213" t="str">
            <v>140</v>
          </cell>
          <cell r="R213">
            <v>46008</v>
          </cell>
        </row>
        <row r="213">
          <cell r="U213" t="str">
            <v>010000871699</v>
          </cell>
          <cell r="V213" t="str">
            <v>BIAOQIAN4</v>
          </cell>
          <cell r="W213" t="str">
            <v/>
          </cell>
          <cell r="X213" t="str">
            <v>CP-108-A</v>
          </cell>
          <cell r="Y213" t="str">
            <v/>
          </cell>
          <cell r="Z213" t="str">
            <v>1902</v>
          </cell>
          <cell r="AA213" t="str">
            <v>1100125152</v>
          </cell>
          <cell r="AB213">
            <v>224</v>
          </cell>
          <cell r="AC213" t="str">
            <v/>
          </cell>
          <cell r="AD213">
            <v>4.05</v>
          </cell>
          <cell r="AE213" t="str">
            <v>G0555-240226-352-6</v>
          </cell>
        </row>
        <row r="214">
          <cell r="B214" t="str">
            <v>7101050933</v>
          </cell>
          <cell r="C214" t="str">
            <v>G2311-0505</v>
          </cell>
          <cell r="D214" t="str">
            <v>000042944000066213</v>
          </cell>
          <cell r="E214" t="str">
            <v>锁片</v>
          </cell>
          <cell r="F214" t="str">
            <v>S18.5.0303</v>
          </cell>
          <cell r="G214" t="str">
            <v>-</v>
          </cell>
          <cell r="H214" t="str">
            <v>固溶处理</v>
          </cell>
          <cell r="I214" t="str">
            <v>钝化</v>
          </cell>
          <cell r="J214" t="str">
            <v>1Cr18Ni9Ti</v>
          </cell>
          <cell r="K214">
            <v>257</v>
          </cell>
          <cell r="L214">
            <v>46008</v>
          </cell>
          <cell r="M214" t="str">
            <v>0-初始未打印</v>
          </cell>
        </row>
        <row r="214">
          <cell r="O214">
            <v>0</v>
          </cell>
          <cell r="P214" t="str">
            <v>中国航发航空科技股份有限公司</v>
          </cell>
          <cell r="Q214" t="str">
            <v>760</v>
          </cell>
        </row>
        <row r="214">
          <cell r="U214" t="str">
            <v>010000649122</v>
          </cell>
          <cell r="V214" t="str">
            <v/>
          </cell>
          <cell r="W214" t="str">
            <v/>
          </cell>
          <cell r="X214" t="str">
            <v>CP-42-2-2-8</v>
          </cell>
          <cell r="Y214" t="str">
            <v/>
          </cell>
          <cell r="Z214" t="str">
            <v>1902</v>
          </cell>
          <cell r="AA214" t="str">
            <v>1100108189</v>
          </cell>
          <cell r="AB214">
            <v>650</v>
          </cell>
          <cell r="AC214" t="str">
            <v>GJ2311-00505-D-3A</v>
          </cell>
          <cell r="AD214">
            <v>4.2</v>
          </cell>
          <cell r="AE214" t="str">
            <v>G0552-221228-352-4</v>
          </cell>
        </row>
        <row r="215">
          <cell r="B215" t="str">
            <v>7101050973</v>
          </cell>
          <cell r="C215" t="str">
            <v>G2302-0244</v>
          </cell>
          <cell r="D215" t="str">
            <v>000042944439049627</v>
          </cell>
          <cell r="E215" t="str">
            <v>锁紧垫圈</v>
          </cell>
          <cell r="F215" t="str">
            <v>S18.5.0126</v>
          </cell>
          <cell r="G215" t="str">
            <v>-</v>
          </cell>
          <cell r="H215" t="str">
            <v>固溶</v>
          </cell>
          <cell r="I215" t="str">
            <v>Ct.P</v>
          </cell>
          <cell r="J215" t="str">
            <v>1Cr18Ni9Ti</v>
          </cell>
          <cell r="K215">
            <v>1160</v>
          </cell>
          <cell r="L215">
            <v>46008</v>
          </cell>
          <cell r="M215" t="str">
            <v>0-初始未打印</v>
          </cell>
        </row>
        <row r="215">
          <cell r="O215">
            <v>0</v>
          </cell>
          <cell r="P215" t="str">
            <v>中国航发航空科技股份有限公司</v>
          </cell>
          <cell r="Q215" t="str">
            <v>740</v>
          </cell>
        </row>
        <row r="215">
          <cell r="U215" t="str">
            <v>010000571632</v>
          </cell>
          <cell r="V215" t="str">
            <v/>
          </cell>
          <cell r="W215" t="str">
            <v/>
          </cell>
          <cell r="X215" t="str">
            <v>CP-64-1-3-5</v>
          </cell>
          <cell r="Y215" t="str">
            <v/>
          </cell>
          <cell r="Z215" t="str">
            <v>1902</v>
          </cell>
          <cell r="AA215" t="str">
            <v>1100108189</v>
          </cell>
          <cell r="AB215">
            <v>2005</v>
          </cell>
          <cell r="AC215" t="str">
            <v/>
          </cell>
          <cell r="AD215">
            <v>4.5</v>
          </cell>
          <cell r="AE215" t="str">
            <v>G0552-221228-352-4</v>
          </cell>
        </row>
        <row r="216">
          <cell r="B216" t="str">
            <v>7101051015</v>
          </cell>
          <cell r="C216" t="str">
            <v>G2205-1109</v>
          </cell>
          <cell r="D216" t="str">
            <v>000042944999008903</v>
          </cell>
          <cell r="E216" t="str">
            <v>螺桩</v>
          </cell>
          <cell r="F216" t="str">
            <v>S18.3.0006</v>
          </cell>
          <cell r="G216" t="str">
            <v>Ⅰ</v>
          </cell>
          <cell r="H216" t="str">
            <v>27-35HRC</v>
          </cell>
          <cell r="I216" t="str">
            <v>Ep·Cd5-8·c2C</v>
          </cell>
          <cell r="J216" t="str">
            <v>38CrA</v>
          </cell>
          <cell r="K216">
            <v>5</v>
          </cell>
          <cell r="L216">
            <v>46008</v>
          </cell>
          <cell r="M216" t="str">
            <v>0-初始未打印</v>
          </cell>
        </row>
        <row r="216">
          <cell r="O216">
            <v>0</v>
          </cell>
          <cell r="P216" t="str">
            <v>中国航发航空科技股份有限公司</v>
          </cell>
          <cell r="Q216" t="str">
            <v>1510</v>
          </cell>
        </row>
        <row r="216">
          <cell r="U216" t="str">
            <v>010000491318</v>
          </cell>
          <cell r="V216" t="str">
            <v/>
          </cell>
          <cell r="W216" t="str">
            <v/>
          </cell>
          <cell r="X216" t="str">
            <v>CP-64-3-1-18</v>
          </cell>
          <cell r="Y216" t="str">
            <v/>
          </cell>
          <cell r="Z216" t="str">
            <v>1902</v>
          </cell>
          <cell r="AA216" t="str">
            <v>1100108189</v>
          </cell>
          <cell r="AB216">
            <v>3389</v>
          </cell>
          <cell r="AC216" t="str">
            <v/>
          </cell>
          <cell r="AD216">
            <v>14.21</v>
          </cell>
          <cell r="AE216" t="str">
            <v>G0552-221228-352-4</v>
          </cell>
        </row>
        <row r="217">
          <cell r="B217" t="str">
            <v>7101051025</v>
          </cell>
          <cell r="C217" t="str">
            <v>G2112-1582</v>
          </cell>
          <cell r="D217" t="str">
            <v>000042944320012595</v>
          </cell>
          <cell r="E217" t="str">
            <v>半圆头铆钉</v>
          </cell>
          <cell r="F217" t="str">
            <v>S18.7.0121</v>
          </cell>
          <cell r="G217" t="str">
            <v>-</v>
          </cell>
          <cell r="H217" t="str">
            <v>固溶</v>
          </cell>
          <cell r="I217" t="str">
            <v/>
          </cell>
          <cell r="J217" t="str">
            <v>GH3030</v>
          </cell>
          <cell r="K217">
            <v>1990</v>
          </cell>
          <cell r="L217">
            <v>46008</v>
          </cell>
          <cell r="M217" t="str">
            <v>0-初始未打印</v>
          </cell>
        </row>
        <row r="217">
          <cell r="O217">
            <v>0</v>
          </cell>
          <cell r="P217" t="str">
            <v>中国航发航空科技股份有限公司</v>
          </cell>
          <cell r="Q217" t="str">
            <v>480</v>
          </cell>
        </row>
        <row r="217">
          <cell r="U217" t="str">
            <v>010000447747</v>
          </cell>
          <cell r="V217" t="str">
            <v/>
          </cell>
          <cell r="W217" t="str">
            <v/>
          </cell>
          <cell r="X217" t="str">
            <v>CP-67-5-2-5</v>
          </cell>
          <cell r="Y217" t="str">
            <v/>
          </cell>
          <cell r="Z217" t="str">
            <v>1902</v>
          </cell>
          <cell r="AA217" t="str">
            <v>1100108189</v>
          </cell>
          <cell r="AB217">
            <v>10190</v>
          </cell>
          <cell r="AC217" t="str">
            <v/>
          </cell>
          <cell r="AD217">
            <v>12.86</v>
          </cell>
          <cell r="AE217" t="str">
            <v>G0552-221228-352-4</v>
          </cell>
        </row>
        <row r="218">
          <cell r="B218" t="str">
            <v>7101051848</v>
          </cell>
          <cell r="C218" t="str">
            <v>G2504-3221</v>
          </cell>
          <cell r="D218" t="str">
            <v>000042944360005847</v>
          </cell>
          <cell r="E218" t="str">
            <v>螺纹销</v>
          </cell>
          <cell r="F218" t="str">
            <v>S18.6.0117</v>
          </cell>
          <cell r="G218" t="str">
            <v>Ⅱ</v>
          </cell>
          <cell r="H218" t="str">
            <v/>
          </cell>
          <cell r="I218" t="str">
            <v>铬酸阳极化</v>
          </cell>
          <cell r="J218" t="str">
            <v>2A11</v>
          </cell>
          <cell r="K218">
            <v>29</v>
          </cell>
          <cell r="L218">
            <v>46010</v>
          </cell>
          <cell r="M218" t="str">
            <v>3-配货完成</v>
          </cell>
        </row>
        <row r="218">
          <cell r="O218">
            <v>0</v>
          </cell>
          <cell r="P218" t="str">
            <v>中国航发航空科技股份有限公司</v>
          </cell>
          <cell r="Q218" t="str">
            <v>120</v>
          </cell>
        </row>
        <row r="218">
          <cell r="U218" t="str">
            <v>010000812995</v>
          </cell>
          <cell r="V218" t="str">
            <v>BIAOQIAN4</v>
          </cell>
          <cell r="W218" t="str">
            <v/>
          </cell>
          <cell r="X218" t="str">
            <v>CP-108-A</v>
          </cell>
          <cell r="Y218" t="str">
            <v/>
          </cell>
          <cell r="Z218" t="str">
            <v>1902</v>
          </cell>
          <cell r="AA218" t="str">
            <v>1100130819</v>
          </cell>
          <cell r="AB218">
            <v>1080</v>
          </cell>
          <cell r="AC218" t="str">
            <v/>
          </cell>
          <cell r="AD218">
            <v>16</v>
          </cell>
          <cell r="AE218" t="str">
            <v>G-100015358-240621-0142</v>
          </cell>
        </row>
        <row r="219">
          <cell r="B219" t="str">
            <v>7101062912</v>
          </cell>
          <cell r="C219" t="str">
            <v>G2510-0242</v>
          </cell>
          <cell r="D219" t="str">
            <v>000042944160011472</v>
          </cell>
          <cell r="E219" t="str">
            <v>螺钉</v>
          </cell>
          <cell r="F219" t="str">
            <v>S18.2.0220</v>
          </cell>
          <cell r="G219" t="str">
            <v>-</v>
          </cell>
          <cell r="H219" t="str">
            <v>35-41HRC</v>
          </cell>
          <cell r="I219" t="str">
            <v>Ep·Cd5-8·c2C</v>
          </cell>
          <cell r="J219" t="str">
            <v>30CrMnSiA</v>
          </cell>
          <cell r="K219">
            <v>685</v>
          </cell>
          <cell r="L219">
            <v>46036</v>
          </cell>
          <cell r="M219" t="str">
            <v>4-检验完成</v>
          </cell>
        </row>
        <row r="219">
          <cell r="O219">
            <v>0</v>
          </cell>
          <cell r="P219" t="str">
            <v>中国航发航空科技股份有限公司</v>
          </cell>
          <cell r="Q219" t="str">
            <v>40</v>
          </cell>
          <cell r="R219">
            <v>46038</v>
          </cell>
        </row>
        <row r="219">
          <cell r="U219" t="str">
            <v>010000871701</v>
          </cell>
          <cell r="V219" t="str">
            <v>BIAOQIAN1</v>
          </cell>
          <cell r="W219" t="str">
            <v/>
          </cell>
          <cell r="X219" t="str">
            <v>CP-108-A</v>
          </cell>
          <cell r="Y219" t="str">
            <v/>
          </cell>
          <cell r="Z219" t="str">
            <v>1902</v>
          </cell>
          <cell r="AA219" t="str">
            <v>1100125152</v>
          </cell>
          <cell r="AB219">
            <v>685</v>
          </cell>
          <cell r="AC219" t="str">
            <v/>
          </cell>
          <cell r="AD219">
            <v>19.35</v>
          </cell>
          <cell r="AE219" t="str">
            <v>G0555-240226-352-6</v>
          </cell>
        </row>
        <row r="220">
          <cell r="B220" t="str">
            <v>7101073202</v>
          </cell>
          <cell r="C220" t="str">
            <v>G2510-1136</v>
          </cell>
          <cell r="D220" t="str">
            <v>000042944288002570</v>
          </cell>
          <cell r="E220" t="str">
            <v>自锁螺母</v>
          </cell>
          <cell r="F220" t="str">
            <v>S18.4.0210</v>
          </cell>
          <cell r="G220" t="str">
            <v>-</v>
          </cell>
          <cell r="H220" t="str">
            <v>247-341HB</v>
          </cell>
          <cell r="I220" t="str">
            <v>Ep·Ag3-5</v>
          </cell>
          <cell r="J220" t="str">
            <v>GH2132</v>
          </cell>
          <cell r="K220">
            <v>1585</v>
          </cell>
          <cell r="L220">
            <v>46057</v>
          </cell>
          <cell r="M220" t="str">
            <v>4-检验完成</v>
          </cell>
        </row>
        <row r="220">
          <cell r="O220">
            <v>0</v>
          </cell>
          <cell r="P220" t="str">
            <v>中国航发航空科技股份有限公司</v>
          </cell>
          <cell r="Q220" t="str">
            <v>270</v>
          </cell>
          <cell r="R220">
            <v>46076</v>
          </cell>
        </row>
        <row r="220">
          <cell r="U220" t="str">
            <v>010000875813</v>
          </cell>
          <cell r="V220" t="str">
            <v>BIAOQIAN1</v>
          </cell>
          <cell r="W220" t="str">
            <v/>
          </cell>
          <cell r="X220" t="str">
            <v>CP-108-A</v>
          </cell>
          <cell r="Y220" t="str">
            <v/>
          </cell>
          <cell r="Z220" t="str">
            <v>1902</v>
          </cell>
          <cell r="AA220" t="str">
            <v>1100108189</v>
          </cell>
          <cell r="AB220">
            <v>1800</v>
          </cell>
          <cell r="AC220" t="str">
            <v/>
          </cell>
          <cell r="AD220">
            <v>82.46</v>
          </cell>
          <cell r="AE220" t="str">
            <v>G0552-221228-352-4</v>
          </cell>
        </row>
        <row r="221">
          <cell r="B221" t="str">
            <v>7101077068</v>
          </cell>
          <cell r="C221" t="str">
            <v>G2509-0317</v>
          </cell>
          <cell r="D221" t="str">
            <v>000042944320006064</v>
          </cell>
          <cell r="E221" t="str">
            <v>120°沉头高抗剪铆钉</v>
          </cell>
          <cell r="F221" t="str">
            <v>HB1-607-2002</v>
          </cell>
          <cell r="G221" t="str">
            <v>5×10</v>
          </cell>
          <cell r="H221" t="str">
            <v/>
          </cell>
          <cell r="I221" t="str">
            <v/>
          </cell>
          <cell r="J221" t="str">
            <v>组件</v>
          </cell>
          <cell r="K221">
            <v>108</v>
          </cell>
          <cell r="L221">
            <v>46065</v>
          </cell>
          <cell r="M221" t="str">
            <v>3-配货完成</v>
          </cell>
        </row>
        <row r="221">
          <cell r="O221">
            <v>0</v>
          </cell>
          <cell r="P221" t="str">
            <v>中国航发航空科技股份有限公司</v>
          </cell>
          <cell r="Q221" t="str">
            <v>680</v>
          </cell>
        </row>
        <row r="221">
          <cell r="U221" t="str">
            <v>010000860200</v>
          </cell>
          <cell r="V221" t="str">
            <v>BIAOQIAN4</v>
          </cell>
          <cell r="W221" t="str">
            <v/>
          </cell>
          <cell r="X221" t="str">
            <v>CP-108-A</v>
          </cell>
          <cell r="Y221" t="str">
            <v/>
          </cell>
          <cell r="Z221" t="str">
            <v>1902</v>
          </cell>
          <cell r="AA221" t="str">
            <v>1100108189</v>
          </cell>
          <cell r="AB221">
            <v>360</v>
          </cell>
          <cell r="AC221" t="str">
            <v/>
          </cell>
          <cell r="AD221">
            <v>33.79</v>
          </cell>
          <cell r="AE221" t="str">
            <v>G0552-221228-352-4</v>
          </cell>
        </row>
        <row r="222">
          <cell r="B222" t="str">
            <v>7101079918</v>
          </cell>
          <cell r="C222" t="str">
            <v>G2601-0906</v>
          </cell>
          <cell r="D222" t="str">
            <v>000042944000017940</v>
          </cell>
          <cell r="E222" t="str">
            <v>飞机交流电机散热支架组件1</v>
          </cell>
          <cell r="F222" t="str">
            <v>S18C.00.18365</v>
          </cell>
          <cell r="G222" t="str">
            <v>-</v>
          </cell>
          <cell r="H222" t="str">
            <v/>
          </cell>
          <cell r="I222" t="str">
            <v/>
          </cell>
          <cell r="J222" t="str">
            <v>组件</v>
          </cell>
          <cell r="K222">
            <v>5</v>
          </cell>
          <cell r="L222">
            <v>46079</v>
          </cell>
          <cell r="M222" t="str">
            <v>3-配货完成</v>
          </cell>
        </row>
        <row r="222">
          <cell r="O222">
            <v>0</v>
          </cell>
          <cell r="P222" t="str">
            <v>中国航发航空科技股份有限公司</v>
          </cell>
          <cell r="Q222" t="str">
            <v>940</v>
          </cell>
        </row>
        <row r="222">
          <cell r="U222" t="str">
            <v>010000902376</v>
          </cell>
          <cell r="V222" t="str">
            <v>BIAOQIAN1</v>
          </cell>
          <cell r="W222" t="str">
            <v/>
          </cell>
          <cell r="X222" t="str">
            <v>CP-108-A</v>
          </cell>
          <cell r="Y222" t="str">
            <v/>
          </cell>
          <cell r="Z222" t="str">
            <v>1902</v>
          </cell>
          <cell r="AA222" t="str">
            <v>1100109987</v>
          </cell>
          <cell r="AB222">
            <v>29</v>
          </cell>
          <cell r="AC222" t="str">
            <v/>
          </cell>
          <cell r="AD222">
            <v>576</v>
          </cell>
          <cell r="AE222" t="str">
            <v>G0552-230220-062</v>
          </cell>
        </row>
        <row r="223">
          <cell r="B223" t="str">
            <v>7101081015</v>
          </cell>
          <cell r="C223" t="str">
            <v>G2602-1681</v>
          </cell>
          <cell r="D223" t="str">
            <v>000042944320006074</v>
          </cell>
          <cell r="E223" t="str">
            <v>120°沉头高抗剪铆钉</v>
          </cell>
          <cell r="F223" t="str">
            <v>HB1-607-2002</v>
          </cell>
          <cell r="G223" t="str">
            <v>5×7</v>
          </cell>
          <cell r="H223" t="str">
            <v/>
          </cell>
          <cell r="I223" t="str">
            <v/>
          </cell>
          <cell r="J223" t="str">
            <v>组件</v>
          </cell>
          <cell r="K223">
            <v>300</v>
          </cell>
          <cell r="L223">
            <v>46081</v>
          </cell>
          <cell r="M223" t="str">
            <v>3-配货完成</v>
          </cell>
        </row>
        <row r="223">
          <cell r="O223">
            <v>0</v>
          </cell>
          <cell r="P223" t="str">
            <v>中国航发航空科技股份有限公司</v>
          </cell>
          <cell r="Q223" t="str">
            <v>670</v>
          </cell>
        </row>
        <row r="223">
          <cell r="U223" t="str">
            <v>010000919058</v>
          </cell>
          <cell r="V223" t="str">
            <v>BIAOQIAN8</v>
          </cell>
          <cell r="W223" t="str">
            <v/>
          </cell>
          <cell r="X223" t="str">
            <v>CP-108-A</v>
          </cell>
          <cell r="Y223" t="str">
            <v/>
          </cell>
          <cell r="Z223" t="str">
            <v>1902</v>
          </cell>
          <cell r="AA223" t="str">
            <v>1100108189</v>
          </cell>
          <cell r="AB223">
            <v>6520</v>
          </cell>
          <cell r="AC223" t="str">
            <v/>
          </cell>
          <cell r="AD223">
            <v>30.14</v>
          </cell>
          <cell r="AE223" t="str">
            <v>G0552-221228-352-4</v>
          </cell>
        </row>
        <row r="224">
          <cell r="B224" t="str">
            <v>7101085699</v>
          </cell>
          <cell r="C224" t="str">
            <v>G2501-1936</v>
          </cell>
          <cell r="D224" t="str">
            <v>000042944239048747</v>
          </cell>
          <cell r="E224" t="str">
            <v>螺栓</v>
          </cell>
          <cell r="F224" t="str">
            <v>S18.42.4119</v>
          </cell>
          <cell r="G224" t="str">
            <v>Ⅱ</v>
          </cell>
          <cell r="H224" t="str">
            <v>d=3.3-3.55</v>
          </cell>
          <cell r="I224" t="str">
            <v/>
          </cell>
          <cell r="J224" t="str">
            <v>GH4698</v>
          </cell>
          <cell r="K224">
            <v>164</v>
          </cell>
          <cell r="L224">
            <v>46091</v>
          </cell>
          <cell r="M224" t="str">
            <v>4-检验完成</v>
          </cell>
        </row>
        <row r="224">
          <cell r="O224">
            <v>0</v>
          </cell>
          <cell r="P224" t="str">
            <v>中国航发航空科技股份有限公司</v>
          </cell>
          <cell r="Q224" t="str">
            <v>840</v>
          </cell>
          <cell r="R224">
            <v>46099</v>
          </cell>
        </row>
        <row r="224">
          <cell r="U224" t="str">
            <v>010000775222</v>
          </cell>
          <cell r="V224" t="str">
            <v>BIAOQIAN2</v>
          </cell>
          <cell r="W224" t="str">
            <v/>
          </cell>
          <cell r="X224" t="str">
            <v>CP-108-A</v>
          </cell>
          <cell r="Y224" t="str">
            <v/>
          </cell>
          <cell r="Z224" t="str">
            <v>1902</v>
          </cell>
          <cell r="AA224" t="str">
            <v>1100108189</v>
          </cell>
          <cell r="AB224">
            <v>7963</v>
          </cell>
          <cell r="AC224" t="str">
            <v/>
          </cell>
          <cell r="AD224">
            <v>126.48</v>
          </cell>
          <cell r="AE224" t="str">
            <v>G0552-221228-352-4</v>
          </cell>
        </row>
        <row r="225">
          <cell r="B225" t="str">
            <v>7101086016</v>
          </cell>
          <cell r="C225" t="str">
            <v>G2510-1137</v>
          </cell>
          <cell r="D225" t="str">
            <v>000042944320012588</v>
          </cell>
          <cell r="E225" t="str">
            <v>铆钉</v>
          </cell>
          <cell r="F225" t="str">
            <v>S18.7.0114</v>
          </cell>
          <cell r="G225" t="str">
            <v>-</v>
          </cell>
          <cell r="H225" t="str">
            <v>固溶</v>
          </cell>
          <cell r="I225" t="str">
            <v>Ct·P</v>
          </cell>
          <cell r="J225" t="str">
            <v>ML1Cr18Ni9Ti</v>
          </cell>
          <cell r="K225">
            <v>900</v>
          </cell>
          <cell r="L225">
            <v>46092</v>
          </cell>
          <cell r="M225" t="str">
            <v>3-配货完成</v>
          </cell>
        </row>
        <row r="225">
          <cell r="O225">
            <v>0</v>
          </cell>
          <cell r="P225" t="str">
            <v>中国航发航空科技股份有限公司</v>
          </cell>
          <cell r="Q225" t="str">
            <v>440</v>
          </cell>
        </row>
        <row r="225">
          <cell r="U225" t="str">
            <v>010000875816</v>
          </cell>
          <cell r="V225" t="str">
            <v>BIAOQIAN4</v>
          </cell>
          <cell r="W225" t="str">
            <v/>
          </cell>
          <cell r="X225" t="str">
            <v>CP-108-A</v>
          </cell>
          <cell r="Y225" t="str">
            <v/>
          </cell>
          <cell r="Z225" t="str">
            <v>1902</v>
          </cell>
          <cell r="AA225" t="str">
            <v>1100108189</v>
          </cell>
          <cell r="AB225">
            <v>900</v>
          </cell>
          <cell r="AC225" t="str">
            <v/>
          </cell>
          <cell r="AD225">
            <v>9.12</v>
          </cell>
          <cell r="AE225" t="str">
            <v>G0552-221228-352-4</v>
          </cell>
        </row>
        <row r="226">
          <cell r="B226" t="str">
            <v>7101086689</v>
          </cell>
          <cell r="C226" t="str">
            <v>G2301-0097</v>
          </cell>
          <cell r="D226" t="str">
            <v>000042944440000468</v>
          </cell>
          <cell r="E226" t="str">
            <v>挡圈</v>
          </cell>
          <cell r="F226" t="str">
            <v>S18.5.0808</v>
          </cell>
          <cell r="G226" t="str">
            <v>-</v>
          </cell>
          <cell r="H226" t="str">
            <v>44-48HRC</v>
          </cell>
          <cell r="I226" t="str">
            <v>Ep·Cd8-12·c2C</v>
          </cell>
          <cell r="J226" t="str">
            <v>60Si2MnA</v>
          </cell>
          <cell r="K226">
            <v>310</v>
          </cell>
          <cell r="L226">
            <v>46093</v>
          </cell>
          <cell r="M226" t="str">
            <v>4-检验完成</v>
          </cell>
        </row>
        <row r="226">
          <cell r="O226">
            <v>0</v>
          </cell>
          <cell r="P226" t="str">
            <v>中国航发航空科技股份有限公司</v>
          </cell>
          <cell r="Q226" t="str">
            <v>310</v>
          </cell>
          <cell r="R226">
            <v>46098</v>
          </cell>
        </row>
        <row r="226">
          <cell r="U226" t="str">
            <v>010000561244</v>
          </cell>
          <cell r="V226" t="str">
            <v>BIAOQIAN3</v>
          </cell>
          <cell r="W226" t="str">
            <v/>
          </cell>
          <cell r="X226" t="str">
            <v>CP-108-A/CP-26-4-3-1</v>
          </cell>
          <cell r="Y226" t="str">
            <v/>
          </cell>
          <cell r="Z226" t="str">
            <v>1902</v>
          </cell>
          <cell r="AA226" t="str">
            <v>1100108189</v>
          </cell>
          <cell r="AB226">
            <v>330</v>
          </cell>
          <cell r="AC226" t="str">
            <v/>
          </cell>
          <cell r="AD226">
            <v>79.97</v>
          </cell>
          <cell r="AE226" t="str">
            <v>G0552-221228-352-4</v>
          </cell>
        </row>
        <row r="227">
          <cell r="B227" t="str">
            <v>7101086689</v>
          </cell>
          <cell r="C227" t="str">
            <v>G2304-2179</v>
          </cell>
          <cell r="D227" t="str">
            <v>000042944440000468</v>
          </cell>
          <cell r="E227" t="str">
            <v>挡圈</v>
          </cell>
          <cell r="F227" t="str">
            <v>S18.5.0808</v>
          </cell>
          <cell r="G227" t="str">
            <v>-</v>
          </cell>
          <cell r="H227" t="str">
            <v>44-48HRC</v>
          </cell>
          <cell r="I227" t="str">
            <v>Ep·Cd8-12·c2C</v>
          </cell>
          <cell r="J227" t="str">
            <v>60Si2MnA</v>
          </cell>
          <cell r="K227">
            <v>8</v>
          </cell>
          <cell r="L227">
            <v>46093</v>
          </cell>
          <cell r="M227" t="str">
            <v>4-检验完成</v>
          </cell>
        </row>
        <row r="227">
          <cell r="O227">
            <v>0</v>
          </cell>
          <cell r="P227" t="str">
            <v>中国航发航空科技股份有限公司</v>
          </cell>
          <cell r="Q227" t="str">
            <v>310</v>
          </cell>
          <cell r="R227">
            <v>46098</v>
          </cell>
        </row>
        <row r="227">
          <cell r="U227" t="str">
            <v>010000597457</v>
          </cell>
          <cell r="V227" t="str">
            <v>BIAOQIAN3</v>
          </cell>
          <cell r="W227" t="str">
            <v/>
          </cell>
          <cell r="X227" t="str">
            <v>CP-46-5-1-6</v>
          </cell>
          <cell r="Y227" t="str">
            <v/>
          </cell>
          <cell r="Z227" t="str">
            <v>1902</v>
          </cell>
          <cell r="AA227" t="str">
            <v>1100108189</v>
          </cell>
          <cell r="AB227">
            <v>330</v>
          </cell>
          <cell r="AC227" t="str">
            <v/>
          </cell>
          <cell r="AD227">
            <v>79.97</v>
          </cell>
          <cell r="AE227" t="str">
            <v>G0552-221228-352-4</v>
          </cell>
        </row>
        <row r="228">
          <cell r="B228" t="str">
            <v>7101086690</v>
          </cell>
          <cell r="C228" t="str">
            <v>G2307-1393</v>
          </cell>
          <cell r="D228" t="str">
            <v>000042944440000469</v>
          </cell>
          <cell r="E228" t="str">
            <v>挡圈</v>
          </cell>
          <cell r="F228" t="str">
            <v>S18.5.0809</v>
          </cell>
          <cell r="G228" t="str">
            <v>-</v>
          </cell>
          <cell r="H228" t="str">
            <v>44-48HRC</v>
          </cell>
          <cell r="I228" t="str">
            <v>Ep·Cd8-12·c2C</v>
          </cell>
          <cell r="J228" t="str">
            <v>60Si2MnA</v>
          </cell>
          <cell r="K228">
            <v>298</v>
          </cell>
          <cell r="L228">
            <v>46093</v>
          </cell>
          <cell r="M228" t="str">
            <v>4-检验完成</v>
          </cell>
        </row>
        <row r="228">
          <cell r="O228">
            <v>0</v>
          </cell>
          <cell r="P228" t="str">
            <v>中国航发航空科技股份有限公司</v>
          </cell>
          <cell r="Q228" t="str">
            <v>320</v>
          </cell>
          <cell r="R228">
            <v>46098</v>
          </cell>
        </row>
        <row r="228">
          <cell r="U228" t="str">
            <v>010000620194</v>
          </cell>
          <cell r="V228" t="str">
            <v>BIAOQIAN1</v>
          </cell>
          <cell r="W228" t="str">
            <v/>
          </cell>
          <cell r="X228" t="str">
            <v>CP-36-2-3-11</v>
          </cell>
          <cell r="Y228" t="str">
            <v/>
          </cell>
          <cell r="Z228" t="str">
            <v>1902</v>
          </cell>
          <cell r="AA228" t="str">
            <v>1100108189</v>
          </cell>
          <cell r="AB228">
            <v>300</v>
          </cell>
          <cell r="AC228" t="str">
            <v/>
          </cell>
          <cell r="AD228">
            <v>79.1</v>
          </cell>
          <cell r="AE228" t="str">
            <v>G0552-221228-352-4</v>
          </cell>
        </row>
        <row r="229">
          <cell r="B229" t="str">
            <v>7101086695</v>
          </cell>
          <cell r="C229" t="str">
            <v>G12601-035</v>
          </cell>
          <cell r="D229" t="str">
            <v>000042944402000156</v>
          </cell>
          <cell r="E229" t="str">
            <v>标准型弹簧垫圈</v>
          </cell>
          <cell r="F229" t="str">
            <v>GB93-1987</v>
          </cell>
          <cell r="G229" t="str">
            <v>10</v>
          </cell>
          <cell r="H229" t="str">
            <v>42-50HRC</v>
          </cell>
          <cell r="I229" t="str">
            <v>Ct·O</v>
          </cell>
          <cell r="J229" t="str">
            <v>65Mn</v>
          </cell>
          <cell r="K229">
            <v>80</v>
          </cell>
          <cell r="L229">
            <v>46093</v>
          </cell>
          <cell r="M229" t="str">
            <v>3-配货完成</v>
          </cell>
        </row>
        <row r="229">
          <cell r="O229">
            <v>0</v>
          </cell>
          <cell r="P229" t="str">
            <v>中国航发航空科技股份有限公司</v>
          </cell>
          <cell r="Q229" t="str">
            <v>10</v>
          </cell>
        </row>
        <row r="229">
          <cell r="U229" t="str">
            <v/>
          </cell>
          <cell r="V229" t="str">
            <v>BIAOQIAN4</v>
          </cell>
          <cell r="W229" t="str">
            <v/>
          </cell>
          <cell r="X229" t="str">
            <v>62-3-3-13</v>
          </cell>
          <cell r="Y229" t="str">
            <v/>
          </cell>
          <cell r="Z229" t="str">
            <v>1902</v>
          </cell>
          <cell r="AA229" t="str">
            <v>1100157966</v>
          </cell>
          <cell r="AB229">
            <v>80</v>
          </cell>
          <cell r="AC229" t="str">
            <v/>
          </cell>
          <cell r="AD229">
            <v>4</v>
          </cell>
          <cell r="AE229" t="str">
            <v>G-100015358-260104-0003-1-H-XH</v>
          </cell>
        </row>
        <row r="230">
          <cell r="B230" t="str">
            <v>7101087899</v>
          </cell>
          <cell r="C230" t="str">
            <v>G2510-1141</v>
          </cell>
          <cell r="D230" t="str">
            <v>000042944440000468</v>
          </cell>
          <cell r="E230" t="str">
            <v>挡圈</v>
          </cell>
          <cell r="F230" t="str">
            <v>S18.5.0808</v>
          </cell>
          <cell r="G230" t="str">
            <v>-</v>
          </cell>
          <cell r="H230" t="str">
            <v>44-48HRC</v>
          </cell>
          <cell r="I230" t="str">
            <v>Ep·Cd8-12·c2C</v>
          </cell>
          <cell r="J230" t="str">
            <v>60Si2MnA</v>
          </cell>
          <cell r="K230">
            <v>12</v>
          </cell>
          <cell r="L230">
            <v>46097</v>
          </cell>
          <cell r="M230" t="str">
            <v>4-检验完成</v>
          </cell>
        </row>
        <row r="230">
          <cell r="O230">
            <v>0</v>
          </cell>
          <cell r="P230" t="str">
            <v>中国航发航空科技股份有限公司</v>
          </cell>
          <cell r="Q230" t="str">
            <v>310</v>
          </cell>
          <cell r="R230">
            <v>46098</v>
          </cell>
        </row>
        <row r="230">
          <cell r="U230" t="str">
            <v>010000875847</v>
          </cell>
          <cell r="V230" t="str">
            <v>BIAOQIAN3</v>
          </cell>
          <cell r="W230" t="str">
            <v/>
          </cell>
          <cell r="X230" t="str">
            <v>CP-19-5-4-6</v>
          </cell>
          <cell r="Y230" t="str">
            <v/>
          </cell>
          <cell r="Z230" t="str">
            <v>1902</v>
          </cell>
          <cell r="AA230" t="str">
            <v>1100108189</v>
          </cell>
          <cell r="AB230">
            <v>330</v>
          </cell>
          <cell r="AC230" t="str">
            <v/>
          </cell>
          <cell r="AD230">
            <v>79.97</v>
          </cell>
          <cell r="AE230" t="str">
            <v>G0552-221228-352-4</v>
          </cell>
        </row>
        <row r="231">
          <cell r="B231" t="str">
            <v>7101093730</v>
          </cell>
          <cell r="C231" t="str">
            <v>G2505-1195</v>
          </cell>
          <cell r="D231" t="str">
            <v>000042944239002664</v>
          </cell>
          <cell r="E231" t="str">
            <v>螺栓</v>
          </cell>
          <cell r="F231" t="str">
            <v>S18.42.4118</v>
          </cell>
          <cell r="G231" t="str">
            <v>Ⅳ</v>
          </cell>
          <cell r="H231" t="str">
            <v>d=3.3-3.55</v>
          </cell>
          <cell r="I231" t="str">
            <v/>
          </cell>
          <cell r="J231" t="str">
            <v>GH4698</v>
          </cell>
          <cell r="K231">
            <v>131</v>
          </cell>
          <cell r="L231">
            <v>46110</v>
          </cell>
          <cell r="M231" t="str">
            <v>4-检验完成</v>
          </cell>
        </row>
        <row r="231">
          <cell r="O231">
            <v>0</v>
          </cell>
          <cell r="P231" t="str">
            <v>中国航发航空科技股份有限公司</v>
          </cell>
          <cell r="Q231" t="str">
            <v>1120</v>
          </cell>
          <cell r="R231">
            <v>46112</v>
          </cell>
        </row>
        <row r="231">
          <cell r="U231" t="str">
            <v>010000826587</v>
          </cell>
          <cell r="V231" t="str">
            <v>BIAOQIAN4</v>
          </cell>
          <cell r="W231" t="str">
            <v/>
          </cell>
          <cell r="X231" t="str">
            <v>CP-108-A</v>
          </cell>
          <cell r="Y231" t="str">
            <v/>
          </cell>
          <cell r="Z231" t="str">
            <v>1902</v>
          </cell>
          <cell r="AA231" t="str">
            <v>1100108189</v>
          </cell>
          <cell r="AB231">
            <v>3920</v>
          </cell>
          <cell r="AC231" t="str">
            <v/>
          </cell>
          <cell r="AD231">
            <v>100.7</v>
          </cell>
          <cell r="AE231" t="str">
            <v>G0552-221228-352-4</v>
          </cell>
        </row>
        <row r="232">
          <cell r="B232" t="str">
            <v>7101093877</v>
          </cell>
          <cell r="C232" t="str">
            <v>G2601-2260</v>
          </cell>
          <cell r="D232" t="str">
            <v>000036200000106499</v>
          </cell>
          <cell r="E232" t="str">
            <v>密封圈</v>
          </cell>
          <cell r="F232" t="str">
            <v>6125039</v>
          </cell>
          <cell r="G232" t="str">
            <v>-</v>
          </cell>
          <cell r="H232" t="str">
            <v/>
          </cell>
          <cell r="I232" t="str">
            <v/>
          </cell>
          <cell r="J232" t="str">
            <v>5080</v>
          </cell>
          <cell r="K232">
            <v>6</v>
          </cell>
          <cell r="L232">
            <v>46111</v>
          </cell>
          <cell r="M232" t="str">
            <v>4-检验完成</v>
          </cell>
        </row>
        <row r="232">
          <cell r="O232">
            <v>0</v>
          </cell>
          <cell r="P232" t="str">
            <v>中国航发航空科技股份有限公司</v>
          </cell>
          <cell r="Q232" t="str">
            <v>20</v>
          </cell>
          <cell r="R232">
            <v>46120</v>
          </cell>
        </row>
        <row r="232">
          <cell r="U232" t="str">
            <v>010000908231</v>
          </cell>
          <cell r="V232" t="str">
            <v>PANMINGTAO</v>
          </cell>
          <cell r="W232" t="str">
            <v/>
          </cell>
          <cell r="X232" t="str">
            <v>XC-29-1-1-5</v>
          </cell>
          <cell r="Y232" t="str">
            <v/>
          </cell>
          <cell r="Z232" t="str">
            <v>1902</v>
          </cell>
          <cell r="AA232" t="str">
            <v>1100159425</v>
          </cell>
          <cell r="AB232">
            <v>6</v>
          </cell>
          <cell r="AC232" t="str">
            <v/>
          </cell>
          <cell r="AD232">
            <v>11</v>
          </cell>
          <cell r="AE232" t="str">
            <v>G-100015358-260121-0012</v>
          </cell>
        </row>
        <row r="233">
          <cell r="B233" t="str">
            <v>7101094133</v>
          </cell>
          <cell r="C233" t="str">
            <v>G2508-1829</v>
          </cell>
          <cell r="D233" t="str">
            <v>000042944239002670</v>
          </cell>
          <cell r="E233" t="str">
            <v>螺栓</v>
          </cell>
          <cell r="F233" t="str">
            <v>S18.42.4120</v>
          </cell>
          <cell r="G233" t="str">
            <v>Ⅴ</v>
          </cell>
          <cell r="H233" t="str">
            <v>d=3.3-3.55</v>
          </cell>
          <cell r="I233" t="str">
            <v/>
          </cell>
          <cell r="J233" t="str">
            <v>GH4698</v>
          </cell>
          <cell r="K233">
            <v>123</v>
          </cell>
          <cell r="L233">
            <v>46111</v>
          </cell>
          <cell r="M233" t="str">
            <v>4-检验完成</v>
          </cell>
        </row>
        <row r="233">
          <cell r="O233">
            <v>0</v>
          </cell>
          <cell r="P233" t="str">
            <v>中国航发航空科技股份有限公司</v>
          </cell>
          <cell r="Q233" t="str">
            <v>1180</v>
          </cell>
          <cell r="R233">
            <v>46113</v>
          </cell>
        </row>
        <row r="233">
          <cell r="U233" t="str">
            <v>010000857643</v>
          </cell>
          <cell r="V233" t="str">
            <v>BIAOQIAN4</v>
          </cell>
          <cell r="W233" t="str">
            <v/>
          </cell>
          <cell r="X233" t="str">
            <v>CP-108-A</v>
          </cell>
          <cell r="Y233" t="str">
            <v/>
          </cell>
          <cell r="Z233" t="str">
            <v>1902</v>
          </cell>
          <cell r="AA233" t="str">
            <v>1100108189</v>
          </cell>
          <cell r="AB233">
            <v>3920</v>
          </cell>
          <cell r="AC233" t="str">
            <v/>
          </cell>
          <cell r="AD233">
            <v>120.29</v>
          </cell>
          <cell r="AE233" t="str">
            <v>G0552-221228-352-4</v>
          </cell>
        </row>
        <row r="234">
          <cell r="B234" t="str">
            <v>7101097319</v>
          </cell>
          <cell r="C234" t="str">
            <v>G2310-2035</v>
          </cell>
          <cell r="D234" t="str">
            <v>000042944239048747</v>
          </cell>
          <cell r="E234" t="str">
            <v>螺栓</v>
          </cell>
          <cell r="F234" t="str">
            <v>S18.42.4119</v>
          </cell>
          <cell r="G234" t="str">
            <v>Ⅱ</v>
          </cell>
          <cell r="H234" t="str">
            <v>d=3.3-3.55</v>
          </cell>
          <cell r="I234" t="str">
            <v/>
          </cell>
          <cell r="J234" t="str">
            <v>GH4698</v>
          </cell>
          <cell r="K234">
            <v>127</v>
          </cell>
          <cell r="L234">
            <v>46119</v>
          </cell>
          <cell r="M234" t="str">
            <v>4-检验完成</v>
          </cell>
        </row>
        <row r="234">
          <cell r="O234">
            <v>0</v>
          </cell>
          <cell r="P234" t="str">
            <v>中国航发航空科技股份有限公司</v>
          </cell>
          <cell r="Q234" t="str">
            <v>840</v>
          </cell>
          <cell r="R234">
            <v>46125</v>
          </cell>
        </row>
        <row r="234">
          <cell r="U234" t="str">
            <v>010000646307</v>
          </cell>
          <cell r="V234" t="str">
            <v>BIAOQIAN4</v>
          </cell>
          <cell r="W234" t="str">
            <v/>
          </cell>
          <cell r="X234" t="str">
            <v>CP-36-1-2-1</v>
          </cell>
          <cell r="Y234" t="str">
            <v/>
          </cell>
          <cell r="Z234" t="str">
            <v>1902</v>
          </cell>
          <cell r="AA234" t="str">
            <v>1100108189</v>
          </cell>
          <cell r="AB234">
            <v>7963</v>
          </cell>
          <cell r="AC234" t="str">
            <v/>
          </cell>
          <cell r="AD234">
            <v>126.48</v>
          </cell>
          <cell r="AE234" t="str">
            <v>G0552-221228-352-4</v>
          </cell>
        </row>
        <row r="235">
          <cell r="B235" t="str">
            <v>7101097319</v>
          </cell>
          <cell r="C235" t="str">
            <v>G2408-1760</v>
          </cell>
          <cell r="D235" t="str">
            <v>000042944239048747</v>
          </cell>
          <cell r="E235" t="str">
            <v>螺栓</v>
          </cell>
          <cell r="F235" t="str">
            <v>S18.42.4119</v>
          </cell>
          <cell r="G235" t="str">
            <v>Ⅱ</v>
          </cell>
          <cell r="H235" t="str">
            <v>d=3.3-3.55</v>
          </cell>
          <cell r="I235" t="str">
            <v/>
          </cell>
          <cell r="J235" t="str">
            <v>GH4698</v>
          </cell>
          <cell r="K235">
            <v>435</v>
          </cell>
          <cell r="L235">
            <v>46119</v>
          </cell>
          <cell r="M235" t="str">
            <v>4-检验完成</v>
          </cell>
        </row>
        <row r="235">
          <cell r="O235">
            <v>0</v>
          </cell>
          <cell r="P235" t="str">
            <v>中国航发航空科技股份有限公司</v>
          </cell>
          <cell r="Q235" t="str">
            <v>840</v>
          </cell>
          <cell r="R235">
            <v>46125</v>
          </cell>
        </row>
        <row r="235">
          <cell r="U235" t="str">
            <v>010000729968</v>
          </cell>
          <cell r="V235" t="str">
            <v>BIAOQIAN4</v>
          </cell>
          <cell r="W235" t="str">
            <v/>
          </cell>
          <cell r="X235" t="str">
            <v>CP-108-A/CP-42-5-1-6</v>
          </cell>
          <cell r="Y235" t="str">
            <v/>
          </cell>
          <cell r="Z235" t="str">
            <v>1902</v>
          </cell>
          <cell r="AA235" t="str">
            <v>1100108189</v>
          </cell>
          <cell r="AB235">
            <v>7963</v>
          </cell>
          <cell r="AC235" t="str">
            <v/>
          </cell>
          <cell r="AD235">
            <v>126.48</v>
          </cell>
          <cell r="AE235" t="str">
            <v>G0552-221228-352-4</v>
          </cell>
        </row>
        <row r="236">
          <cell r="B236" t="str">
            <v>7101097510</v>
          </cell>
          <cell r="C236" t="str">
            <v>G2509-2060</v>
          </cell>
          <cell r="D236" t="str">
            <v>000042944239002662</v>
          </cell>
          <cell r="E236" t="str">
            <v>螺栓</v>
          </cell>
          <cell r="F236" t="str">
            <v>S18.42.4118</v>
          </cell>
          <cell r="G236" t="str">
            <v>Ⅱ</v>
          </cell>
          <cell r="H236" t="str">
            <v>d=3.3-3.55</v>
          </cell>
          <cell r="I236" t="str">
            <v/>
          </cell>
          <cell r="J236" t="str">
            <v>GH4698</v>
          </cell>
          <cell r="K236">
            <v>883</v>
          </cell>
          <cell r="L236">
            <v>46119</v>
          </cell>
          <cell r="M236" t="str">
            <v>4-检验完成</v>
          </cell>
        </row>
        <row r="236">
          <cell r="O236">
            <v>0</v>
          </cell>
          <cell r="P236" t="str">
            <v>中国航发航空科技股份有限公司</v>
          </cell>
          <cell r="Q236" t="str">
            <v>1100</v>
          </cell>
          <cell r="R236">
            <v>46121</v>
          </cell>
        </row>
        <row r="236">
          <cell r="U236" t="str">
            <v>010000865942</v>
          </cell>
          <cell r="V236" t="str">
            <v>BIAOQIAN1</v>
          </cell>
          <cell r="W236" t="str">
            <v/>
          </cell>
          <cell r="X236" t="str">
            <v>CP-108-A</v>
          </cell>
          <cell r="Y236" t="str">
            <v/>
          </cell>
          <cell r="Z236" t="str">
            <v>1902</v>
          </cell>
          <cell r="AA236" t="str">
            <v>1100108189</v>
          </cell>
          <cell r="AB236">
            <v>5089</v>
          </cell>
          <cell r="AC236" t="str">
            <v/>
          </cell>
          <cell r="AD236">
            <v>100.7</v>
          </cell>
          <cell r="AE236" t="str">
            <v>G0552-221228-352-4</v>
          </cell>
        </row>
        <row r="237">
          <cell r="B237" t="str">
            <v>7101097803</v>
          </cell>
          <cell r="C237" t="str">
            <v>G2510-0809</v>
          </cell>
          <cell r="D237" t="str">
            <v>000042944999017795</v>
          </cell>
          <cell r="E237" t="str">
            <v>PT16堵盖</v>
          </cell>
          <cell r="F237" t="str">
            <v>S18C.00.1116</v>
          </cell>
          <cell r="G237" t="str">
            <v>-</v>
          </cell>
          <cell r="H237" t="str">
            <v/>
          </cell>
          <cell r="I237" t="str">
            <v/>
          </cell>
          <cell r="J237" t="str">
            <v>0Cr18Ni9</v>
          </cell>
          <cell r="K237">
            <v>16</v>
          </cell>
          <cell r="L237">
            <v>46120</v>
          </cell>
          <cell r="M237" t="str">
            <v>3-配货完成</v>
          </cell>
        </row>
        <row r="237">
          <cell r="O237">
            <v>0</v>
          </cell>
          <cell r="P237" t="str">
            <v>中国航发航空科技股份有限公司</v>
          </cell>
          <cell r="Q237" t="str">
            <v>130</v>
          </cell>
        </row>
        <row r="237">
          <cell r="U237" t="str">
            <v>010000874114</v>
          </cell>
          <cell r="V237" t="str">
            <v>BIAOQIAN3</v>
          </cell>
          <cell r="W237" t="str">
            <v/>
          </cell>
          <cell r="X237" t="str">
            <v>CP-3-1-4-4</v>
          </cell>
          <cell r="Y237" t="str">
            <v/>
          </cell>
          <cell r="Z237" t="str">
            <v>1902</v>
          </cell>
          <cell r="AA237" t="str">
            <v>1100162973</v>
          </cell>
          <cell r="AB237">
            <v>16</v>
          </cell>
          <cell r="AC237" t="str">
            <v/>
          </cell>
          <cell r="AD237">
            <v>27.6</v>
          </cell>
          <cell r="AE237" t="str">
            <v>G-100015358-260407-0107XH</v>
          </cell>
        </row>
        <row r="238">
          <cell r="B238" t="str">
            <v>7101097896</v>
          </cell>
          <cell r="C238" t="str">
            <v>G2511-0818</v>
          </cell>
          <cell r="D238" t="str">
            <v>000036200000057154</v>
          </cell>
          <cell r="E238" t="str">
            <v>O型橡胶密封圈</v>
          </cell>
          <cell r="F238" t="str">
            <v>Q/2S5104-2019</v>
          </cell>
          <cell r="G238" t="str">
            <v>12.6×1.9</v>
          </cell>
          <cell r="H238" t="str">
            <v/>
          </cell>
          <cell r="I238" t="str">
            <v/>
          </cell>
          <cell r="J238" t="str">
            <v>FX-2</v>
          </cell>
          <cell r="K238">
            <v>10</v>
          </cell>
          <cell r="L238">
            <v>46120</v>
          </cell>
          <cell r="M238" t="str">
            <v>4-检验完成</v>
          </cell>
        </row>
        <row r="238">
          <cell r="O238">
            <v>0</v>
          </cell>
          <cell r="P238" t="str">
            <v>中国航发航空科技股份有限公司</v>
          </cell>
          <cell r="Q238" t="str">
            <v>140</v>
          </cell>
          <cell r="R238">
            <v>46121</v>
          </cell>
        </row>
        <row r="238">
          <cell r="U238" t="str">
            <v>010000883019</v>
          </cell>
          <cell r="V238" t="str">
            <v>PANMINGTAO</v>
          </cell>
          <cell r="W238" t="str">
            <v/>
          </cell>
          <cell r="X238" t="str">
            <v>XC-29-1-1-1</v>
          </cell>
          <cell r="Y238" t="str">
            <v/>
          </cell>
          <cell r="Z238" t="str">
            <v>1902</v>
          </cell>
          <cell r="AA238" t="str">
            <v>1100162973</v>
          </cell>
          <cell r="AB238">
            <v>10</v>
          </cell>
          <cell r="AC238" t="str">
            <v/>
          </cell>
          <cell r="AD238">
            <v>138</v>
          </cell>
          <cell r="AE238" t="str">
            <v>G-100015358-260407-0107XH</v>
          </cell>
        </row>
        <row r="239">
          <cell r="B239" t="str">
            <v>7101097896</v>
          </cell>
          <cell r="C239" t="str">
            <v>G2511-0829</v>
          </cell>
          <cell r="D239" t="str">
            <v>000036200000017807</v>
          </cell>
          <cell r="E239" t="str">
            <v>橡胶块</v>
          </cell>
          <cell r="F239" t="str">
            <v>S18C.00.1335</v>
          </cell>
          <cell r="G239" t="str">
            <v>-</v>
          </cell>
          <cell r="H239" t="str">
            <v/>
          </cell>
          <cell r="I239" t="str">
            <v/>
          </cell>
          <cell r="J239" t="str">
            <v>FX-4</v>
          </cell>
          <cell r="K239">
            <v>4</v>
          </cell>
          <cell r="L239">
            <v>46120</v>
          </cell>
          <cell r="M239" t="str">
            <v>4-检验完成</v>
          </cell>
        </row>
        <row r="239">
          <cell r="O239">
            <v>0</v>
          </cell>
          <cell r="P239" t="str">
            <v>中国航发航空科技股份有限公司</v>
          </cell>
          <cell r="Q239" t="str">
            <v>160</v>
          </cell>
          <cell r="R239">
            <v>46121</v>
          </cell>
        </row>
        <row r="239">
          <cell r="U239" t="str">
            <v>010000883052</v>
          </cell>
          <cell r="V239" t="str">
            <v>PANMINGTAO</v>
          </cell>
          <cell r="W239" t="str">
            <v/>
          </cell>
          <cell r="X239" t="str">
            <v>XC-31-1-1-5</v>
          </cell>
          <cell r="Y239" t="str">
            <v/>
          </cell>
          <cell r="Z239" t="str">
            <v>1902</v>
          </cell>
          <cell r="AA239" t="str">
            <v>1100162973</v>
          </cell>
          <cell r="AB239">
            <v>4</v>
          </cell>
          <cell r="AC239" t="str">
            <v/>
          </cell>
          <cell r="AD239">
            <v>180</v>
          </cell>
          <cell r="AE239" t="str">
            <v>G-100015358-260407-0107XH</v>
          </cell>
        </row>
        <row r="240">
          <cell r="B240" t="str">
            <v>7101097954</v>
          </cell>
          <cell r="C240" t="str">
            <v>G2107-2452</v>
          </cell>
          <cell r="D240" t="str">
            <v>000042944000017797</v>
          </cell>
          <cell r="E240" t="str">
            <v>卡箍</v>
          </cell>
          <cell r="F240" t="str">
            <v>S18C.00.1126</v>
          </cell>
          <cell r="G240" t="str">
            <v>-</v>
          </cell>
          <cell r="H240" t="str">
            <v/>
          </cell>
          <cell r="I240" t="str">
            <v/>
          </cell>
          <cell r="J240" t="str">
            <v>0Cr18Ni9</v>
          </cell>
          <cell r="K240">
            <v>8</v>
          </cell>
          <cell r="L240">
            <v>46120</v>
          </cell>
          <cell r="M240" t="str">
            <v>3-配货完成</v>
          </cell>
        </row>
        <row r="240">
          <cell r="O240">
            <v>0</v>
          </cell>
          <cell r="P240" t="str">
            <v>中国航发航空科技股份有限公司</v>
          </cell>
          <cell r="Q240" t="str">
            <v>100</v>
          </cell>
        </row>
        <row r="240">
          <cell r="U240" t="str">
            <v>010000399360</v>
          </cell>
          <cell r="V240" t="str">
            <v>BIAOQIAN1</v>
          </cell>
          <cell r="W240" t="str">
            <v/>
          </cell>
          <cell r="X240" t="str">
            <v>CP-71-5-3-6</v>
          </cell>
          <cell r="Y240" t="str">
            <v/>
          </cell>
          <cell r="Z240" t="str">
            <v>1902</v>
          </cell>
          <cell r="AA240" t="str">
            <v>1100162973</v>
          </cell>
          <cell r="AB240">
            <v>8</v>
          </cell>
          <cell r="AC240" t="str">
            <v/>
          </cell>
          <cell r="AD240">
            <v>34.8</v>
          </cell>
          <cell r="AE240" t="str">
            <v>G-100015358-260407-0107XH</v>
          </cell>
        </row>
        <row r="241">
          <cell r="B241" t="str">
            <v>7101097954</v>
          </cell>
          <cell r="C241" t="str">
            <v>G2302-2905</v>
          </cell>
          <cell r="D241" t="str">
            <v>000042944999017800</v>
          </cell>
          <cell r="E241" t="str">
            <v>垫片</v>
          </cell>
          <cell r="F241" t="str">
            <v>S18C.00.1149</v>
          </cell>
          <cell r="G241" t="str">
            <v>-</v>
          </cell>
          <cell r="H241" t="str">
            <v>退火</v>
          </cell>
          <cell r="I241" t="str">
            <v/>
          </cell>
          <cell r="J241" t="str">
            <v>T2</v>
          </cell>
          <cell r="K241">
            <v>4</v>
          </cell>
          <cell r="L241">
            <v>46120</v>
          </cell>
          <cell r="M241" t="str">
            <v>3-配货完成</v>
          </cell>
        </row>
        <row r="241">
          <cell r="O241">
            <v>0</v>
          </cell>
          <cell r="P241" t="str">
            <v>中国航发航空科技股份有限公司</v>
          </cell>
          <cell r="Q241" t="str">
            <v>170</v>
          </cell>
        </row>
        <row r="241">
          <cell r="U241" t="str">
            <v>010000577849</v>
          </cell>
          <cell r="V241" t="str">
            <v>BIAOQIAN1</v>
          </cell>
          <cell r="W241" t="str">
            <v/>
          </cell>
          <cell r="X241" t="str">
            <v>CP-23-4-2-1</v>
          </cell>
          <cell r="Y241" t="str">
            <v/>
          </cell>
          <cell r="Z241" t="str">
            <v>1902</v>
          </cell>
          <cell r="AA241" t="str">
            <v>1100162973</v>
          </cell>
          <cell r="AB241">
            <v>4</v>
          </cell>
          <cell r="AC241" t="str">
            <v/>
          </cell>
          <cell r="AD241">
            <v>34.8</v>
          </cell>
          <cell r="AE241" t="str">
            <v>G-100015358-260407-0107XH</v>
          </cell>
        </row>
        <row r="242">
          <cell r="B242" t="str">
            <v>7101097954</v>
          </cell>
          <cell r="C242" t="str">
            <v>G2302-2904</v>
          </cell>
          <cell r="D242" t="str">
            <v>000042944999017799</v>
          </cell>
          <cell r="E242" t="str">
            <v>管接头</v>
          </cell>
          <cell r="F242" t="str">
            <v>S18C.00.1148</v>
          </cell>
          <cell r="G242" t="str">
            <v>-</v>
          </cell>
          <cell r="H242" t="str">
            <v/>
          </cell>
          <cell r="I242" t="str">
            <v/>
          </cell>
          <cell r="J242" t="str">
            <v>0Cr18Ni9</v>
          </cell>
          <cell r="K242">
            <v>4</v>
          </cell>
          <cell r="L242">
            <v>46120</v>
          </cell>
          <cell r="M242" t="str">
            <v>3-配货完成</v>
          </cell>
        </row>
        <row r="242">
          <cell r="O242">
            <v>0</v>
          </cell>
          <cell r="P242" t="str">
            <v>中国航发航空科技股份有限公司</v>
          </cell>
          <cell r="Q242" t="str">
            <v>250</v>
          </cell>
        </row>
        <row r="242">
          <cell r="U242" t="str">
            <v>010000577848</v>
          </cell>
          <cell r="V242" t="str">
            <v>BIAOQIAN1</v>
          </cell>
          <cell r="W242" t="str">
            <v/>
          </cell>
          <cell r="X242" t="str">
            <v>CP-79-5-4-5</v>
          </cell>
          <cell r="Y242" t="str">
            <v/>
          </cell>
          <cell r="Z242" t="str">
            <v>1902</v>
          </cell>
          <cell r="AA242" t="str">
            <v>1100162973</v>
          </cell>
          <cell r="AB242">
            <v>4</v>
          </cell>
          <cell r="AC242" t="str">
            <v/>
          </cell>
          <cell r="AD242">
            <v>288</v>
          </cell>
          <cell r="AE242" t="str">
            <v>G-100015358-260407-0107XH</v>
          </cell>
        </row>
        <row r="243">
          <cell r="B243" t="str">
            <v>7101098916</v>
          </cell>
          <cell r="C243" t="str">
            <v>G2509-1624</v>
          </cell>
          <cell r="D243" t="str">
            <v>000042944239098571</v>
          </cell>
          <cell r="E243" t="str">
            <v>进气锥连接螺栓</v>
          </cell>
          <cell r="F243" t="str">
            <v>7201C1A2204P01</v>
          </cell>
          <cell r="G243" t="str">
            <v>-</v>
          </cell>
          <cell r="H243" t="str">
            <v>σb≥185ksi</v>
          </cell>
          <cell r="I243" t="str">
            <v/>
          </cell>
          <cell r="J243" t="str">
            <v>IN718</v>
          </cell>
          <cell r="K243">
            <v>6</v>
          </cell>
          <cell r="L243">
            <v>46121</v>
          </cell>
          <cell r="M243" t="str">
            <v>1-已打印</v>
          </cell>
        </row>
        <row r="243">
          <cell r="O243">
            <v>0</v>
          </cell>
          <cell r="P243" t="str">
            <v>中国航发航空科技股份有限公司</v>
          </cell>
          <cell r="Q243" t="str">
            <v>10</v>
          </cell>
        </row>
        <row r="243">
          <cell r="U243" t="str">
            <v>010000864347</v>
          </cell>
          <cell r="V243" t="str">
            <v/>
          </cell>
          <cell r="W243" t="str">
            <v/>
          </cell>
          <cell r="X243" t="str">
            <v>CP-42-3-2-2</v>
          </cell>
          <cell r="Y243" t="str">
            <v/>
          </cell>
          <cell r="Z243" t="str">
            <v>1902</v>
          </cell>
          <cell r="AA243" t="str">
            <v>1100163045</v>
          </cell>
          <cell r="AB243">
            <v>6</v>
          </cell>
          <cell r="AC243" t="str">
            <v/>
          </cell>
          <cell r="AD243">
            <v>286</v>
          </cell>
          <cell r="AE243" t="str">
            <v>G-100015358-260407-0114XH</v>
          </cell>
        </row>
        <row r="244">
          <cell r="B244" t="str">
            <v>7101098916</v>
          </cell>
          <cell r="C244" t="str">
            <v>G2509-1624</v>
          </cell>
          <cell r="D244" t="str">
            <v>000042944239098571</v>
          </cell>
          <cell r="E244" t="str">
            <v>进气锥连接螺栓</v>
          </cell>
          <cell r="F244" t="str">
            <v>7201C1A2204P01</v>
          </cell>
          <cell r="G244" t="str">
            <v>-</v>
          </cell>
          <cell r="H244" t="str">
            <v>σb≥185ksi</v>
          </cell>
          <cell r="I244" t="str">
            <v/>
          </cell>
          <cell r="J244" t="str">
            <v>IN718</v>
          </cell>
          <cell r="K244">
            <v>18</v>
          </cell>
          <cell r="L244">
            <v>46121</v>
          </cell>
          <cell r="M244" t="str">
            <v>1-已打印</v>
          </cell>
        </row>
        <row r="244">
          <cell r="O244">
            <v>0</v>
          </cell>
          <cell r="P244" t="str">
            <v>中国航发航空科技股份有限公司</v>
          </cell>
          <cell r="Q244" t="str">
            <v>20</v>
          </cell>
        </row>
        <row r="244">
          <cell r="U244" t="str">
            <v>010000864347</v>
          </cell>
          <cell r="V244" t="str">
            <v/>
          </cell>
          <cell r="W244" t="str">
            <v/>
          </cell>
          <cell r="X244" t="str">
            <v>CP-42-3-2-2</v>
          </cell>
          <cell r="Y244" t="str">
            <v/>
          </cell>
          <cell r="Z244" t="str">
            <v>1902</v>
          </cell>
          <cell r="AA244" t="str">
            <v>1100163045</v>
          </cell>
          <cell r="AB244">
            <v>18</v>
          </cell>
          <cell r="AC244" t="str">
            <v/>
          </cell>
          <cell r="AD244">
            <v>286</v>
          </cell>
          <cell r="AE244" t="str">
            <v>G-100015358-260407-0114XH</v>
          </cell>
        </row>
        <row r="245">
          <cell r="B245" t="str">
            <v>7101099317</v>
          </cell>
          <cell r="C245" t="str">
            <v>G2502-1324</v>
          </cell>
          <cell r="D245" t="str">
            <v>000042944239002668</v>
          </cell>
          <cell r="E245" t="str">
            <v>螺栓</v>
          </cell>
          <cell r="F245" t="str">
            <v>S18.42.4120</v>
          </cell>
          <cell r="G245" t="str">
            <v>Ⅲ</v>
          </cell>
          <cell r="H245" t="str">
            <v>d=3.3-3.55</v>
          </cell>
          <cell r="I245" t="str">
            <v/>
          </cell>
          <cell r="J245" t="str">
            <v>GH4698</v>
          </cell>
          <cell r="K245">
            <v>88</v>
          </cell>
          <cell r="L245">
            <v>46122</v>
          </cell>
          <cell r="M245" t="str">
            <v>4-检验完成</v>
          </cell>
        </row>
        <row r="245">
          <cell r="O245">
            <v>0</v>
          </cell>
          <cell r="P245" t="str">
            <v>中国航发航空科技股份有限公司</v>
          </cell>
          <cell r="Q245" t="str">
            <v>1160</v>
          </cell>
          <cell r="R245">
            <v>46125</v>
          </cell>
        </row>
        <row r="245">
          <cell r="U245" t="str">
            <v>010000782318</v>
          </cell>
          <cell r="V245" t="str">
            <v>BIAOQIAN3</v>
          </cell>
          <cell r="W245" t="str">
            <v/>
          </cell>
          <cell r="X245" t="str">
            <v>CP-108-A</v>
          </cell>
          <cell r="Y245" t="str">
            <v/>
          </cell>
          <cell r="Z245" t="str">
            <v>1902</v>
          </cell>
          <cell r="AA245" t="str">
            <v>1100108189</v>
          </cell>
          <cell r="AB245">
            <v>3920</v>
          </cell>
          <cell r="AC245" t="str">
            <v/>
          </cell>
          <cell r="AD245">
            <v>120.29</v>
          </cell>
          <cell r="AE245" t="str">
            <v>G0552-221228-352-4</v>
          </cell>
        </row>
        <row r="246">
          <cell r="B246" t="str">
            <v>7101099317</v>
          </cell>
          <cell r="C246" t="str">
            <v>G2202-0340</v>
          </cell>
          <cell r="D246" t="str">
            <v>000042944239002668</v>
          </cell>
          <cell r="E246" t="str">
            <v>螺栓</v>
          </cell>
          <cell r="F246" t="str">
            <v>S18.42.4120</v>
          </cell>
          <cell r="G246" t="str">
            <v>Ⅲ</v>
          </cell>
          <cell r="H246" t="str">
            <v>d=3.3-3.55</v>
          </cell>
          <cell r="I246" t="str">
            <v/>
          </cell>
          <cell r="J246" t="str">
            <v>GH4698</v>
          </cell>
          <cell r="K246">
            <v>154</v>
          </cell>
          <cell r="L246">
            <v>46122</v>
          </cell>
          <cell r="M246" t="str">
            <v>4-检验完成</v>
          </cell>
        </row>
        <row r="246">
          <cell r="O246">
            <v>0</v>
          </cell>
          <cell r="P246" t="str">
            <v>中国航发航空科技股份有限公司</v>
          </cell>
          <cell r="Q246" t="str">
            <v>1160</v>
          </cell>
          <cell r="R246">
            <v>46125</v>
          </cell>
        </row>
        <row r="246">
          <cell r="U246" t="str">
            <v>010000458757</v>
          </cell>
          <cell r="V246" t="str">
            <v>BIAOQIAN3</v>
          </cell>
          <cell r="W246" t="str">
            <v/>
          </cell>
          <cell r="X246" t="str">
            <v>CP-77-5-1-5</v>
          </cell>
          <cell r="Y246" t="str">
            <v/>
          </cell>
          <cell r="Z246" t="str">
            <v>1902</v>
          </cell>
          <cell r="AA246" t="str">
            <v>1100108189</v>
          </cell>
          <cell r="AB246">
            <v>3920</v>
          </cell>
          <cell r="AC246" t="str">
            <v/>
          </cell>
          <cell r="AD246">
            <v>120.29</v>
          </cell>
          <cell r="AE246" t="str">
            <v>G0552-221228-352-4</v>
          </cell>
        </row>
        <row r="247">
          <cell r="B247" t="str">
            <v>7101099317</v>
          </cell>
          <cell r="C247" t="str">
            <v>G2301-1255</v>
          </cell>
          <cell r="D247" t="str">
            <v>000042944239002668</v>
          </cell>
          <cell r="E247" t="str">
            <v>螺栓</v>
          </cell>
          <cell r="F247" t="str">
            <v>S18.42.4120</v>
          </cell>
          <cell r="G247" t="str">
            <v>Ⅲ</v>
          </cell>
          <cell r="H247" t="str">
            <v>d=3.3-3.55</v>
          </cell>
          <cell r="I247" t="str">
            <v/>
          </cell>
          <cell r="J247" t="str">
            <v>GH4698</v>
          </cell>
          <cell r="K247">
            <v>3678</v>
          </cell>
          <cell r="L247">
            <v>46122</v>
          </cell>
          <cell r="M247" t="str">
            <v>4-检验完成</v>
          </cell>
        </row>
        <row r="247">
          <cell r="O247">
            <v>0</v>
          </cell>
          <cell r="P247" t="str">
            <v>中国航发航空科技股份有限公司</v>
          </cell>
          <cell r="Q247" t="str">
            <v>1160</v>
          </cell>
          <cell r="R247">
            <v>46125</v>
          </cell>
        </row>
        <row r="247">
          <cell r="U247" t="str">
            <v>010000565086</v>
          </cell>
          <cell r="V247" t="str">
            <v>BIAOQIAN3</v>
          </cell>
          <cell r="W247" t="str">
            <v/>
          </cell>
          <cell r="X247" t="str">
            <v>CP-26-3-4-2</v>
          </cell>
          <cell r="Y247" t="str">
            <v/>
          </cell>
          <cell r="Z247" t="str">
            <v>1902</v>
          </cell>
          <cell r="AA247" t="str">
            <v>1100108189</v>
          </cell>
          <cell r="AB247">
            <v>3920</v>
          </cell>
          <cell r="AC247" t="str">
            <v/>
          </cell>
          <cell r="AD247">
            <v>120.29</v>
          </cell>
          <cell r="AE247" t="str">
            <v>G0552-221228-352-4</v>
          </cell>
        </row>
        <row r="248">
          <cell r="B248" t="str">
            <v>7101101930</v>
          </cell>
          <cell r="C248" t="str">
            <v>G2601-2261</v>
          </cell>
          <cell r="D248" t="str">
            <v>000036200000152233</v>
          </cell>
          <cell r="E248" t="str">
            <v>圆截面橡胶密封圈</v>
          </cell>
          <cell r="F248" t="str">
            <v>Q/S15.1111-2011</v>
          </cell>
          <cell r="G248" t="str">
            <v>13.5-2.5</v>
          </cell>
          <cell r="H248" t="str">
            <v/>
          </cell>
          <cell r="I248" t="str">
            <v/>
          </cell>
          <cell r="J248" t="str">
            <v>FX-4</v>
          </cell>
          <cell r="K248">
            <v>12</v>
          </cell>
          <cell r="L248">
            <v>46127</v>
          </cell>
          <cell r="M248" t="str">
            <v>4-检验完成</v>
          </cell>
        </row>
        <row r="248">
          <cell r="O248">
            <v>0</v>
          </cell>
          <cell r="P248" t="str">
            <v>中国航发航空科技股份有限公司</v>
          </cell>
          <cell r="Q248" t="str">
            <v>10</v>
          </cell>
          <cell r="R248">
            <v>46132</v>
          </cell>
        </row>
        <row r="248">
          <cell r="U248" t="str">
            <v>010000908321</v>
          </cell>
          <cell r="V248" t="str">
            <v>BIAOQIAN8</v>
          </cell>
          <cell r="W248" t="str">
            <v/>
          </cell>
          <cell r="X248" t="str">
            <v>XC-29-1-1-5</v>
          </cell>
          <cell r="Y248" t="str">
            <v/>
          </cell>
          <cell r="Z248" t="str">
            <v>1902</v>
          </cell>
          <cell r="AA248" t="str">
            <v>1100159425</v>
          </cell>
          <cell r="AB248">
            <v>12</v>
          </cell>
          <cell r="AC248" t="str">
            <v/>
          </cell>
          <cell r="AD248">
            <v>31.3</v>
          </cell>
          <cell r="AE248" t="str">
            <v>G-100015358-260121-0012</v>
          </cell>
        </row>
        <row r="249">
          <cell r="B249" t="str">
            <v>7101102287</v>
          </cell>
          <cell r="C249" t="str">
            <v>G2411-2047</v>
          </cell>
          <cell r="D249" t="str">
            <v>000036200000126147</v>
          </cell>
          <cell r="E249" t="str">
            <v>密封圈</v>
          </cell>
          <cell r="F249" t="str">
            <v>11S00042</v>
          </cell>
          <cell r="G249" t="str">
            <v>-</v>
          </cell>
          <cell r="H249" t="str">
            <v/>
          </cell>
          <cell r="I249" t="str">
            <v/>
          </cell>
          <cell r="J249" t="str">
            <v>FX-4</v>
          </cell>
          <cell r="K249">
            <v>1</v>
          </cell>
          <cell r="L249">
            <v>46127</v>
          </cell>
          <cell r="M249" t="str">
            <v>3-配货完成</v>
          </cell>
        </row>
        <row r="249">
          <cell r="O249">
            <v>0</v>
          </cell>
          <cell r="P249" t="str">
            <v>中国航发航空科技股份有限公司</v>
          </cell>
          <cell r="Q249" t="str">
            <v>10</v>
          </cell>
        </row>
        <row r="249">
          <cell r="U249" t="str">
            <v>010000753550</v>
          </cell>
          <cell r="V249" t="str">
            <v>PANMINGTAO</v>
          </cell>
          <cell r="W249" t="str">
            <v/>
          </cell>
          <cell r="X249" t="str">
            <v>XC-28-1-2-4</v>
          </cell>
          <cell r="Y249" t="str">
            <v/>
          </cell>
          <cell r="Z249" t="str">
            <v>1902</v>
          </cell>
          <cell r="AA249" t="str">
            <v>1100143264</v>
          </cell>
          <cell r="AB249">
            <v>1</v>
          </cell>
          <cell r="AC249" t="str">
            <v/>
          </cell>
          <cell r="AD249">
            <v>33</v>
          </cell>
          <cell r="AE249" t="str">
            <v>G-100015358-250312-0061</v>
          </cell>
        </row>
        <row r="250">
          <cell r="B250" t="str">
            <v>7101102305</v>
          </cell>
          <cell r="C250" t="str">
            <v>G2503-0608</v>
          </cell>
          <cell r="D250" t="str">
            <v>000042944000137978</v>
          </cell>
          <cell r="E250" t="str">
            <v>飞机来油管密封圈</v>
          </cell>
          <cell r="F250" t="str">
            <v>S18C.D.9012</v>
          </cell>
          <cell r="G250" t="str">
            <v>-</v>
          </cell>
          <cell r="H250" t="str">
            <v/>
          </cell>
          <cell r="I250" t="str">
            <v/>
          </cell>
          <cell r="J250" t="str">
            <v>HD7011</v>
          </cell>
          <cell r="K250">
            <v>25</v>
          </cell>
          <cell r="L250">
            <v>46127</v>
          </cell>
          <cell r="M250" t="str">
            <v>4-检验完成</v>
          </cell>
        </row>
        <row r="250">
          <cell r="O250">
            <v>0</v>
          </cell>
          <cell r="P250" t="str">
            <v>中国航发航空科技股份有限公司</v>
          </cell>
          <cell r="Q250" t="str">
            <v>10</v>
          </cell>
          <cell r="R250">
            <v>46132</v>
          </cell>
        </row>
        <row r="250">
          <cell r="U250" t="str">
            <v>010000792899</v>
          </cell>
          <cell r="V250" t="str">
            <v>PANMINGTAO</v>
          </cell>
          <cell r="W250" t="str">
            <v/>
          </cell>
          <cell r="X250" t="str">
            <v>XC-28-1-2-4</v>
          </cell>
          <cell r="Y250" t="str">
            <v/>
          </cell>
          <cell r="Z250" t="str">
            <v>1902</v>
          </cell>
          <cell r="AA250" t="str">
            <v>1100162352</v>
          </cell>
          <cell r="AB250">
            <v>25</v>
          </cell>
          <cell r="AC250" t="str">
            <v/>
          </cell>
          <cell r="AD250">
            <v>132</v>
          </cell>
          <cell r="AE250" t="str">
            <v>G-100015358-260325-0094XH</v>
          </cell>
        </row>
        <row r="251">
          <cell r="B251" t="str">
            <v>7101105046</v>
          </cell>
          <cell r="C251" t="str">
            <v>G2603-0201</v>
          </cell>
          <cell r="D251" t="str">
            <v>000042944039098249</v>
          </cell>
          <cell r="E251" t="str">
            <v>轻型带键锁紧螺套(细牙内螺纹)</v>
          </cell>
          <cell r="F251" t="str">
            <v>Q/2S5436-2021</v>
          </cell>
          <cell r="G251" t="str">
            <v>4</v>
          </cell>
          <cell r="H251" t="str">
            <v/>
          </cell>
          <cell r="I251" t="str">
            <v/>
          </cell>
          <cell r="J251" t="str">
            <v>组件</v>
          </cell>
          <cell r="K251">
            <v>128</v>
          </cell>
          <cell r="L251">
            <v>46133</v>
          </cell>
          <cell r="M251" t="str">
            <v>4-检验完成</v>
          </cell>
        </row>
        <row r="251">
          <cell r="O251">
            <v>0</v>
          </cell>
          <cell r="P251" t="str">
            <v>中国航发航空科技股份有限公司</v>
          </cell>
          <cell r="Q251" t="str">
            <v>140</v>
          </cell>
          <cell r="R251">
            <v>46139</v>
          </cell>
        </row>
        <row r="251">
          <cell r="U251" t="str">
            <v>010000920034</v>
          </cell>
          <cell r="V251" t="str">
            <v>BIAOQIAN3</v>
          </cell>
          <cell r="W251" t="str">
            <v/>
          </cell>
          <cell r="X251" t="str">
            <v>CP-108-A</v>
          </cell>
          <cell r="Y251" t="str">
            <v/>
          </cell>
          <cell r="Z251" t="str">
            <v>1902</v>
          </cell>
          <cell r="AA251" t="str">
            <v>1100163087</v>
          </cell>
          <cell r="AB251">
            <v>128</v>
          </cell>
          <cell r="AC251" t="str">
            <v/>
          </cell>
          <cell r="AD251">
            <v>146</v>
          </cell>
          <cell r="AE251" t="str">
            <v>G-100015358-260407-0105</v>
          </cell>
        </row>
        <row r="252">
          <cell r="B252" t="str">
            <v>7101105433</v>
          </cell>
          <cell r="C252" t="str">
            <v>G2604-1876</v>
          </cell>
          <cell r="D252" t="str">
            <v>000042944240173299</v>
          </cell>
          <cell r="E252" t="str">
            <v>带齿形环螺桩</v>
          </cell>
          <cell r="F252" t="str">
            <v>SPS3011(商发)</v>
          </cell>
          <cell r="G252" t="str">
            <v>CE3011-079-222</v>
          </cell>
          <cell r="H252" t="str">
            <v/>
          </cell>
          <cell r="I252" t="str">
            <v/>
          </cell>
          <cell r="J252" t="str">
            <v>组件</v>
          </cell>
          <cell r="K252">
            <v>8</v>
          </cell>
          <cell r="L252">
            <v>46134</v>
          </cell>
          <cell r="M252" t="str">
            <v>3-配货完成</v>
          </cell>
        </row>
        <row r="252">
          <cell r="O252">
            <v>0</v>
          </cell>
          <cell r="P252" t="str">
            <v>中国航发航空科技股份有限公司</v>
          </cell>
          <cell r="Q252" t="str">
            <v>40</v>
          </cell>
        </row>
        <row r="252">
          <cell r="U252" t="str">
            <v>010000940509</v>
          </cell>
          <cell r="V252" t="str">
            <v>BIAOQIAN1</v>
          </cell>
          <cell r="W252" t="str">
            <v/>
          </cell>
          <cell r="X252" t="str">
            <v/>
          </cell>
          <cell r="Y252" t="str">
            <v/>
          </cell>
          <cell r="Z252" t="str">
            <v>1902</v>
          </cell>
          <cell r="AA252" t="str">
            <v>1100163326</v>
          </cell>
          <cell r="AB252">
            <v>8</v>
          </cell>
          <cell r="AC252" t="str">
            <v/>
          </cell>
          <cell r="AD252">
            <v>115.4</v>
          </cell>
          <cell r="AE252" t="str">
            <v>G-100015358-260408-0115</v>
          </cell>
        </row>
        <row r="253">
          <cell r="B253" t="str">
            <v>7101105908</v>
          </cell>
          <cell r="C253" t="str">
            <v>G2303-0881</v>
          </cell>
          <cell r="D253" t="str">
            <v>000042944999008886</v>
          </cell>
          <cell r="E253" t="str">
            <v>钢索</v>
          </cell>
          <cell r="F253" t="str">
            <v>S18.00.8039</v>
          </cell>
          <cell r="G253" t="str">
            <v>-</v>
          </cell>
          <cell r="H253" t="str">
            <v/>
          </cell>
          <cell r="I253" t="str">
            <v/>
          </cell>
          <cell r="J253" t="str">
            <v>组件</v>
          </cell>
          <cell r="K253">
            <v>88</v>
          </cell>
          <cell r="L253">
            <v>46135</v>
          </cell>
          <cell r="M253" t="str">
            <v>0-初始未打印</v>
          </cell>
        </row>
        <row r="253">
          <cell r="O253">
            <v>0</v>
          </cell>
          <cell r="P253" t="str">
            <v>中国航发航空科技股份有限公司</v>
          </cell>
          <cell r="Q253" t="str">
            <v>970</v>
          </cell>
        </row>
        <row r="253">
          <cell r="U253" t="str">
            <v>010000582574</v>
          </cell>
          <cell r="V253" t="str">
            <v/>
          </cell>
          <cell r="W253" t="str">
            <v/>
          </cell>
          <cell r="X253" t="str">
            <v>CP-108-A/CP-26-5-1-2</v>
          </cell>
          <cell r="Y253" t="str">
            <v/>
          </cell>
          <cell r="Z253" t="str">
            <v>1902</v>
          </cell>
          <cell r="AA253" t="str">
            <v>1100108189</v>
          </cell>
          <cell r="AB253">
            <v>175</v>
          </cell>
          <cell r="AC253" t="str">
            <v/>
          </cell>
          <cell r="AD253">
            <v>454.56</v>
          </cell>
          <cell r="AE253" t="str">
            <v>G0552-221228-352-4</v>
          </cell>
        </row>
        <row r="254">
          <cell r="B254" t="str">
            <v>7101106009</v>
          </cell>
          <cell r="C254" t="str">
            <v>G2604-1878</v>
          </cell>
          <cell r="D254" t="str">
            <v>000042944240173298</v>
          </cell>
          <cell r="E254" t="str">
            <v>带齿形环螺桩</v>
          </cell>
          <cell r="F254" t="str">
            <v>SPS3011(商发)</v>
          </cell>
          <cell r="G254" t="str">
            <v>CE3011-079-191</v>
          </cell>
          <cell r="H254" t="str">
            <v/>
          </cell>
          <cell r="I254" t="str">
            <v/>
          </cell>
          <cell r="J254" t="str">
            <v>组件</v>
          </cell>
          <cell r="K254">
            <v>12</v>
          </cell>
          <cell r="L254">
            <v>46135</v>
          </cell>
          <cell r="M254" t="str">
            <v>3-配货完成</v>
          </cell>
        </row>
        <row r="254">
          <cell r="O254">
            <v>0</v>
          </cell>
          <cell r="P254" t="str">
            <v>中国航发航空科技股份有限公司</v>
          </cell>
          <cell r="Q254" t="str">
            <v>30</v>
          </cell>
        </row>
        <row r="254">
          <cell r="U254" t="str">
            <v>010000940512</v>
          </cell>
          <cell r="V254" t="str">
            <v>BIAOQIAN2</v>
          </cell>
          <cell r="W254" t="str">
            <v/>
          </cell>
          <cell r="X254" t="str">
            <v>CP-108-A</v>
          </cell>
          <cell r="Y254" t="str">
            <v/>
          </cell>
          <cell r="Z254" t="str">
            <v>1902</v>
          </cell>
          <cell r="AA254" t="str">
            <v>1100163326</v>
          </cell>
          <cell r="AB254">
            <v>12</v>
          </cell>
          <cell r="AC254" t="str">
            <v/>
          </cell>
          <cell r="AD254">
            <v>86</v>
          </cell>
          <cell r="AE254" t="str">
            <v>G-100015358-260408-0115</v>
          </cell>
        </row>
        <row r="255">
          <cell r="B255" t="str">
            <v>7101106283</v>
          </cell>
          <cell r="C255" t="str">
            <v>G2604-1881</v>
          </cell>
          <cell r="D255" t="str">
            <v>000042944039172940</v>
          </cell>
          <cell r="E255" t="str">
            <v>小型和轻型由键固定的螺纹锁紧螺套</v>
          </cell>
          <cell r="F255" t="str">
            <v>MS51830(商发)</v>
          </cell>
          <cell r="G255" t="str">
            <v>MS51830CA206L</v>
          </cell>
          <cell r="H255" t="str">
            <v/>
          </cell>
          <cell r="I255" t="str">
            <v/>
          </cell>
          <cell r="J255" t="str">
            <v>组件</v>
          </cell>
          <cell r="K255">
            <v>4</v>
          </cell>
          <cell r="L255">
            <v>46135</v>
          </cell>
          <cell r="M255" t="str">
            <v>4-检验完成</v>
          </cell>
        </row>
        <row r="255">
          <cell r="O255">
            <v>0</v>
          </cell>
          <cell r="P255" t="str">
            <v>中国航发航空科技股份有限公司</v>
          </cell>
          <cell r="Q255" t="str">
            <v>430</v>
          </cell>
          <cell r="R255">
            <v>46139</v>
          </cell>
        </row>
        <row r="255">
          <cell r="U255" t="str">
            <v>010000940161</v>
          </cell>
          <cell r="V255" t="str">
            <v>BIAOQIAN3</v>
          </cell>
          <cell r="W255" t="str">
            <v/>
          </cell>
          <cell r="X255" t="str">
            <v/>
          </cell>
          <cell r="Y255" t="str">
            <v/>
          </cell>
          <cell r="Z255" t="str">
            <v>1902</v>
          </cell>
          <cell r="AA255" t="str">
            <v>1100163336</v>
          </cell>
          <cell r="AB255">
            <v>4</v>
          </cell>
          <cell r="AC255" t="str">
            <v/>
          </cell>
          <cell r="AD255">
            <v>107</v>
          </cell>
          <cell r="AE255" t="str">
            <v>G-100015358-260407-0112</v>
          </cell>
        </row>
        <row r="256">
          <cell r="B256" t="str">
            <v>7101106481</v>
          </cell>
          <cell r="C256" t="str">
            <v>G12604-028</v>
          </cell>
          <cell r="D256" t="str">
            <v>000042944401000397</v>
          </cell>
          <cell r="E256" t="str">
            <v>平垫圈</v>
          </cell>
          <cell r="F256" t="str">
            <v>GB/T97.1-2002</v>
          </cell>
          <cell r="G256" t="str">
            <v>4</v>
          </cell>
          <cell r="H256" t="str">
            <v>200HV</v>
          </cell>
          <cell r="I256" t="str">
            <v>ECP</v>
          </cell>
          <cell r="J256" t="str">
            <v>1Cr18Ni9Ti</v>
          </cell>
          <cell r="K256">
            <v>8</v>
          </cell>
          <cell r="L256">
            <v>46135</v>
          </cell>
          <cell r="M256" t="str">
            <v>3-配货完成</v>
          </cell>
        </row>
        <row r="256">
          <cell r="O256">
            <v>0</v>
          </cell>
          <cell r="P256" t="str">
            <v>中国航发航空科技股份有限公司</v>
          </cell>
          <cell r="Q256" t="str">
            <v>20</v>
          </cell>
        </row>
        <row r="256">
          <cell r="U256" t="str">
            <v/>
          </cell>
          <cell r="V256" t="str">
            <v>BIAOQIAN2</v>
          </cell>
          <cell r="W256" t="str">
            <v/>
          </cell>
          <cell r="X256" t="str">
            <v>XH-000</v>
          </cell>
          <cell r="Y256" t="str">
            <v/>
          </cell>
          <cell r="Z256" t="str">
            <v>1902</v>
          </cell>
          <cell r="AA256" t="str">
            <v>1100162972</v>
          </cell>
          <cell r="AB256">
            <v>8</v>
          </cell>
          <cell r="AC256" t="str">
            <v/>
          </cell>
          <cell r="AD256">
            <v>0.96</v>
          </cell>
          <cell r="AE256" t="str">
            <v>G-100015358-260407-0106-1-H-XH</v>
          </cell>
        </row>
        <row r="257">
          <cell r="B257" t="str">
            <v>7101106812</v>
          </cell>
          <cell r="C257" t="str">
            <v>G12604-043</v>
          </cell>
          <cell r="D257" t="str">
            <v>000042944439002586</v>
          </cell>
          <cell r="E257" t="str">
            <v>垫圈</v>
          </cell>
          <cell r="F257" t="str">
            <v>HB1-521FA-2002</v>
          </cell>
          <cell r="G257" t="str">
            <v>6×12×1.5</v>
          </cell>
          <cell r="H257" t="str">
            <v/>
          </cell>
          <cell r="I257" t="str">
            <v/>
          </cell>
          <cell r="J257" t="str">
            <v>1Cr18Ni9Ti</v>
          </cell>
          <cell r="K257">
            <v>288</v>
          </cell>
          <cell r="L257">
            <v>46136</v>
          </cell>
          <cell r="M257" t="str">
            <v>3-配货完成</v>
          </cell>
        </row>
        <row r="257">
          <cell r="O257">
            <v>0</v>
          </cell>
          <cell r="P257" t="str">
            <v>中国航发航空科技股份有限公司</v>
          </cell>
          <cell r="Q257" t="str">
            <v>30</v>
          </cell>
        </row>
        <row r="257">
          <cell r="U257" t="str">
            <v/>
          </cell>
          <cell r="V257" t="str">
            <v>BIAOQIAN3</v>
          </cell>
          <cell r="W257" t="str">
            <v/>
          </cell>
          <cell r="X257" t="str">
            <v>XH-000</v>
          </cell>
          <cell r="Y257" t="str">
            <v/>
          </cell>
          <cell r="Z257" t="str">
            <v>1902</v>
          </cell>
          <cell r="AA257" t="str">
            <v>1100162972</v>
          </cell>
          <cell r="AB257">
            <v>288</v>
          </cell>
          <cell r="AC257" t="str">
            <v/>
          </cell>
          <cell r="AD257">
            <v>0.9</v>
          </cell>
          <cell r="AE257" t="str">
            <v>G-100015358-260407-0106-1-H-XH</v>
          </cell>
        </row>
        <row r="258">
          <cell r="B258" t="str">
            <v>7101106854</v>
          </cell>
          <cell r="C258" t="str">
            <v>G2604-1685</v>
          </cell>
          <cell r="D258" t="str">
            <v>000042944319095122</v>
          </cell>
          <cell r="E258" t="str">
            <v>螺母</v>
          </cell>
          <cell r="F258" t="str">
            <v>S18.48.5038</v>
          </cell>
          <cell r="G258" t="str">
            <v>-</v>
          </cell>
          <cell r="H258" t="str">
            <v>d=3.1-3.45</v>
          </cell>
          <cell r="I258" t="str">
            <v>Ep·Cu3·P</v>
          </cell>
          <cell r="J258" t="str">
            <v>13Cr11Ni2W2MoV</v>
          </cell>
          <cell r="K258">
            <v>5</v>
          </cell>
          <cell r="L258">
            <v>46136</v>
          </cell>
          <cell r="M258" t="str">
            <v>3-配货完成</v>
          </cell>
        </row>
        <row r="258">
          <cell r="O258">
            <v>0</v>
          </cell>
          <cell r="P258" t="str">
            <v>中国航发航空科技股份有限公司</v>
          </cell>
          <cell r="Q258" t="str">
            <v>50</v>
          </cell>
        </row>
        <row r="258">
          <cell r="U258" t="str">
            <v>010000940137</v>
          </cell>
          <cell r="V258" t="str">
            <v>BIAOQIAN3</v>
          </cell>
          <cell r="W258" t="str">
            <v/>
          </cell>
          <cell r="X258" t="str">
            <v>CP-108-A</v>
          </cell>
          <cell r="Y258" t="str">
            <v/>
          </cell>
          <cell r="Z258" t="str">
            <v>1902</v>
          </cell>
          <cell r="AA258" t="str">
            <v>1100163357</v>
          </cell>
          <cell r="AB258">
            <v>5</v>
          </cell>
          <cell r="AC258" t="str">
            <v/>
          </cell>
          <cell r="AD258">
            <v>160.1</v>
          </cell>
          <cell r="AE258" t="str">
            <v>G-100015358-260411-0119XH</v>
          </cell>
        </row>
        <row r="259">
          <cell r="B259" t="str">
            <v>7101107523</v>
          </cell>
          <cell r="C259" t="str">
            <v>G2503-1153</v>
          </cell>
          <cell r="D259" t="str">
            <v>000042944160114866</v>
          </cell>
          <cell r="E259" t="str">
            <v>螺钉,小十二角头,带减轻孔,MJ螺纹,螺纹公差带4h6h,材</v>
          </cell>
          <cell r="F259" t="str">
            <v>Q/S15.1010-2020</v>
          </cell>
          <cell r="G259" t="str">
            <v>6-24</v>
          </cell>
          <cell r="H259" t="str">
            <v>σb=1100-1250MPa</v>
          </cell>
          <cell r="I259" t="str">
            <v>脉冲阳极化</v>
          </cell>
          <cell r="J259" t="str">
            <v>TC4</v>
          </cell>
          <cell r="K259">
            <v>4</v>
          </cell>
          <cell r="L259">
            <v>46137</v>
          </cell>
          <cell r="M259" t="str">
            <v>3-配货完成</v>
          </cell>
        </row>
        <row r="259">
          <cell r="O259">
            <v>0</v>
          </cell>
          <cell r="P259" t="str">
            <v>中国航发航空科技股份有限公司</v>
          </cell>
          <cell r="Q259" t="str">
            <v>10</v>
          </cell>
        </row>
        <row r="259">
          <cell r="U259" t="str">
            <v>010000795489</v>
          </cell>
          <cell r="V259" t="str">
            <v>BIAOQIAN4</v>
          </cell>
          <cell r="W259" t="str">
            <v/>
          </cell>
          <cell r="X259" t="str">
            <v>CP-20-3-2-6</v>
          </cell>
          <cell r="Y259" t="str">
            <v/>
          </cell>
          <cell r="Z259" t="str">
            <v>1902</v>
          </cell>
          <cell r="AA259" t="str">
            <v>1400005541</v>
          </cell>
          <cell r="AB259">
            <v>4</v>
          </cell>
          <cell r="AC259" t="str">
            <v/>
          </cell>
          <cell r="AD259">
            <v>0</v>
          </cell>
          <cell r="AE259" t="str">
            <v>G-100015358-260424-0139XH</v>
          </cell>
        </row>
        <row r="260">
          <cell r="B260" t="str">
            <v>7101107527</v>
          </cell>
          <cell r="C260" t="str">
            <v>G02604-112</v>
          </cell>
          <cell r="D260" t="str">
            <v>000042944360002341</v>
          </cell>
          <cell r="E260" t="str">
            <v>开口销</v>
          </cell>
          <cell r="F260" t="str">
            <v>GB/T91-2000</v>
          </cell>
          <cell r="G260" t="str">
            <v>1.6×20</v>
          </cell>
          <cell r="H260" t="str">
            <v/>
          </cell>
          <cell r="I260" t="str">
            <v>ECP</v>
          </cell>
          <cell r="J260" t="str">
            <v>0Cr18Ni9</v>
          </cell>
          <cell r="K260">
            <v>38</v>
          </cell>
          <cell r="L260">
            <v>46137</v>
          </cell>
          <cell r="M260" t="str">
            <v>3-配货完成</v>
          </cell>
        </row>
        <row r="260">
          <cell r="O260">
            <v>0</v>
          </cell>
          <cell r="P260" t="str">
            <v>中国航发航空科技股份有限公司</v>
          </cell>
          <cell r="Q260" t="str">
            <v>50</v>
          </cell>
        </row>
        <row r="260">
          <cell r="U260" t="str">
            <v>010000941248</v>
          </cell>
          <cell r="V260" t="str">
            <v>BIAOQIAN2</v>
          </cell>
          <cell r="W260" t="str">
            <v/>
          </cell>
          <cell r="X260" t="str">
            <v>CP-108-A</v>
          </cell>
          <cell r="Y260" t="str">
            <v/>
          </cell>
          <cell r="Z260" t="str">
            <v>1902</v>
          </cell>
          <cell r="AA260" t="str">
            <v>1100160304</v>
          </cell>
          <cell r="AB260">
            <v>38</v>
          </cell>
          <cell r="AC260" t="str">
            <v/>
          </cell>
          <cell r="AD260">
            <v>8</v>
          </cell>
          <cell r="AE260" t="str">
            <v>G-100015358-260202-0029</v>
          </cell>
        </row>
        <row r="261">
          <cell r="B261" t="str">
            <v>7101107590</v>
          </cell>
          <cell r="C261" t="str">
            <v>G02604-104</v>
          </cell>
          <cell r="D261" t="str">
            <v>000042944360002536</v>
          </cell>
          <cell r="E261" t="str">
            <v>开口销</v>
          </cell>
          <cell r="F261" t="str">
            <v>GB/T91-2000</v>
          </cell>
          <cell r="G261" t="str">
            <v>2×30</v>
          </cell>
          <cell r="H261" t="str">
            <v/>
          </cell>
          <cell r="I261" t="str">
            <v>ECP</v>
          </cell>
          <cell r="J261" t="str">
            <v>1Cr18Ni9Ti</v>
          </cell>
          <cell r="K261">
            <v>85</v>
          </cell>
          <cell r="L261">
            <v>46137</v>
          </cell>
          <cell r="M261" t="str">
            <v>3-配货完成</v>
          </cell>
        </row>
        <row r="261">
          <cell r="O261">
            <v>0</v>
          </cell>
          <cell r="P261" t="str">
            <v>中国航发航空科技股份有限公司</v>
          </cell>
          <cell r="Q261" t="str">
            <v>100</v>
          </cell>
        </row>
        <row r="261">
          <cell r="U261" t="str">
            <v>010000941240</v>
          </cell>
          <cell r="V261" t="str">
            <v>BIAOQIAN2</v>
          </cell>
          <cell r="W261" t="str">
            <v/>
          </cell>
          <cell r="X261" t="str">
            <v>CP-108-A</v>
          </cell>
          <cell r="Y261" t="str">
            <v/>
          </cell>
          <cell r="Z261" t="str">
            <v>1902</v>
          </cell>
          <cell r="AA261" t="str">
            <v>1100160304</v>
          </cell>
          <cell r="AB261">
            <v>85</v>
          </cell>
          <cell r="AC261" t="str">
            <v/>
          </cell>
          <cell r="AD261">
            <v>8</v>
          </cell>
          <cell r="AE261" t="str">
            <v>G-100015358-260202-0029</v>
          </cell>
        </row>
        <row r="262">
          <cell r="B262" t="str">
            <v>7101107674</v>
          </cell>
          <cell r="C262" t="str">
            <v>G2603-1337</v>
          </cell>
          <cell r="D262" t="str">
            <v>000042944999095565</v>
          </cell>
          <cell r="E262" t="str">
            <v>衬套</v>
          </cell>
          <cell r="F262" t="str">
            <v>DFT1.71.788</v>
          </cell>
          <cell r="G262" t="str">
            <v>-</v>
          </cell>
          <cell r="H262" t="str">
            <v/>
          </cell>
          <cell r="I262" t="str">
            <v>重铬酸盐钝化</v>
          </cell>
          <cell r="J262" t="str">
            <v>QAl10-4-4</v>
          </cell>
          <cell r="K262">
            <v>47</v>
          </cell>
          <cell r="L262">
            <v>46137</v>
          </cell>
          <cell r="M262" t="str">
            <v>3-配货完成</v>
          </cell>
        </row>
        <row r="262">
          <cell r="O262">
            <v>0</v>
          </cell>
          <cell r="P262" t="str">
            <v>中国航发航空科技股份有限公司</v>
          </cell>
          <cell r="Q262" t="str">
            <v>110</v>
          </cell>
        </row>
        <row r="262">
          <cell r="U262" t="str">
            <v>010000927273</v>
          </cell>
          <cell r="V262" t="str">
            <v>BIAOQIAN3</v>
          </cell>
          <cell r="W262" t="str">
            <v/>
          </cell>
          <cell r="X262" t="str">
            <v>CP-108-A</v>
          </cell>
          <cell r="Y262" t="str">
            <v/>
          </cell>
          <cell r="Z262" t="str">
            <v>1902</v>
          </cell>
          <cell r="AA262" t="str">
            <v>1100161667</v>
          </cell>
          <cell r="AB262">
            <v>65</v>
          </cell>
          <cell r="AC262" t="str">
            <v/>
          </cell>
          <cell r="AD262">
            <v>65</v>
          </cell>
          <cell r="AE262" t="str">
            <v>G-100015358-260312-0072</v>
          </cell>
        </row>
        <row r="263">
          <cell r="B263" t="str">
            <v>7101107777</v>
          </cell>
          <cell r="C263" t="str">
            <v>G2603-1561</v>
          </cell>
          <cell r="D263" t="str">
            <v>000042944319171595</v>
          </cell>
          <cell r="E263" t="str">
            <v>保持式管接头用螺母</v>
          </cell>
          <cell r="F263" t="str">
            <v>AS4370</v>
          </cell>
          <cell r="G263" t="str">
            <v>S08-NL</v>
          </cell>
          <cell r="H263" t="str">
            <v/>
          </cell>
          <cell r="I263" t="str">
            <v>钝化+涂固体膜润滑</v>
          </cell>
          <cell r="J263" t="str">
            <v>AISI347</v>
          </cell>
          <cell r="K263">
            <v>5</v>
          </cell>
          <cell r="L263">
            <v>46137</v>
          </cell>
          <cell r="M263" t="str">
            <v>3-配货完成</v>
          </cell>
        </row>
        <row r="263">
          <cell r="O263">
            <v>0</v>
          </cell>
          <cell r="P263" t="str">
            <v>中国航发航空科技股份有限公司</v>
          </cell>
          <cell r="Q263" t="str">
            <v>100</v>
          </cell>
        </row>
        <row r="263">
          <cell r="U263" t="str">
            <v>010000928542</v>
          </cell>
          <cell r="V263" t="str">
            <v>BIAOQIAN2</v>
          </cell>
          <cell r="W263" t="str">
            <v/>
          </cell>
          <cell r="X263" t="str">
            <v>CP-108-A</v>
          </cell>
          <cell r="Y263" t="str">
            <v/>
          </cell>
          <cell r="Z263" t="str">
            <v>1902</v>
          </cell>
          <cell r="AA263" t="str">
            <v>1100161718</v>
          </cell>
          <cell r="AB263">
            <v>5</v>
          </cell>
          <cell r="AC263" t="str">
            <v/>
          </cell>
          <cell r="AD263">
            <v>128</v>
          </cell>
          <cell r="AE263" t="str">
            <v>G-100015358-260312-0075</v>
          </cell>
        </row>
        <row r="264">
          <cell r="B264" t="str">
            <v>7101107777</v>
          </cell>
          <cell r="C264" t="str">
            <v>G2603-1561</v>
          </cell>
          <cell r="D264" t="str">
            <v>000042944319171595</v>
          </cell>
          <cell r="E264" t="str">
            <v>保持式管接头用螺母</v>
          </cell>
          <cell r="F264" t="str">
            <v>AS4370</v>
          </cell>
          <cell r="G264" t="str">
            <v>S08-NL</v>
          </cell>
          <cell r="H264" t="str">
            <v/>
          </cell>
          <cell r="I264" t="str">
            <v>钝化+涂固体膜润滑</v>
          </cell>
          <cell r="J264" t="str">
            <v>AISI347</v>
          </cell>
          <cell r="K264">
            <v>12</v>
          </cell>
          <cell r="L264">
            <v>46137</v>
          </cell>
          <cell r="M264" t="str">
            <v>3-配货完成</v>
          </cell>
        </row>
        <row r="264">
          <cell r="O264">
            <v>0</v>
          </cell>
          <cell r="P264" t="str">
            <v>中国航发航空科技股份有限公司</v>
          </cell>
          <cell r="Q264" t="str">
            <v>180</v>
          </cell>
        </row>
        <row r="264">
          <cell r="U264" t="str">
            <v>010000928542</v>
          </cell>
          <cell r="V264" t="str">
            <v>BIAOQIAN2</v>
          </cell>
          <cell r="W264" t="str">
            <v/>
          </cell>
          <cell r="X264" t="str">
            <v>CP-108-A</v>
          </cell>
          <cell r="Y264" t="str">
            <v/>
          </cell>
          <cell r="Z264" t="str">
            <v>1902</v>
          </cell>
          <cell r="AA264" t="str">
            <v>1100161718</v>
          </cell>
          <cell r="AB264">
            <v>12</v>
          </cell>
          <cell r="AC264" t="str">
            <v/>
          </cell>
          <cell r="AD264">
            <v>128</v>
          </cell>
          <cell r="AE264" t="str">
            <v>G-100015358-260312-0075</v>
          </cell>
        </row>
        <row r="265">
          <cell r="B265" t="str">
            <v>7101107777</v>
          </cell>
          <cell r="C265" t="str">
            <v>G2603-1561</v>
          </cell>
          <cell r="D265" t="str">
            <v>000042944319171595</v>
          </cell>
          <cell r="E265" t="str">
            <v>保持式管接头用螺母</v>
          </cell>
          <cell r="F265" t="str">
            <v>AS4370</v>
          </cell>
          <cell r="G265" t="str">
            <v>S08-NL</v>
          </cell>
          <cell r="H265" t="str">
            <v/>
          </cell>
          <cell r="I265" t="str">
            <v>钝化+涂固体膜润滑</v>
          </cell>
          <cell r="J265" t="str">
            <v>AISI347</v>
          </cell>
          <cell r="K265">
            <v>5</v>
          </cell>
          <cell r="L265">
            <v>46137</v>
          </cell>
          <cell r="M265" t="str">
            <v>3-配货完成</v>
          </cell>
        </row>
        <row r="265">
          <cell r="O265">
            <v>0</v>
          </cell>
          <cell r="P265" t="str">
            <v>中国航发航空科技股份有限公司</v>
          </cell>
          <cell r="Q265" t="str">
            <v>320</v>
          </cell>
        </row>
        <row r="265">
          <cell r="U265" t="str">
            <v>010000928542</v>
          </cell>
          <cell r="V265" t="str">
            <v>BIAOQIAN2</v>
          </cell>
          <cell r="W265" t="str">
            <v/>
          </cell>
          <cell r="X265" t="str">
            <v>CP-108-A</v>
          </cell>
          <cell r="Y265" t="str">
            <v/>
          </cell>
          <cell r="Z265" t="str">
            <v>1902</v>
          </cell>
          <cell r="AA265" t="str">
            <v>1100161718</v>
          </cell>
          <cell r="AB265">
            <v>5</v>
          </cell>
          <cell r="AC265" t="str">
            <v/>
          </cell>
          <cell r="AD265">
            <v>128</v>
          </cell>
          <cell r="AE265" t="str">
            <v>G-100015358-260312-0075</v>
          </cell>
        </row>
        <row r="266">
          <cell r="B266" t="str">
            <v>7101107777</v>
          </cell>
          <cell r="C266" t="str">
            <v>G2603-1561</v>
          </cell>
          <cell r="D266" t="str">
            <v>000042944319171595</v>
          </cell>
          <cell r="E266" t="str">
            <v>保持式管接头用螺母</v>
          </cell>
          <cell r="F266" t="str">
            <v>AS4370</v>
          </cell>
          <cell r="G266" t="str">
            <v>S08-NL</v>
          </cell>
          <cell r="H266" t="str">
            <v/>
          </cell>
          <cell r="I266" t="str">
            <v>钝化+涂固体膜润滑</v>
          </cell>
          <cell r="J266" t="str">
            <v>AISI347</v>
          </cell>
          <cell r="K266">
            <v>12</v>
          </cell>
          <cell r="L266">
            <v>46137</v>
          </cell>
          <cell r="M266" t="str">
            <v>3-配货完成</v>
          </cell>
        </row>
        <row r="266">
          <cell r="O266">
            <v>0</v>
          </cell>
          <cell r="P266" t="str">
            <v>中国航发航空科技股份有限公司</v>
          </cell>
          <cell r="Q266" t="str">
            <v>390</v>
          </cell>
        </row>
        <row r="266">
          <cell r="U266" t="str">
            <v>010000928542</v>
          </cell>
          <cell r="V266" t="str">
            <v>BIAOQIAN2</v>
          </cell>
          <cell r="W266" t="str">
            <v/>
          </cell>
          <cell r="X266" t="str">
            <v>CP-108-A</v>
          </cell>
          <cell r="Y266" t="str">
            <v/>
          </cell>
          <cell r="Z266" t="str">
            <v>1902</v>
          </cell>
          <cell r="AA266" t="str">
            <v>1100161718</v>
          </cell>
          <cell r="AB266">
            <v>12</v>
          </cell>
          <cell r="AC266" t="str">
            <v/>
          </cell>
          <cell r="AD266">
            <v>128</v>
          </cell>
          <cell r="AE266" t="str">
            <v>G-100015358-260312-0075</v>
          </cell>
        </row>
        <row r="267">
          <cell r="B267" t="str">
            <v>7101107779</v>
          </cell>
          <cell r="C267" t="str">
            <v>G02604-103</v>
          </cell>
          <cell r="D267" t="str">
            <v>000042944360002398</v>
          </cell>
          <cell r="E267" t="str">
            <v>开口销</v>
          </cell>
          <cell r="F267" t="str">
            <v>GB/T91-2000</v>
          </cell>
          <cell r="G267" t="str">
            <v>1×8</v>
          </cell>
          <cell r="H267" t="str">
            <v/>
          </cell>
          <cell r="I267" t="str">
            <v>ECP</v>
          </cell>
          <cell r="J267" t="str">
            <v>1Cr18Ni9Ti</v>
          </cell>
          <cell r="K267">
            <v>10</v>
          </cell>
          <cell r="L267">
            <v>46137</v>
          </cell>
          <cell r="M267" t="str">
            <v>3-配货完成</v>
          </cell>
        </row>
        <row r="267">
          <cell r="O267">
            <v>0</v>
          </cell>
          <cell r="P267" t="str">
            <v>中国航发航空科技股份有限公司</v>
          </cell>
          <cell r="Q267" t="str">
            <v>160</v>
          </cell>
        </row>
        <row r="267">
          <cell r="U267" t="str">
            <v>010000941199</v>
          </cell>
          <cell r="V267" t="str">
            <v>BIAOQIAN2</v>
          </cell>
          <cell r="W267" t="str">
            <v/>
          </cell>
          <cell r="X267" t="str">
            <v>CP-108-A</v>
          </cell>
          <cell r="Y267" t="str">
            <v/>
          </cell>
          <cell r="Z267" t="str">
            <v>1902</v>
          </cell>
          <cell r="AA267" t="str">
            <v>1100160304</v>
          </cell>
          <cell r="AB267">
            <v>10</v>
          </cell>
          <cell r="AC267" t="str">
            <v/>
          </cell>
          <cell r="AD267">
            <v>3</v>
          </cell>
          <cell r="AE267" t="str">
            <v>G-100015358-260202-0029</v>
          </cell>
        </row>
        <row r="268">
          <cell r="B268" t="str">
            <v>7101108134</v>
          </cell>
          <cell r="C268" t="str">
            <v>G2601-2607</v>
          </cell>
          <cell r="D268" t="str">
            <v>000042944999135634</v>
          </cell>
          <cell r="E268" t="str">
            <v>小型和轻型由键固定的螺纹锁紧螺套</v>
          </cell>
          <cell r="F268" t="str">
            <v>MS51830(G版)</v>
          </cell>
          <cell r="G268" t="str">
            <v>CA201L</v>
          </cell>
          <cell r="H268" t="str">
            <v/>
          </cell>
          <cell r="I268" t="str">
            <v/>
          </cell>
          <cell r="J268" t="str">
            <v>组件</v>
          </cell>
          <cell r="K268">
            <v>48</v>
          </cell>
          <cell r="L268">
            <v>46137</v>
          </cell>
          <cell r="M268" t="str">
            <v>4-检验完成</v>
          </cell>
        </row>
        <row r="268">
          <cell r="O268">
            <v>0</v>
          </cell>
          <cell r="P268" t="str">
            <v>中国航发航空科技股份有限公司</v>
          </cell>
          <cell r="Q268" t="str">
            <v>340</v>
          </cell>
          <cell r="R268">
            <v>46137</v>
          </cell>
        </row>
        <row r="268">
          <cell r="U268" t="str">
            <v>010000909698</v>
          </cell>
          <cell r="V268" t="str">
            <v>BIAOQIAN4</v>
          </cell>
          <cell r="W268" t="str">
            <v/>
          </cell>
          <cell r="X268" t="str">
            <v>CP-108-A</v>
          </cell>
          <cell r="Y268" t="str">
            <v/>
          </cell>
          <cell r="Z268" t="str">
            <v>1902</v>
          </cell>
          <cell r="AA268" t="str">
            <v>1100160709</v>
          </cell>
          <cell r="AB268">
            <v>48</v>
          </cell>
          <cell r="AC268" t="str">
            <v/>
          </cell>
          <cell r="AD268">
            <v>107</v>
          </cell>
          <cell r="AE268" t="str">
            <v>G-100015358-260206-0033</v>
          </cell>
        </row>
        <row r="269">
          <cell r="B269" t="str">
            <v>7101108134</v>
          </cell>
          <cell r="C269" t="str">
            <v>G2601-2607</v>
          </cell>
          <cell r="D269" t="str">
            <v>000042944999135634</v>
          </cell>
          <cell r="E269" t="str">
            <v>小型和轻型由键固定的螺纹锁紧螺套</v>
          </cell>
          <cell r="F269" t="str">
            <v>MS51830(G版)</v>
          </cell>
          <cell r="G269" t="str">
            <v>CA201L</v>
          </cell>
          <cell r="H269" t="str">
            <v/>
          </cell>
          <cell r="I269" t="str">
            <v/>
          </cell>
          <cell r="J269" t="str">
            <v>组件</v>
          </cell>
          <cell r="K269">
            <v>52</v>
          </cell>
          <cell r="L269">
            <v>46137</v>
          </cell>
          <cell r="M269" t="str">
            <v>4-检验完成</v>
          </cell>
        </row>
        <row r="269">
          <cell r="O269">
            <v>0</v>
          </cell>
          <cell r="P269" t="str">
            <v>中国航发航空科技股份有限公司</v>
          </cell>
          <cell r="Q269" t="str">
            <v>350</v>
          </cell>
          <cell r="R269">
            <v>46137</v>
          </cell>
        </row>
        <row r="269">
          <cell r="U269" t="str">
            <v>010000909698</v>
          </cell>
          <cell r="V269" t="str">
            <v>BIAOQIAN4</v>
          </cell>
          <cell r="W269" t="str">
            <v/>
          </cell>
          <cell r="X269" t="str">
            <v>CP-108-A</v>
          </cell>
          <cell r="Y269" t="str">
            <v/>
          </cell>
          <cell r="Z269" t="str">
            <v>1902</v>
          </cell>
          <cell r="AA269" t="str">
            <v>1100160709</v>
          </cell>
          <cell r="AB269">
            <v>52</v>
          </cell>
          <cell r="AC269" t="str">
            <v/>
          </cell>
          <cell r="AD269">
            <v>107</v>
          </cell>
          <cell r="AE269" t="str">
            <v>G-100015358-260206-0033</v>
          </cell>
        </row>
        <row r="270">
          <cell r="B270" t="str">
            <v>7101108134</v>
          </cell>
          <cell r="C270" t="str">
            <v>G2601-2607</v>
          </cell>
          <cell r="D270" t="str">
            <v>000042944999135634</v>
          </cell>
          <cell r="E270" t="str">
            <v>小型和轻型由键固定的螺纹锁紧螺套</v>
          </cell>
          <cell r="F270" t="str">
            <v>MS51830(G版)</v>
          </cell>
          <cell r="G270" t="str">
            <v>CA201L</v>
          </cell>
          <cell r="H270" t="str">
            <v/>
          </cell>
          <cell r="I270" t="str">
            <v/>
          </cell>
          <cell r="J270" t="str">
            <v>组件</v>
          </cell>
          <cell r="K270">
            <v>52</v>
          </cell>
          <cell r="L270">
            <v>46137</v>
          </cell>
          <cell r="M270" t="str">
            <v>4-检验完成</v>
          </cell>
        </row>
        <row r="270">
          <cell r="O270">
            <v>0</v>
          </cell>
          <cell r="P270" t="str">
            <v>中国航发航空科技股份有限公司</v>
          </cell>
          <cell r="Q270" t="str">
            <v>360</v>
          </cell>
          <cell r="R270">
            <v>46137</v>
          </cell>
        </row>
        <row r="270">
          <cell r="U270" t="str">
            <v>010000909698</v>
          </cell>
          <cell r="V270" t="str">
            <v>BIAOQIAN4</v>
          </cell>
          <cell r="W270" t="str">
            <v/>
          </cell>
          <cell r="X270" t="str">
            <v>CP-108-A</v>
          </cell>
          <cell r="Y270" t="str">
            <v/>
          </cell>
          <cell r="Z270" t="str">
            <v>1902</v>
          </cell>
          <cell r="AA270" t="str">
            <v>1100160709</v>
          </cell>
          <cell r="AB270">
            <v>52</v>
          </cell>
          <cell r="AC270" t="str">
            <v/>
          </cell>
          <cell r="AD270">
            <v>107</v>
          </cell>
          <cell r="AE270" t="str">
            <v>G-100015358-260206-0033</v>
          </cell>
        </row>
        <row r="271">
          <cell r="B271" t="str">
            <v>7101108136</v>
          </cell>
          <cell r="C271" t="str">
            <v>G2601-2607</v>
          </cell>
          <cell r="D271" t="str">
            <v>000042944999135634</v>
          </cell>
          <cell r="E271" t="str">
            <v>小型和轻型由键固定的螺纹锁紧螺套</v>
          </cell>
          <cell r="F271" t="str">
            <v>MS51830(G版)</v>
          </cell>
          <cell r="G271" t="str">
            <v>CA201L</v>
          </cell>
          <cell r="H271" t="str">
            <v/>
          </cell>
          <cell r="I271" t="str">
            <v/>
          </cell>
          <cell r="J271" t="str">
            <v>组件</v>
          </cell>
          <cell r="K271">
            <v>4</v>
          </cell>
          <cell r="L271">
            <v>46137</v>
          </cell>
          <cell r="M271" t="str">
            <v>4-检验完成</v>
          </cell>
        </row>
        <row r="271">
          <cell r="O271">
            <v>0</v>
          </cell>
          <cell r="P271" t="str">
            <v>中国航发航空科技股份有限公司</v>
          </cell>
          <cell r="Q271" t="str">
            <v>950</v>
          </cell>
          <cell r="R271">
            <v>46139</v>
          </cell>
        </row>
        <row r="271">
          <cell r="U271" t="str">
            <v>010000909698</v>
          </cell>
          <cell r="V271" t="str">
            <v>BIAOQIAN4</v>
          </cell>
          <cell r="W271" t="str">
            <v/>
          </cell>
          <cell r="X271" t="str">
            <v>CP-108-A</v>
          </cell>
          <cell r="Y271" t="str">
            <v/>
          </cell>
          <cell r="Z271" t="str">
            <v>1902</v>
          </cell>
          <cell r="AA271" t="str">
            <v>1100161523</v>
          </cell>
          <cell r="AB271">
            <v>4</v>
          </cell>
          <cell r="AC271" t="str">
            <v/>
          </cell>
          <cell r="AD271">
            <v>39.6</v>
          </cell>
          <cell r="AE271" t="str">
            <v>G-100015358-260309-0059</v>
          </cell>
        </row>
        <row r="272">
          <cell r="B272" t="str">
            <v>7101108139</v>
          </cell>
          <cell r="C272" t="str">
            <v>G2601-2607</v>
          </cell>
          <cell r="D272" t="str">
            <v>000042944999135634</v>
          </cell>
          <cell r="E272" t="str">
            <v>小型和轻型由键固定的螺纹锁紧螺套</v>
          </cell>
          <cell r="F272" t="str">
            <v>MS51830(G版)</v>
          </cell>
          <cell r="G272" t="str">
            <v>CA201L</v>
          </cell>
          <cell r="H272" t="str">
            <v/>
          </cell>
          <cell r="I272" t="str">
            <v/>
          </cell>
          <cell r="J272" t="str">
            <v>组件</v>
          </cell>
          <cell r="K272">
            <v>24</v>
          </cell>
          <cell r="L272">
            <v>46137</v>
          </cell>
          <cell r="M272" t="str">
            <v>4-检验完成</v>
          </cell>
        </row>
        <row r="272">
          <cell r="O272">
            <v>0</v>
          </cell>
          <cell r="P272" t="str">
            <v>中国航发航空科技股份有限公司</v>
          </cell>
          <cell r="Q272" t="str">
            <v>140</v>
          </cell>
          <cell r="R272">
            <v>46137</v>
          </cell>
        </row>
        <row r="272">
          <cell r="U272" t="str">
            <v>010000909698</v>
          </cell>
          <cell r="V272" t="str">
            <v>BIAOQIAN4</v>
          </cell>
          <cell r="W272" t="str">
            <v/>
          </cell>
          <cell r="X272" t="str">
            <v>CP-108-A</v>
          </cell>
          <cell r="Y272" t="str">
            <v/>
          </cell>
          <cell r="Z272" t="str">
            <v>1902</v>
          </cell>
          <cell r="AA272" t="str">
            <v>1100159716</v>
          </cell>
          <cell r="AB272">
            <v>24</v>
          </cell>
          <cell r="AC272" t="str">
            <v/>
          </cell>
          <cell r="AD272">
            <v>107</v>
          </cell>
          <cell r="AE272" t="str">
            <v>G-100015358-260123-0021</v>
          </cell>
        </row>
        <row r="273">
          <cell r="B273" t="str">
            <v>7101108139</v>
          </cell>
          <cell r="C273" t="str">
            <v>G2601-2607</v>
          </cell>
          <cell r="D273" t="str">
            <v>000042944999135634</v>
          </cell>
          <cell r="E273" t="str">
            <v>小型和轻型由键固定的螺纹锁紧螺套</v>
          </cell>
          <cell r="F273" t="str">
            <v>MS51830(G版)</v>
          </cell>
          <cell r="G273" t="str">
            <v>CA201L</v>
          </cell>
          <cell r="H273" t="str">
            <v/>
          </cell>
          <cell r="I273" t="str">
            <v/>
          </cell>
          <cell r="J273" t="str">
            <v>组件</v>
          </cell>
          <cell r="K273">
            <v>24</v>
          </cell>
          <cell r="L273">
            <v>46137</v>
          </cell>
          <cell r="M273" t="str">
            <v>4-检验完成</v>
          </cell>
        </row>
        <row r="273">
          <cell r="O273">
            <v>0</v>
          </cell>
          <cell r="P273" t="str">
            <v>中国航发航空科技股份有限公司</v>
          </cell>
          <cell r="Q273" t="str">
            <v>350</v>
          </cell>
          <cell r="R273">
            <v>46137</v>
          </cell>
        </row>
        <row r="273">
          <cell r="U273" t="str">
            <v>010000909698</v>
          </cell>
          <cell r="V273" t="str">
            <v>BIAOQIAN4</v>
          </cell>
          <cell r="W273" t="str">
            <v/>
          </cell>
          <cell r="X273" t="str">
            <v>CP-108-A</v>
          </cell>
          <cell r="Y273" t="str">
            <v/>
          </cell>
          <cell r="Z273" t="str">
            <v>1902</v>
          </cell>
          <cell r="AA273" t="str">
            <v>1100159716</v>
          </cell>
          <cell r="AB273">
            <v>24</v>
          </cell>
          <cell r="AC273" t="str">
            <v/>
          </cell>
          <cell r="AD273">
            <v>107</v>
          </cell>
          <cell r="AE273" t="str">
            <v>G-100015358-260123-0021</v>
          </cell>
        </row>
        <row r="274">
          <cell r="B274" t="str">
            <v>7101108214</v>
          </cell>
          <cell r="C274" t="str">
            <v>G2601-2607</v>
          </cell>
          <cell r="D274" t="str">
            <v>000042944999135634</v>
          </cell>
          <cell r="E274" t="str">
            <v>小型和轻型由键固定的螺纹锁紧螺套</v>
          </cell>
          <cell r="F274" t="str">
            <v>MS51830(G版)</v>
          </cell>
          <cell r="G274" t="str">
            <v>CA201L</v>
          </cell>
          <cell r="H274" t="str">
            <v/>
          </cell>
          <cell r="I274" t="str">
            <v/>
          </cell>
          <cell r="J274" t="str">
            <v>组件</v>
          </cell>
          <cell r="K274">
            <v>23</v>
          </cell>
          <cell r="L274">
            <v>46137</v>
          </cell>
          <cell r="M274" t="str">
            <v>4-检验完成</v>
          </cell>
        </row>
        <row r="274">
          <cell r="O274">
            <v>0</v>
          </cell>
          <cell r="P274" t="str">
            <v>中国航发航空科技股份有限公司</v>
          </cell>
          <cell r="Q274" t="str">
            <v>330</v>
          </cell>
          <cell r="R274">
            <v>46137</v>
          </cell>
        </row>
        <row r="274">
          <cell r="U274" t="str">
            <v>010000909698</v>
          </cell>
          <cell r="V274" t="str">
            <v>BIAOQIAN4</v>
          </cell>
          <cell r="W274" t="str">
            <v/>
          </cell>
          <cell r="X274" t="str">
            <v>CP-108-A</v>
          </cell>
          <cell r="Y274" t="str">
            <v/>
          </cell>
          <cell r="Z274" t="str">
            <v>1902</v>
          </cell>
          <cell r="AA274" t="str">
            <v>1100160709</v>
          </cell>
          <cell r="AB274">
            <v>50</v>
          </cell>
          <cell r="AC274" t="str">
            <v/>
          </cell>
          <cell r="AD274">
            <v>107</v>
          </cell>
          <cell r="AE274" t="str">
            <v>G-100015358-260206-0033</v>
          </cell>
        </row>
        <row r="275">
          <cell r="B275" t="str">
            <v>7101108215</v>
          </cell>
          <cell r="C275" t="str">
            <v>G2601-2607</v>
          </cell>
          <cell r="D275" t="str">
            <v>000042944999135634</v>
          </cell>
          <cell r="E275" t="str">
            <v>小型和轻型由键固定的螺纹锁紧螺套</v>
          </cell>
          <cell r="F275" t="str">
            <v>MS51830(G版)</v>
          </cell>
          <cell r="G275" t="str">
            <v>CA201L</v>
          </cell>
          <cell r="H275" t="str">
            <v/>
          </cell>
          <cell r="I275" t="str">
            <v/>
          </cell>
          <cell r="J275" t="str">
            <v>组件</v>
          </cell>
          <cell r="K275">
            <v>71</v>
          </cell>
          <cell r="L275">
            <v>46137</v>
          </cell>
          <cell r="M275" t="str">
            <v>3-配货完成</v>
          </cell>
        </row>
        <row r="275">
          <cell r="O275">
            <v>0</v>
          </cell>
          <cell r="P275" t="str">
            <v>中国航发航空科技股份有限公司</v>
          </cell>
          <cell r="Q275" t="str">
            <v>60</v>
          </cell>
        </row>
        <row r="275">
          <cell r="U275" t="str">
            <v>010000909698</v>
          </cell>
          <cell r="V275" t="str">
            <v>BIAOQIAN4</v>
          </cell>
          <cell r="W275" t="str">
            <v/>
          </cell>
          <cell r="X275" t="str">
            <v>CP-108-A</v>
          </cell>
          <cell r="Y275" t="str">
            <v/>
          </cell>
          <cell r="Z275" t="str">
            <v>1902</v>
          </cell>
          <cell r="AA275" t="str">
            <v>1100159716</v>
          </cell>
          <cell r="AB275">
            <v>168</v>
          </cell>
          <cell r="AC275" t="str">
            <v/>
          </cell>
          <cell r="AD275">
            <v>107</v>
          </cell>
          <cell r="AE275" t="str">
            <v>G-100015358-260123-0021</v>
          </cell>
        </row>
        <row r="276">
          <cell r="B276" t="str">
            <v>7101108244</v>
          </cell>
          <cell r="C276" t="str">
            <v>G2603-0573</v>
          </cell>
          <cell r="D276" t="str">
            <v>000042944320006074</v>
          </cell>
          <cell r="E276" t="str">
            <v>120°沉头高抗剪铆钉</v>
          </cell>
          <cell r="F276" t="str">
            <v>HB1-607-2002</v>
          </cell>
          <cell r="G276" t="str">
            <v>5×7</v>
          </cell>
          <cell r="H276" t="str">
            <v/>
          </cell>
          <cell r="I276" t="str">
            <v/>
          </cell>
          <cell r="J276" t="str">
            <v>组件</v>
          </cell>
          <cell r="K276">
            <v>122</v>
          </cell>
          <cell r="L276">
            <v>46137</v>
          </cell>
          <cell r="M276" t="str">
            <v>3-配货完成</v>
          </cell>
        </row>
        <row r="276">
          <cell r="O276">
            <v>0</v>
          </cell>
          <cell r="P276" t="str">
            <v>中国航发航空科技股份有限公司</v>
          </cell>
          <cell r="Q276" t="str">
            <v>670</v>
          </cell>
        </row>
        <row r="276">
          <cell r="U276" t="str">
            <v>010000922474</v>
          </cell>
          <cell r="V276" t="str">
            <v>BIAOQIAN3</v>
          </cell>
          <cell r="W276" t="str">
            <v/>
          </cell>
          <cell r="X276" t="str">
            <v>CP-108-A</v>
          </cell>
          <cell r="Y276" t="str">
            <v/>
          </cell>
          <cell r="Z276" t="str">
            <v>1902</v>
          </cell>
          <cell r="AA276" t="str">
            <v>1100108189</v>
          </cell>
          <cell r="AB276">
            <v>6520</v>
          </cell>
          <cell r="AC276" t="str">
            <v/>
          </cell>
          <cell r="AD276">
            <v>30.14</v>
          </cell>
          <cell r="AE276" t="str">
            <v>G0552-221228-352-4</v>
          </cell>
        </row>
        <row r="277">
          <cell r="B277" t="str">
            <v>7101108945</v>
          </cell>
          <cell r="C277" t="str">
            <v>G2604-0206</v>
          </cell>
          <cell r="D277" t="str">
            <v>000042944239171430</v>
          </cell>
          <cell r="E277" t="str">
            <v>内声衬连接螺栓</v>
          </cell>
          <cell r="F277" t="str">
            <v>7222C2A079P20</v>
          </cell>
          <cell r="G277" t="str">
            <v>-</v>
          </cell>
          <cell r="H277" t="str">
            <v>σb≥130ksi</v>
          </cell>
          <cell r="I277" t="str">
            <v>清洗,按AS7477</v>
          </cell>
          <cell r="J277" t="str">
            <v>A286</v>
          </cell>
          <cell r="K277">
            <v>48</v>
          </cell>
          <cell r="L277">
            <v>46139</v>
          </cell>
          <cell r="M277" t="str">
            <v>3-配货完成</v>
          </cell>
        </row>
        <row r="277">
          <cell r="O277">
            <v>0</v>
          </cell>
          <cell r="P277" t="str">
            <v>中国航发航空科技股份有限公司</v>
          </cell>
          <cell r="Q277" t="str">
            <v>70</v>
          </cell>
        </row>
        <row r="277">
          <cell r="U277" t="str">
            <v>010000934132</v>
          </cell>
          <cell r="V277" t="str">
            <v>BIAOQIAN1</v>
          </cell>
          <cell r="W277" t="str">
            <v/>
          </cell>
          <cell r="X277" t="str">
            <v>CP-111</v>
          </cell>
          <cell r="Y277" t="str">
            <v/>
          </cell>
          <cell r="Z277" t="str">
            <v>1902</v>
          </cell>
          <cell r="AA277" t="str">
            <v>1100161590</v>
          </cell>
          <cell r="AB277">
            <v>48</v>
          </cell>
          <cell r="AC277" t="str">
            <v/>
          </cell>
          <cell r="AD277">
            <v>162</v>
          </cell>
          <cell r="AE277" t="str">
            <v>G-100015358-260309-0068</v>
          </cell>
        </row>
        <row r="278">
          <cell r="B278" t="str">
            <v>7101108945</v>
          </cell>
          <cell r="C278" t="str">
            <v>G2604-0206</v>
          </cell>
          <cell r="D278" t="str">
            <v>000042944239171430</v>
          </cell>
          <cell r="E278" t="str">
            <v>内声衬连接螺栓</v>
          </cell>
          <cell r="F278" t="str">
            <v>7222C2A079P20</v>
          </cell>
          <cell r="G278" t="str">
            <v>-</v>
          </cell>
          <cell r="H278" t="str">
            <v>σb≥130ksi</v>
          </cell>
          <cell r="I278" t="str">
            <v>清洗,按AS7477</v>
          </cell>
          <cell r="J278" t="str">
            <v>A286</v>
          </cell>
          <cell r="K278">
            <v>48</v>
          </cell>
          <cell r="L278">
            <v>46139</v>
          </cell>
          <cell r="M278" t="str">
            <v>3-配货完成</v>
          </cell>
        </row>
        <row r="278">
          <cell r="O278">
            <v>0</v>
          </cell>
          <cell r="P278" t="str">
            <v>中国航发航空科技股份有限公司</v>
          </cell>
          <cell r="Q278" t="str">
            <v>80</v>
          </cell>
        </row>
        <row r="278">
          <cell r="U278" t="str">
            <v>010000934132</v>
          </cell>
          <cell r="V278" t="str">
            <v>BIAOQIAN1</v>
          </cell>
          <cell r="W278" t="str">
            <v/>
          </cell>
          <cell r="X278" t="str">
            <v>CP-111</v>
          </cell>
          <cell r="Y278" t="str">
            <v/>
          </cell>
          <cell r="Z278" t="str">
            <v>1902</v>
          </cell>
          <cell r="AA278" t="str">
            <v>1100161590</v>
          </cell>
          <cell r="AB278">
            <v>48</v>
          </cell>
          <cell r="AC278" t="str">
            <v/>
          </cell>
          <cell r="AD278">
            <v>162</v>
          </cell>
          <cell r="AE278" t="str">
            <v>G-100015358-260309-0068</v>
          </cell>
        </row>
        <row r="279">
          <cell r="B279" t="str">
            <v>7101108945</v>
          </cell>
          <cell r="C279" t="str">
            <v>G2604-0206</v>
          </cell>
          <cell r="D279" t="str">
            <v>000042944239171430</v>
          </cell>
          <cell r="E279" t="str">
            <v>内声衬连接螺栓</v>
          </cell>
          <cell r="F279" t="str">
            <v>7222C2A079P20</v>
          </cell>
          <cell r="G279" t="str">
            <v>-</v>
          </cell>
          <cell r="H279" t="str">
            <v>σb≥130ksi</v>
          </cell>
          <cell r="I279" t="str">
            <v>清洗,按AS7477</v>
          </cell>
          <cell r="J279" t="str">
            <v>A286</v>
          </cell>
          <cell r="K279">
            <v>48</v>
          </cell>
          <cell r="L279">
            <v>46139</v>
          </cell>
          <cell r="M279" t="str">
            <v>3-配货完成</v>
          </cell>
        </row>
        <row r="279">
          <cell r="O279">
            <v>0</v>
          </cell>
          <cell r="P279" t="str">
            <v>中国航发航空科技股份有限公司</v>
          </cell>
          <cell r="Q279" t="str">
            <v>90</v>
          </cell>
        </row>
        <row r="279">
          <cell r="U279" t="str">
            <v>010000934132</v>
          </cell>
          <cell r="V279" t="str">
            <v>BIAOQIAN1</v>
          </cell>
          <cell r="W279" t="str">
            <v/>
          </cell>
          <cell r="X279" t="str">
            <v>CP-111</v>
          </cell>
          <cell r="Y279" t="str">
            <v/>
          </cell>
          <cell r="Z279" t="str">
            <v>1902</v>
          </cell>
          <cell r="AA279" t="str">
            <v>1100161590</v>
          </cell>
          <cell r="AB279">
            <v>48</v>
          </cell>
          <cell r="AC279" t="str">
            <v/>
          </cell>
          <cell r="AD279">
            <v>162</v>
          </cell>
          <cell r="AE279" t="str">
            <v>G-100015358-260309-0068</v>
          </cell>
        </row>
        <row r="280">
          <cell r="B280" t="str">
            <v>7101108945</v>
          </cell>
          <cell r="C280" t="str">
            <v>G2604-0206</v>
          </cell>
          <cell r="D280" t="str">
            <v>000042944239171430</v>
          </cell>
          <cell r="E280" t="str">
            <v>内声衬连接螺栓</v>
          </cell>
          <cell r="F280" t="str">
            <v>7222C2A079P20</v>
          </cell>
          <cell r="G280" t="str">
            <v>-</v>
          </cell>
          <cell r="H280" t="str">
            <v>σb≥130ksi</v>
          </cell>
          <cell r="I280" t="str">
            <v>清洗,按AS7477</v>
          </cell>
          <cell r="J280" t="str">
            <v>A286</v>
          </cell>
          <cell r="K280">
            <v>48</v>
          </cell>
          <cell r="L280">
            <v>46139</v>
          </cell>
          <cell r="M280" t="str">
            <v>3-配货完成</v>
          </cell>
        </row>
        <row r="280">
          <cell r="O280">
            <v>0</v>
          </cell>
          <cell r="P280" t="str">
            <v>中国航发航空科技股份有限公司</v>
          </cell>
          <cell r="Q280" t="str">
            <v>100</v>
          </cell>
        </row>
        <row r="280">
          <cell r="U280" t="str">
            <v>010000934132</v>
          </cell>
          <cell r="V280" t="str">
            <v>BIAOQIAN1</v>
          </cell>
          <cell r="W280" t="str">
            <v/>
          </cell>
          <cell r="X280" t="str">
            <v>CP-111</v>
          </cell>
          <cell r="Y280" t="str">
            <v/>
          </cell>
          <cell r="Z280" t="str">
            <v>1902</v>
          </cell>
          <cell r="AA280" t="str">
            <v>1100161590</v>
          </cell>
          <cell r="AB280">
            <v>48</v>
          </cell>
          <cell r="AC280" t="str">
            <v/>
          </cell>
          <cell r="AD280">
            <v>162</v>
          </cell>
          <cell r="AE280" t="str">
            <v>G-100015358-260309-0068</v>
          </cell>
        </row>
        <row r="281">
          <cell r="B281" t="str">
            <v>7101108946</v>
          </cell>
          <cell r="C281" t="str">
            <v>G2604-0206</v>
          </cell>
          <cell r="D281" t="str">
            <v>000042944239171430</v>
          </cell>
          <cell r="E281" t="str">
            <v>内声衬连接螺栓</v>
          </cell>
          <cell r="F281" t="str">
            <v>7222C2A079P20</v>
          </cell>
          <cell r="G281" t="str">
            <v>-</v>
          </cell>
          <cell r="H281" t="str">
            <v>σb≥130ksi</v>
          </cell>
          <cell r="I281" t="str">
            <v>清洗,按AS7477</v>
          </cell>
          <cell r="J281" t="str">
            <v>A286</v>
          </cell>
          <cell r="K281">
            <v>48</v>
          </cell>
          <cell r="L281">
            <v>46139</v>
          </cell>
          <cell r="M281" t="str">
            <v>3-配货完成</v>
          </cell>
        </row>
        <row r="281">
          <cell r="O281">
            <v>0</v>
          </cell>
          <cell r="P281" t="str">
            <v>中国航发航空科技股份有限公司</v>
          </cell>
          <cell r="Q281" t="str">
            <v>60</v>
          </cell>
        </row>
        <row r="281">
          <cell r="U281" t="str">
            <v>010000934132</v>
          </cell>
          <cell r="V281" t="str">
            <v>BIAOQIAN1</v>
          </cell>
          <cell r="W281" t="str">
            <v/>
          </cell>
          <cell r="X281" t="str">
            <v>CP-111</v>
          </cell>
          <cell r="Y281" t="str">
            <v/>
          </cell>
          <cell r="Z281" t="str">
            <v>1902</v>
          </cell>
          <cell r="AA281" t="str">
            <v>1100161590</v>
          </cell>
          <cell r="AB281">
            <v>48</v>
          </cell>
          <cell r="AC281" t="str">
            <v/>
          </cell>
          <cell r="AD281">
            <v>162</v>
          </cell>
          <cell r="AE281" t="str">
            <v>G-100015358-260309-0068</v>
          </cell>
        </row>
        <row r="282">
          <cell r="B282" t="str">
            <v>7101108949</v>
          </cell>
          <cell r="C282" t="str">
            <v>G2604-0206</v>
          </cell>
          <cell r="D282" t="str">
            <v>000042944239171430</v>
          </cell>
          <cell r="E282" t="str">
            <v>内声衬连接螺栓</v>
          </cell>
          <cell r="F282" t="str">
            <v>7222C2A079P20</v>
          </cell>
          <cell r="G282" t="str">
            <v>-</v>
          </cell>
          <cell r="H282" t="str">
            <v>σb≥130ksi</v>
          </cell>
          <cell r="I282" t="str">
            <v>清洗,按AS7477</v>
          </cell>
          <cell r="J282" t="str">
            <v>A286</v>
          </cell>
          <cell r="K282">
            <v>24</v>
          </cell>
          <cell r="L282">
            <v>46139</v>
          </cell>
          <cell r="M282" t="str">
            <v>3-配货完成</v>
          </cell>
        </row>
        <row r="282">
          <cell r="O282">
            <v>0</v>
          </cell>
          <cell r="P282" t="str">
            <v>中国航发航空科技股份有限公司</v>
          </cell>
          <cell r="Q282" t="str">
            <v>110</v>
          </cell>
        </row>
        <row r="282">
          <cell r="U282" t="str">
            <v>010000934132</v>
          </cell>
          <cell r="V282" t="str">
            <v>BIAOQIAN1</v>
          </cell>
          <cell r="W282" t="str">
            <v/>
          </cell>
          <cell r="X282" t="str">
            <v>CP-111</v>
          </cell>
          <cell r="Y282" t="str">
            <v/>
          </cell>
          <cell r="Z282" t="str">
            <v>1902</v>
          </cell>
          <cell r="AA282" t="str">
            <v>1100161590</v>
          </cell>
          <cell r="AB282">
            <v>24</v>
          </cell>
          <cell r="AC282" t="str">
            <v/>
          </cell>
          <cell r="AD282">
            <v>162</v>
          </cell>
          <cell r="AE282" t="str">
            <v>G-100015358-260309-0068</v>
          </cell>
        </row>
        <row r="283">
          <cell r="B283" t="str">
            <v>7101108949</v>
          </cell>
          <cell r="C283" t="str">
            <v>G2604-0206</v>
          </cell>
          <cell r="D283" t="str">
            <v>000042944239171430</v>
          </cell>
          <cell r="E283" t="str">
            <v>内声衬连接螺栓</v>
          </cell>
          <cell r="F283" t="str">
            <v>7222C2A079P20</v>
          </cell>
          <cell r="G283" t="str">
            <v>-</v>
          </cell>
          <cell r="H283" t="str">
            <v>σb≥130ksi</v>
          </cell>
          <cell r="I283" t="str">
            <v>清洗,按AS7477</v>
          </cell>
          <cell r="J283" t="str">
            <v>A286</v>
          </cell>
          <cell r="K283">
            <v>24</v>
          </cell>
          <cell r="L283">
            <v>46139</v>
          </cell>
          <cell r="M283" t="str">
            <v>3-配货完成</v>
          </cell>
        </row>
        <row r="283">
          <cell r="O283">
            <v>0</v>
          </cell>
          <cell r="P283" t="str">
            <v>中国航发航空科技股份有限公司</v>
          </cell>
          <cell r="Q283" t="str">
            <v>120</v>
          </cell>
        </row>
        <row r="283">
          <cell r="U283" t="str">
            <v>010000934132</v>
          </cell>
          <cell r="V283" t="str">
            <v>BIAOQIAN1</v>
          </cell>
          <cell r="W283" t="str">
            <v/>
          </cell>
          <cell r="X283" t="str">
            <v>CP-111</v>
          </cell>
          <cell r="Y283" t="str">
            <v/>
          </cell>
          <cell r="Z283" t="str">
            <v>1902</v>
          </cell>
          <cell r="AA283" t="str">
            <v>1100161590</v>
          </cell>
          <cell r="AB283">
            <v>24</v>
          </cell>
          <cell r="AC283" t="str">
            <v/>
          </cell>
          <cell r="AD283">
            <v>162</v>
          </cell>
          <cell r="AE283" t="str">
            <v>G-100015358-260309-0068</v>
          </cell>
        </row>
        <row r="284">
          <cell r="B284" t="str">
            <v>7101108949</v>
          </cell>
          <cell r="C284" t="str">
            <v>G2604-0206</v>
          </cell>
          <cell r="D284" t="str">
            <v>000042944239171430</v>
          </cell>
          <cell r="E284" t="str">
            <v>内声衬连接螺栓</v>
          </cell>
          <cell r="F284" t="str">
            <v>7222C2A079P20</v>
          </cell>
          <cell r="G284" t="str">
            <v>-</v>
          </cell>
          <cell r="H284" t="str">
            <v>σb≥130ksi</v>
          </cell>
          <cell r="I284" t="str">
            <v>清洗,按AS7477</v>
          </cell>
          <cell r="J284" t="str">
            <v>A286</v>
          </cell>
          <cell r="K284">
            <v>24</v>
          </cell>
          <cell r="L284">
            <v>46139</v>
          </cell>
          <cell r="M284" t="str">
            <v>3-配货完成</v>
          </cell>
        </row>
        <row r="284">
          <cell r="O284">
            <v>0</v>
          </cell>
          <cell r="P284" t="str">
            <v>中国航发航空科技股份有限公司</v>
          </cell>
          <cell r="Q284" t="str">
            <v>130</v>
          </cell>
        </row>
        <row r="284">
          <cell r="U284" t="str">
            <v>010000934132</v>
          </cell>
          <cell r="V284" t="str">
            <v>BIAOQIAN1</v>
          </cell>
          <cell r="W284" t="str">
            <v/>
          </cell>
          <cell r="X284" t="str">
            <v>CP-111</v>
          </cell>
          <cell r="Y284" t="str">
            <v/>
          </cell>
          <cell r="Z284" t="str">
            <v>1902</v>
          </cell>
          <cell r="AA284" t="str">
            <v>1100161590</v>
          </cell>
          <cell r="AB284">
            <v>24</v>
          </cell>
          <cell r="AC284" t="str">
            <v/>
          </cell>
          <cell r="AD284">
            <v>162</v>
          </cell>
          <cell r="AE284" t="str">
            <v>G-100015358-260309-0068</v>
          </cell>
        </row>
        <row r="285">
          <cell r="B285" t="str">
            <v>7101108949</v>
          </cell>
          <cell r="C285" t="str">
            <v>G2604-0206</v>
          </cell>
          <cell r="D285" t="str">
            <v>000042944239171430</v>
          </cell>
          <cell r="E285" t="str">
            <v>内声衬连接螺栓</v>
          </cell>
          <cell r="F285" t="str">
            <v>7222C2A079P20</v>
          </cell>
          <cell r="G285" t="str">
            <v>-</v>
          </cell>
          <cell r="H285" t="str">
            <v>σb≥130ksi</v>
          </cell>
          <cell r="I285" t="str">
            <v>清洗,按AS7477</v>
          </cell>
          <cell r="J285" t="str">
            <v>A286</v>
          </cell>
          <cell r="K285">
            <v>24</v>
          </cell>
          <cell r="L285">
            <v>46139</v>
          </cell>
          <cell r="M285" t="str">
            <v>3-配货完成</v>
          </cell>
        </row>
        <row r="285">
          <cell r="O285">
            <v>0</v>
          </cell>
          <cell r="P285" t="str">
            <v>中国航发航空科技股份有限公司</v>
          </cell>
          <cell r="Q285" t="str">
            <v>140</v>
          </cell>
        </row>
        <row r="285">
          <cell r="U285" t="str">
            <v>010000934132</v>
          </cell>
          <cell r="V285" t="str">
            <v>BIAOQIAN1</v>
          </cell>
          <cell r="W285" t="str">
            <v/>
          </cell>
          <cell r="X285" t="str">
            <v>CP-111</v>
          </cell>
          <cell r="Y285" t="str">
            <v/>
          </cell>
          <cell r="Z285" t="str">
            <v>1902</v>
          </cell>
          <cell r="AA285" t="str">
            <v>1100161590</v>
          </cell>
          <cell r="AB285">
            <v>24</v>
          </cell>
          <cell r="AC285" t="str">
            <v/>
          </cell>
          <cell r="AD285">
            <v>162</v>
          </cell>
          <cell r="AE285" t="str">
            <v>G-100015358-260309-0068</v>
          </cell>
        </row>
        <row r="286">
          <cell r="B286" t="str">
            <v>7101108952</v>
          </cell>
          <cell r="C286" t="str">
            <v>G2604-0206</v>
          </cell>
          <cell r="D286" t="str">
            <v>000042944239171430</v>
          </cell>
          <cell r="E286" t="str">
            <v>内声衬连接螺栓</v>
          </cell>
          <cell r="F286" t="str">
            <v>7222C2A079P20</v>
          </cell>
          <cell r="G286" t="str">
            <v>-</v>
          </cell>
          <cell r="H286" t="str">
            <v>σb≥130ksi</v>
          </cell>
          <cell r="I286" t="str">
            <v>清洗,按AS7477</v>
          </cell>
          <cell r="J286" t="str">
            <v>A286</v>
          </cell>
          <cell r="K286">
            <v>24</v>
          </cell>
          <cell r="L286">
            <v>46139</v>
          </cell>
          <cell r="M286" t="str">
            <v>3-配货完成</v>
          </cell>
        </row>
        <row r="286">
          <cell r="O286">
            <v>0</v>
          </cell>
          <cell r="P286" t="str">
            <v>中国航发航空科技股份有限公司</v>
          </cell>
          <cell r="Q286" t="str">
            <v>150</v>
          </cell>
        </row>
        <row r="286">
          <cell r="U286" t="str">
            <v>010000934132</v>
          </cell>
          <cell r="V286" t="str">
            <v>BIAOQIAN1</v>
          </cell>
          <cell r="W286" t="str">
            <v/>
          </cell>
          <cell r="X286" t="str">
            <v>CP-111</v>
          </cell>
          <cell r="Y286" t="str">
            <v/>
          </cell>
          <cell r="Z286" t="str">
            <v>1902</v>
          </cell>
          <cell r="AA286" t="str">
            <v>1100161590</v>
          </cell>
          <cell r="AB286">
            <v>24</v>
          </cell>
          <cell r="AC286" t="str">
            <v/>
          </cell>
          <cell r="AD286">
            <v>108</v>
          </cell>
          <cell r="AE286" t="str">
            <v>G-100015358-260309-0068</v>
          </cell>
        </row>
        <row r="287">
          <cell r="B287" t="str">
            <v>7101108952</v>
          </cell>
          <cell r="C287" t="str">
            <v>G2604-0206</v>
          </cell>
          <cell r="D287" t="str">
            <v>000042944239171430</v>
          </cell>
          <cell r="E287" t="str">
            <v>内声衬连接螺栓</v>
          </cell>
          <cell r="F287" t="str">
            <v>7222C2A079P20</v>
          </cell>
          <cell r="G287" t="str">
            <v>-</v>
          </cell>
          <cell r="H287" t="str">
            <v>σb≥130ksi</v>
          </cell>
          <cell r="I287" t="str">
            <v>清洗,按AS7477</v>
          </cell>
          <cell r="J287" t="str">
            <v>A286</v>
          </cell>
          <cell r="K287">
            <v>24</v>
          </cell>
          <cell r="L287">
            <v>46139</v>
          </cell>
          <cell r="M287" t="str">
            <v>3-配货完成</v>
          </cell>
        </row>
        <row r="287">
          <cell r="O287">
            <v>0</v>
          </cell>
          <cell r="P287" t="str">
            <v>中国航发航空科技股份有限公司</v>
          </cell>
          <cell r="Q287" t="str">
            <v>160</v>
          </cell>
        </row>
        <row r="287">
          <cell r="U287" t="str">
            <v>010000934132</v>
          </cell>
          <cell r="V287" t="str">
            <v>BIAOQIAN1</v>
          </cell>
          <cell r="W287" t="str">
            <v/>
          </cell>
          <cell r="X287" t="str">
            <v>CP-111</v>
          </cell>
          <cell r="Y287" t="str">
            <v/>
          </cell>
          <cell r="Z287" t="str">
            <v>1902</v>
          </cell>
          <cell r="AA287" t="str">
            <v>1100161590</v>
          </cell>
          <cell r="AB287">
            <v>24</v>
          </cell>
          <cell r="AC287" t="str">
            <v/>
          </cell>
          <cell r="AD287">
            <v>108</v>
          </cell>
          <cell r="AE287" t="str">
            <v>G-100015358-260309-0068</v>
          </cell>
        </row>
        <row r="288">
          <cell r="B288" t="str">
            <v>7101108952</v>
          </cell>
          <cell r="C288" t="str">
            <v>G2604-0206</v>
          </cell>
          <cell r="D288" t="str">
            <v>000042944239171430</v>
          </cell>
          <cell r="E288" t="str">
            <v>内声衬连接螺栓</v>
          </cell>
          <cell r="F288" t="str">
            <v>7222C2A079P20</v>
          </cell>
          <cell r="G288" t="str">
            <v>-</v>
          </cell>
          <cell r="H288" t="str">
            <v>σb≥130ksi</v>
          </cell>
          <cell r="I288" t="str">
            <v>清洗,按AS7477</v>
          </cell>
          <cell r="J288" t="str">
            <v>A286</v>
          </cell>
          <cell r="K288">
            <v>48</v>
          </cell>
          <cell r="L288">
            <v>46139</v>
          </cell>
          <cell r="M288" t="str">
            <v>3-配货完成</v>
          </cell>
        </row>
        <row r="288">
          <cell r="O288">
            <v>0</v>
          </cell>
          <cell r="P288" t="str">
            <v>中国航发航空科技股份有限公司</v>
          </cell>
          <cell r="Q288" t="str">
            <v>170</v>
          </cell>
        </row>
        <row r="288">
          <cell r="U288" t="str">
            <v>010000934132</v>
          </cell>
          <cell r="V288" t="str">
            <v>BIAOQIAN1</v>
          </cell>
          <cell r="W288" t="str">
            <v/>
          </cell>
          <cell r="X288" t="str">
            <v>CP-111</v>
          </cell>
          <cell r="Y288" t="str">
            <v/>
          </cell>
          <cell r="Z288" t="str">
            <v>1902</v>
          </cell>
          <cell r="AA288" t="str">
            <v>1100161590</v>
          </cell>
          <cell r="AB288">
            <v>48</v>
          </cell>
          <cell r="AC288" t="str">
            <v/>
          </cell>
          <cell r="AD288">
            <v>108</v>
          </cell>
          <cell r="AE288" t="str">
            <v>G-100015358-260309-0068</v>
          </cell>
        </row>
        <row r="289">
          <cell r="B289" t="str">
            <v>7101108952</v>
          </cell>
          <cell r="C289" t="str">
            <v>G2604-0206</v>
          </cell>
          <cell r="D289" t="str">
            <v>000042944239171430</v>
          </cell>
          <cell r="E289" t="str">
            <v>内声衬连接螺栓</v>
          </cell>
          <cell r="F289" t="str">
            <v>7222C2A079P20</v>
          </cell>
          <cell r="G289" t="str">
            <v>-</v>
          </cell>
          <cell r="H289" t="str">
            <v>σb≥130ksi</v>
          </cell>
          <cell r="I289" t="str">
            <v>清洗,按AS7477</v>
          </cell>
          <cell r="J289" t="str">
            <v>A286</v>
          </cell>
          <cell r="K289">
            <v>48</v>
          </cell>
          <cell r="L289">
            <v>46139</v>
          </cell>
          <cell r="M289" t="str">
            <v>3-配货完成</v>
          </cell>
        </row>
        <row r="289">
          <cell r="O289">
            <v>0</v>
          </cell>
          <cell r="P289" t="str">
            <v>中国航发航空科技股份有限公司</v>
          </cell>
          <cell r="Q289" t="str">
            <v>180</v>
          </cell>
        </row>
        <row r="289">
          <cell r="U289" t="str">
            <v>010000934132</v>
          </cell>
          <cell r="V289" t="str">
            <v>BIAOQIAN1</v>
          </cell>
          <cell r="W289" t="str">
            <v/>
          </cell>
          <cell r="X289" t="str">
            <v>CP-111</v>
          </cell>
          <cell r="Y289" t="str">
            <v/>
          </cell>
          <cell r="Z289" t="str">
            <v>1902</v>
          </cell>
          <cell r="AA289" t="str">
            <v>1100161590</v>
          </cell>
          <cell r="AB289">
            <v>48</v>
          </cell>
          <cell r="AC289" t="str">
            <v/>
          </cell>
          <cell r="AD289">
            <v>108</v>
          </cell>
          <cell r="AE289" t="str">
            <v>G-100015358-260309-0068</v>
          </cell>
        </row>
        <row r="290">
          <cell r="B290" t="str">
            <v>7101108954</v>
          </cell>
          <cell r="C290" t="str">
            <v>G2604-0206</v>
          </cell>
          <cell r="D290" t="str">
            <v>000042944239171430</v>
          </cell>
          <cell r="E290" t="str">
            <v>内声衬连接螺栓</v>
          </cell>
          <cell r="F290" t="str">
            <v>7222C2A079P20</v>
          </cell>
          <cell r="G290" t="str">
            <v>-</v>
          </cell>
          <cell r="H290" t="str">
            <v>σb≥130ksi</v>
          </cell>
          <cell r="I290" t="str">
            <v>清洗,按AS7477</v>
          </cell>
          <cell r="J290" t="str">
            <v>A286</v>
          </cell>
          <cell r="K290">
            <v>48</v>
          </cell>
          <cell r="L290">
            <v>46139</v>
          </cell>
          <cell r="M290" t="str">
            <v>3-配货完成</v>
          </cell>
        </row>
        <row r="290">
          <cell r="O290">
            <v>0</v>
          </cell>
          <cell r="P290" t="str">
            <v>中国航发航空科技股份有限公司</v>
          </cell>
          <cell r="Q290" t="str">
            <v>40</v>
          </cell>
        </row>
        <row r="290">
          <cell r="U290" t="str">
            <v>010000934132</v>
          </cell>
          <cell r="V290" t="str">
            <v>BIAOQIAN1</v>
          </cell>
          <cell r="W290" t="str">
            <v/>
          </cell>
          <cell r="X290" t="str">
            <v>CP-111</v>
          </cell>
          <cell r="Y290" t="str">
            <v/>
          </cell>
          <cell r="Z290" t="str">
            <v>1902</v>
          </cell>
          <cell r="AA290" t="str">
            <v>1100161967</v>
          </cell>
          <cell r="AB290">
            <v>48</v>
          </cell>
          <cell r="AC290" t="str">
            <v/>
          </cell>
          <cell r="AD290">
            <v>162</v>
          </cell>
          <cell r="AE290" t="str">
            <v>G-100015358-260316-0077</v>
          </cell>
        </row>
        <row r="291">
          <cell r="B291" t="str">
            <v>7101108954</v>
          </cell>
          <cell r="C291" t="str">
            <v>G2604-0206</v>
          </cell>
          <cell r="D291" t="str">
            <v>000042944239171430</v>
          </cell>
          <cell r="E291" t="str">
            <v>内声衬连接螺栓</v>
          </cell>
          <cell r="F291" t="str">
            <v>7222C2A079P20</v>
          </cell>
          <cell r="G291" t="str">
            <v>-</v>
          </cell>
          <cell r="H291" t="str">
            <v>σb≥130ksi</v>
          </cell>
          <cell r="I291" t="str">
            <v>清洗,按AS7477</v>
          </cell>
          <cell r="J291" t="str">
            <v>A286</v>
          </cell>
          <cell r="K291">
            <v>48</v>
          </cell>
          <cell r="L291">
            <v>46139</v>
          </cell>
          <cell r="M291" t="str">
            <v>3-配货完成</v>
          </cell>
        </row>
        <row r="291">
          <cell r="O291">
            <v>0</v>
          </cell>
          <cell r="P291" t="str">
            <v>中国航发航空科技股份有限公司</v>
          </cell>
          <cell r="Q291" t="str">
            <v>60</v>
          </cell>
        </row>
        <row r="291">
          <cell r="U291" t="str">
            <v>010000934132</v>
          </cell>
          <cell r="V291" t="str">
            <v>BIAOQIAN1</v>
          </cell>
          <cell r="W291" t="str">
            <v/>
          </cell>
          <cell r="X291" t="str">
            <v>CP-111</v>
          </cell>
          <cell r="Y291" t="str">
            <v/>
          </cell>
          <cell r="Z291" t="str">
            <v>1902</v>
          </cell>
          <cell r="AA291" t="str">
            <v>1100161967</v>
          </cell>
          <cell r="AB291">
            <v>48</v>
          </cell>
          <cell r="AC291" t="str">
            <v/>
          </cell>
          <cell r="AD291">
            <v>162</v>
          </cell>
          <cell r="AE291" t="str">
            <v>G-100015358-260316-0077</v>
          </cell>
        </row>
        <row r="292">
          <cell r="B292" t="str">
            <v>7101108954</v>
          </cell>
          <cell r="C292" t="str">
            <v>G2604-0206</v>
          </cell>
          <cell r="D292" t="str">
            <v>000042944239171430</v>
          </cell>
          <cell r="E292" t="str">
            <v>内声衬连接螺栓</v>
          </cell>
          <cell r="F292" t="str">
            <v>7222C2A079P20</v>
          </cell>
          <cell r="G292" t="str">
            <v>-</v>
          </cell>
          <cell r="H292" t="str">
            <v>σb≥130ksi</v>
          </cell>
          <cell r="I292" t="str">
            <v>清洗,按AS7477</v>
          </cell>
          <cell r="J292" t="str">
            <v>A286</v>
          </cell>
          <cell r="K292">
            <v>48</v>
          </cell>
          <cell r="L292">
            <v>46139</v>
          </cell>
          <cell r="M292" t="str">
            <v>3-配货完成</v>
          </cell>
        </row>
        <row r="292">
          <cell r="O292">
            <v>0</v>
          </cell>
          <cell r="P292" t="str">
            <v>中国航发航空科技股份有限公司</v>
          </cell>
          <cell r="Q292" t="str">
            <v>90</v>
          </cell>
        </row>
        <row r="292">
          <cell r="U292" t="str">
            <v>010000934132</v>
          </cell>
          <cell r="V292" t="str">
            <v>BIAOQIAN1</v>
          </cell>
          <cell r="W292" t="str">
            <v/>
          </cell>
          <cell r="X292" t="str">
            <v>CP-111</v>
          </cell>
          <cell r="Y292" t="str">
            <v/>
          </cell>
          <cell r="Z292" t="str">
            <v>1902</v>
          </cell>
          <cell r="AA292" t="str">
            <v>1100161967</v>
          </cell>
          <cell r="AB292">
            <v>48</v>
          </cell>
          <cell r="AC292" t="str">
            <v/>
          </cell>
          <cell r="AD292">
            <v>162</v>
          </cell>
          <cell r="AE292" t="str">
            <v>G-100015358-260316-0077</v>
          </cell>
        </row>
        <row r="293">
          <cell r="B293" t="str">
            <v>7101108954</v>
          </cell>
          <cell r="C293" t="str">
            <v>G2604-0206</v>
          </cell>
          <cell r="D293" t="str">
            <v>000042944239171430</v>
          </cell>
          <cell r="E293" t="str">
            <v>内声衬连接螺栓</v>
          </cell>
          <cell r="F293" t="str">
            <v>7222C2A079P20</v>
          </cell>
          <cell r="G293" t="str">
            <v>-</v>
          </cell>
          <cell r="H293" t="str">
            <v>σb≥130ksi</v>
          </cell>
          <cell r="I293" t="str">
            <v>清洗,按AS7477</v>
          </cell>
          <cell r="J293" t="str">
            <v>A286</v>
          </cell>
          <cell r="K293">
            <v>48</v>
          </cell>
          <cell r="L293">
            <v>46139</v>
          </cell>
          <cell r="M293" t="str">
            <v>3-配货完成</v>
          </cell>
        </row>
        <row r="293">
          <cell r="O293">
            <v>0</v>
          </cell>
          <cell r="P293" t="str">
            <v>中国航发航空科技股份有限公司</v>
          </cell>
          <cell r="Q293" t="str">
            <v>120</v>
          </cell>
        </row>
        <row r="293">
          <cell r="U293" t="str">
            <v>010000934132</v>
          </cell>
          <cell r="V293" t="str">
            <v>BIAOQIAN1</v>
          </cell>
          <cell r="W293" t="str">
            <v/>
          </cell>
          <cell r="X293" t="str">
            <v>CP-111</v>
          </cell>
          <cell r="Y293" t="str">
            <v/>
          </cell>
          <cell r="Z293" t="str">
            <v>1902</v>
          </cell>
          <cell r="AA293" t="str">
            <v>1100161967</v>
          </cell>
          <cell r="AB293">
            <v>48</v>
          </cell>
          <cell r="AC293" t="str">
            <v/>
          </cell>
          <cell r="AD293">
            <v>162</v>
          </cell>
          <cell r="AE293" t="str">
            <v>G-100015358-260316-0077</v>
          </cell>
        </row>
        <row r="294">
          <cell r="B294" t="str">
            <v>7101108956</v>
          </cell>
          <cell r="C294" t="str">
            <v>G2604-0206</v>
          </cell>
          <cell r="D294" t="str">
            <v>000042944239171430</v>
          </cell>
          <cell r="E294" t="str">
            <v>内声衬连接螺栓</v>
          </cell>
          <cell r="F294" t="str">
            <v>7222C2A079P20</v>
          </cell>
          <cell r="G294" t="str">
            <v>-</v>
          </cell>
          <cell r="H294" t="str">
            <v>σb≥130ksi</v>
          </cell>
          <cell r="I294" t="str">
            <v>清洗,按AS7477</v>
          </cell>
          <cell r="J294" t="str">
            <v>A286</v>
          </cell>
          <cell r="K294">
            <v>48</v>
          </cell>
          <cell r="L294">
            <v>46139</v>
          </cell>
          <cell r="M294" t="str">
            <v>3-配货完成</v>
          </cell>
        </row>
        <row r="294">
          <cell r="O294">
            <v>0</v>
          </cell>
          <cell r="P294" t="str">
            <v>中国航发航空科技股份有限公司</v>
          </cell>
          <cell r="Q294" t="str">
            <v>150</v>
          </cell>
        </row>
        <row r="294">
          <cell r="U294" t="str">
            <v>010000934132</v>
          </cell>
          <cell r="V294" t="str">
            <v>BIAOQIAN1</v>
          </cell>
          <cell r="W294" t="str">
            <v/>
          </cell>
          <cell r="X294" t="str">
            <v>CP-111</v>
          </cell>
          <cell r="Y294" t="str">
            <v/>
          </cell>
          <cell r="Z294" t="str">
            <v>1902</v>
          </cell>
          <cell r="AA294" t="str">
            <v>1100161967</v>
          </cell>
          <cell r="AB294">
            <v>48</v>
          </cell>
          <cell r="AC294" t="str">
            <v/>
          </cell>
          <cell r="AD294">
            <v>162</v>
          </cell>
          <cell r="AE294" t="str">
            <v>G-100015358-260316-0077</v>
          </cell>
        </row>
        <row r="295">
          <cell r="B295" t="str">
            <v>7101108956</v>
          </cell>
          <cell r="C295" t="str">
            <v>G2604-0206</v>
          </cell>
          <cell r="D295" t="str">
            <v>000042944239171430</v>
          </cell>
          <cell r="E295" t="str">
            <v>内声衬连接螺栓</v>
          </cell>
          <cell r="F295" t="str">
            <v>7222C2A079P20</v>
          </cell>
          <cell r="G295" t="str">
            <v>-</v>
          </cell>
          <cell r="H295" t="str">
            <v>σb≥130ksi</v>
          </cell>
          <cell r="I295" t="str">
            <v>清洗,按AS7477</v>
          </cell>
          <cell r="J295" t="str">
            <v>A286</v>
          </cell>
          <cell r="K295">
            <v>24</v>
          </cell>
          <cell r="L295">
            <v>46139</v>
          </cell>
          <cell r="M295" t="str">
            <v>3-配货完成</v>
          </cell>
        </row>
        <row r="295">
          <cell r="O295">
            <v>0</v>
          </cell>
          <cell r="P295" t="str">
            <v>中国航发航空科技股份有限公司</v>
          </cell>
          <cell r="Q295" t="str">
            <v>180</v>
          </cell>
        </row>
        <row r="295">
          <cell r="U295" t="str">
            <v>010000934132</v>
          </cell>
          <cell r="V295" t="str">
            <v>BIAOQIAN1</v>
          </cell>
          <cell r="W295" t="str">
            <v/>
          </cell>
          <cell r="X295" t="str">
            <v>CP-111</v>
          </cell>
          <cell r="Y295" t="str">
            <v/>
          </cell>
          <cell r="Z295" t="str">
            <v>1902</v>
          </cell>
          <cell r="AA295" t="str">
            <v>1100161967</v>
          </cell>
          <cell r="AB295">
            <v>24</v>
          </cell>
          <cell r="AC295" t="str">
            <v/>
          </cell>
          <cell r="AD295">
            <v>162</v>
          </cell>
          <cell r="AE295" t="str">
            <v>G-100015358-260316-0077</v>
          </cell>
        </row>
        <row r="296">
          <cell r="B296" t="str">
            <v>7101108956</v>
          </cell>
          <cell r="C296" t="str">
            <v>G2604-0206</v>
          </cell>
          <cell r="D296" t="str">
            <v>000042944239171430</v>
          </cell>
          <cell r="E296" t="str">
            <v>内声衬连接螺栓</v>
          </cell>
          <cell r="F296" t="str">
            <v>7222C2A079P20</v>
          </cell>
          <cell r="G296" t="str">
            <v>-</v>
          </cell>
          <cell r="H296" t="str">
            <v>σb≥130ksi</v>
          </cell>
          <cell r="I296" t="str">
            <v>清洗,按AS7477</v>
          </cell>
          <cell r="J296" t="str">
            <v>A286</v>
          </cell>
          <cell r="K296">
            <v>24</v>
          </cell>
          <cell r="L296">
            <v>46139</v>
          </cell>
          <cell r="M296" t="str">
            <v>3-配货完成</v>
          </cell>
        </row>
        <row r="296">
          <cell r="O296">
            <v>0</v>
          </cell>
          <cell r="P296" t="str">
            <v>中国航发航空科技股份有限公司</v>
          </cell>
          <cell r="Q296" t="str">
            <v>200</v>
          </cell>
        </row>
        <row r="296">
          <cell r="U296" t="str">
            <v>010000934132</v>
          </cell>
          <cell r="V296" t="str">
            <v>BIAOQIAN1</v>
          </cell>
          <cell r="W296" t="str">
            <v/>
          </cell>
          <cell r="X296" t="str">
            <v>CP-111</v>
          </cell>
          <cell r="Y296" t="str">
            <v/>
          </cell>
          <cell r="Z296" t="str">
            <v>1902</v>
          </cell>
          <cell r="AA296" t="str">
            <v>1100161967</v>
          </cell>
          <cell r="AB296">
            <v>24</v>
          </cell>
          <cell r="AC296" t="str">
            <v/>
          </cell>
          <cell r="AD296">
            <v>162</v>
          </cell>
          <cell r="AE296" t="str">
            <v>G-100015358-260316-0077</v>
          </cell>
        </row>
        <row r="297">
          <cell r="B297" t="str">
            <v>7101108958</v>
          </cell>
          <cell r="C297" t="str">
            <v>G2604-0206</v>
          </cell>
          <cell r="D297" t="str">
            <v>000042944239171430</v>
          </cell>
          <cell r="E297" t="str">
            <v>内声衬连接螺栓</v>
          </cell>
          <cell r="F297" t="str">
            <v>7222C2A079P20</v>
          </cell>
          <cell r="G297" t="str">
            <v>-</v>
          </cell>
          <cell r="H297" t="str">
            <v>σb≥130ksi</v>
          </cell>
          <cell r="I297" t="str">
            <v>清洗,按AS7477</v>
          </cell>
          <cell r="J297" t="str">
            <v>A286</v>
          </cell>
          <cell r="K297">
            <v>24</v>
          </cell>
          <cell r="L297">
            <v>46139</v>
          </cell>
          <cell r="M297" t="str">
            <v>3-配货完成</v>
          </cell>
        </row>
        <row r="297">
          <cell r="O297">
            <v>0</v>
          </cell>
          <cell r="P297" t="str">
            <v>中国航发航空科技股份有限公司</v>
          </cell>
          <cell r="Q297" t="str">
            <v>220</v>
          </cell>
        </row>
        <row r="297">
          <cell r="U297" t="str">
            <v>010000934132</v>
          </cell>
          <cell r="V297" t="str">
            <v>BIAOQIAN1</v>
          </cell>
          <cell r="W297" t="str">
            <v/>
          </cell>
          <cell r="X297" t="str">
            <v>CP-111</v>
          </cell>
          <cell r="Y297" t="str">
            <v/>
          </cell>
          <cell r="Z297" t="str">
            <v>1902</v>
          </cell>
          <cell r="AA297" t="str">
            <v>1100161967</v>
          </cell>
          <cell r="AB297">
            <v>24</v>
          </cell>
          <cell r="AC297" t="str">
            <v/>
          </cell>
          <cell r="AD297">
            <v>162</v>
          </cell>
          <cell r="AE297" t="str">
            <v>G-100015358-260316-0077</v>
          </cell>
        </row>
        <row r="298">
          <cell r="B298" t="str">
            <v>7101108958</v>
          </cell>
          <cell r="C298" t="str">
            <v>G2604-0206</v>
          </cell>
          <cell r="D298" t="str">
            <v>000042944239171430</v>
          </cell>
          <cell r="E298" t="str">
            <v>内声衬连接螺栓</v>
          </cell>
          <cell r="F298" t="str">
            <v>7222C2A079P20</v>
          </cell>
          <cell r="G298" t="str">
            <v>-</v>
          </cell>
          <cell r="H298" t="str">
            <v>σb≥130ksi</v>
          </cell>
          <cell r="I298" t="str">
            <v>清洗,按AS7477</v>
          </cell>
          <cell r="J298" t="str">
            <v>A286</v>
          </cell>
          <cell r="K298">
            <v>24</v>
          </cell>
          <cell r="L298">
            <v>46139</v>
          </cell>
          <cell r="M298" t="str">
            <v>3-配货完成</v>
          </cell>
        </row>
        <row r="298">
          <cell r="O298">
            <v>0</v>
          </cell>
          <cell r="P298" t="str">
            <v>中国航发航空科技股份有限公司</v>
          </cell>
          <cell r="Q298" t="str">
            <v>240</v>
          </cell>
        </row>
        <row r="298">
          <cell r="U298" t="str">
            <v>010000934132</v>
          </cell>
          <cell r="V298" t="str">
            <v>BIAOQIAN1</v>
          </cell>
          <cell r="W298" t="str">
            <v/>
          </cell>
          <cell r="X298" t="str">
            <v>CP-111</v>
          </cell>
          <cell r="Y298" t="str">
            <v/>
          </cell>
          <cell r="Z298" t="str">
            <v>1902</v>
          </cell>
          <cell r="AA298" t="str">
            <v>1100161967</v>
          </cell>
          <cell r="AB298">
            <v>24</v>
          </cell>
          <cell r="AC298" t="str">
            <v/>
          </cell>
          <cell r="AD298">
            <v>162</v>
          </cell>
          <cell r="AE298" t="str">
            <v>G-100015358-260316-0077</v>
          </cell>
        </row>
        <row r="299">
          <cell r="B299" t="str">
            <v>7101108966</v>
          </cell>
          <cell r="C299" t="str">
            <v>G02604-147</v>
          </cell>
          <cell r="D299" t="str">
            <v>000042944288002563</v>
          </cell>
          <cell r="E299" t="str">
            <v>自锁螺母</v>
          </cell>
          <cell r="F299" t="str">
            <v>S18.4.0203</v>
          </cell>
          <cell r="G299" t="str">
            <v>-</v>
          </cell>
          <cell r="H299" t="str">
            <v>27-35HRC</v>
          </cell>
          <cell r="I299" t="str">
            <v>Ep·Cd5-8·c2C</v>
          </cell>
          <cell r="J299" t="str">
            <v>30CrMnSiA</v>
          </cell>
          <cell r="K299">
            <v>119</v>
          </cell>
          <cell r="L299">
            <v>46139</v>
          </cell>
          <cell r="M299" t="str">
            <v>1-已打印</v>
          </cell>
        </row>
        <row r="299">
          <cell r="O299">
            <v>0</v>
          </cell>
          <cell r="P299" t="str">
            <v>中国航发航空科技股份有限公司</v>
          </cell>
          <cell r="Q299" t="str">
            <v>10</v>
          </cell>
        </row>
        <row r="299">
          <cell r="U299" t="str">
            <v>010000942300</v>
          </cell>
          <cell r="V299" t="str">
            <v/>
          </cell>
          <cell r="W299" t="str">
            <v/>
          </cell>
          <cell r="X299" t="str">
            <v>CP-108-A</v>
          </cell>
          <cell r="Y299" t="str">
            <v/>
          </cell>
          <cell r="Z299" t="str">
            <v>1902</v>
          </cell>
          <cell r="AA299" t="str">
            <v>1100129696</v>
          </cell>
          <cell r="AB299">
            <v>119</v>
          </cell>
          <cell r="AC299" t="str">
            <v/>
          </cell>
          <cell r="AD299">
            <v>19.87</v>
          </cell>
          <cell r="AE299" t="str">
            <v>G-100015358-240527-0105</v>
          </cell>
        </row>
        <row r="300">
          <cell r="B300" t="str">
            <v>7101106396</v>
          </cell>
          <cell r="C300" t="str">
            <v>G2603-1430</v>
          </cell>
          <cell r="D300" t="str">
            <v>000042944039133839</v>
          </cell>
          <cell r="E300" t="str">
            <v>小型和轻型由键固定的螺纹锁紧螺套</v>
          </cell>
          <cell r="F300" t="str">
            <v>MS51830(G版)</v>
          </cell>
          <cell r="G300" t="str">
            <v>CA202L</v>
          </cell>
          <cell r="H300" t="str">
            <v/>
          </cell>
          <cell r="I300" t="str">
            <v/>
          </cell>
          <cell r="J300" t="str">
            <v>组件</v>
          </cell>
          <cell r="K300">
            <v>12</v>
          </cell>
          <cell r="L300">
            <v>46135</v>
          </cell>
          <cell r="M300" t="str">
            <v>4-检验完成</v>
          </cell>
        </row>
        <row r="300">
          <cell r="O300">
            <v>0</v>
          </cell>
          <cell r="P300" t="str">
            <v>中国航发航空科技股份有限公司</v>
          </cell>
          <cell r="Q300" t="str">
            <v>120</v>
          </cell>
          <cell r="R300">
            <v>46136</v>
          </cell>
        </row>
        <row r="300">
          <cell r="U300" t="str">
            <v>010000928019</v>
          </cell>
          <cell r="V300" t="str">
            <v>BIAOQIAN2</v>
          </cell>
          <cell r="W300" t="str">
            <v/>
          </cell>
          <cell r="X300" t="str">
            <v>CP-108-A</v>
          </cell>
          <cell r="Y300" t="str">
            <v/>
          </cell>
          <cell r="Z300" t="str">
            <v>1902</v>
          </cell>
          <cell r="AA300" t="str">
            <v>1100159716</v>
          </cell>
          <cell r="AB300">
            <v>12</v>
          </cell>
          <cell r="AC300" t="str">
            <v/>
          </cell>
          <cell r="AD300">
            <v>107</v>
          </cell>
          <cell r="AE300" t="str">
            <v>G-100015358-260123-0021</v>
          </cell>
        </row>
        <row r="301">
          <cell r="B301" t="str">
            <v>7101106396</v>
          </cell>
          <cell r="C301" t="str">
            <v>G2603-1430</v>
          </cell>
          <cell r="D301" t="str">
            <v>000042944039133839</v>
          </cell>
          <cell r="E301" t="str">
            <v>小型和轻型由键固定的螺纹锁紧螺套</v>
          </cell>
          <cell r="F301" t="str">
            <v>MS51830(G版)</v>
          </cell>
          <cell r="G301" t="str">
            <v>CA202L</v>
          </cell>
          <cell r="H301" t="str">
            <v/>
          </cell>
          <cell r="I301" t="str">
            <v/>
          </cell>
          <cell r="J301" t="str">
            <v>组件</v>
          </cell>
          <cell r="K301">
            <v>12</v>
          </cell>
          <cell r="L301">
            <v>46135</v>
          </cell>
          <cell r="M301" t="str">
            <v>4-检验完成</v>
          </cell>
        </row>
        <row r="301">
          <cell r="O301">
            <v>0</v>
          </cell>
          <cell r="P301" t="str">
            <v>中国航发航空科技股份有限公司</v>
          </cell>
          <cell r="Q301" t="str">
            <v>130</v>
          </cell>
          <cell r="R301">
            <v>46136</v>
          </cell>
        </row>
        <row r="301">
          <cell r="U301" t="str">
            <v>010000928019</v>
          </cell>
          <cell r="V301" t="str">
            <v>BIAOQIAN2</v>
          </cell>
          <cell r="W301" t="str">
            <v/>
          </cell>
          <cell r="X301" t="str">
            <v>CP-108-A</v>
          </cell>
          <cell r="Y301" t="str">
            <v/>
          </cell>
          <cell r="Z301" t="str">
            <v>1902</v>
          </cell>
          <cell r="AA301" t="str">
            <v>1100159716</v>
          </cell>
          <cell r="AB301">
            <v>12</v>
          </cell>
          <cell r="AC301" t="str">
            <v/>
          </cell>
          <cell r="AD301">
            <v>107</v>
          </cell>
          <cell r="AE301" t="str">
            <v>G-100015358-260123-0021</v>
          </cell>
        </row>
        <row r="302">
          <cell r="B302" t="str">
            <v>7101106397</v>
          </cell>
          <cell r="C302" t="str">
            <v>G2603-1430</v>
          </cell>
          <cell r="D302" t="str">
            <v>000042944039133839</v>
          </cell>
          <cell r="E302" t="str">
            <v>小型和轻型由键固定的螺纹锁紧螺套</v>
          </cell>
          <cell r="F302" t="str">
            <v>MS51830(G版)</v>
          </cell>
          <cell r="G302" t="str">
            <v>CA202L</v>
          </cell>
          <cell r="H302" t="str">
            <v/>
          </cell>
          <cell r="I302" t="str">
            <v/>
          </cell>
          <cell r="J302" t="str">
            <v>组件</v>
          </cell>
          <cell r="K302">
            <v>20</v>
          </cell>
          <cell r="L302">
            <v>46135</v>
          </cell>
          <cell r="M302" t="str">
            <v>4-检验完成</v>
          </cell>
        </row>
        <row r="302">
          <cell r="O302">
            <v>0</v>
          </cell>
          <cell r="P302" t="str">
            <v>中国航发航空科技股份有限公司</v>
          </cell>
          <cell r="Q302" t="str">
            <v>220</v>
          </cell>
          <cell r="R302">
            <v>46137</v>
          </cell>
        </row>
        <row r="302">
          <cell r="U302" t="str">
            <v>010000928019</v>
          </cell>
          <cell r="V302" t="str">
            <v>BIAOQIAN2</v>
          </cell>
          <cell r="W302" t="str">
            <v/>
          </cell>
          <cell r="X302" t="str">
            <v>CP-108-A</v>
          </cell>
          <cell r="Y302" t="str">
            <v/>
          </cell>
          <cell r="Z302" t="str">
            <v>1902</v>
          </cell>
          <cell r="AA302" t="str">
            <v>1100159716</v>
          </cell>
          <cell r="AB302">
            <v>20</v>
          </cell>
          <cell r="AC302" t="str">
            <v/>
          </cell>
          <cell r="AD302">
            <v>107</v>
          </cell>
          <cell r="AE302" t="str">
            <v>G-100015358-260123-0021</v>
          </cell>
        </row>
        <row r="303">
          <cell r="B303" t="str">
            <v>7101106397</v>
          </cell>
          <cell r="C303" t="str">
            <v>G2603-1430</v>
          </cell>
          <cell r="D303" t="str">
            <v>000042944039133839</v>
          </cell>
          <cell r="E303" t="str">
            <v>小型和轻型由键固定的螺纹锁紧螺套</v>
          </cell>
          <cell r="F303" t="str">
            <v>MS51830(G版)</v>
          </cell>
          <cell r="G303" t="str">
            <v>CA202L</v>
          </cell>
          <cell r="H303" t="str">
            <v/>
          </cell>
          <cell r="I303" t="str">
            <v/>
          </cell>
          <cell r="J303" t="str">
            <v>组件</v>
          </cell>
          <cell r="K303">
            <v>4</v>
          </cell>
          <cell r="L303">
            <v>46135</v>
          </cell>
          <cell r="M303" t="str">
            <v>4-检验完成</v>
          </cell>
        </row>
        <row r="303">
          <cell r="O303">
            <v>0</v>
          </cell>
          <cell r="P303" t="str">
            <v>中国航发航空科技股份有限公司</v>
          </cell>
          <cell r="Q303" t="str">
            <v>330</v>
          </cell>
          <cell r="R303">
            <v>46137</v>
          </cell>
        </row>
        <row r="303">
          <cell r="U303" t="str">
            <v>010000928019</v>
          </cell>
          <cell r="V303" t="str">
            <v>BIAOQIAN2</v>
          </cell>
          <cell r="W303" t="str">
            <v/>
          </cell>
          <cell r="X303" t="str">
            <v>CP-108-A</v>
          </cell>
          <cell r="Y303" t="str">
            <v/>
          </cell>
          <cell r="Z303" t="str">
            <v>1902</v>
          </cell>
          <cell r="AA303" t="str">
            <v>1100159716</v>
          </cell>
          <cell r="AB303">
            <v>4</v>
          </cell>
          <cell r="AC303" t="str">
            <v/>
          </cell>
          <cell r="AD303">
            <v>107</v>
          </cell>
          <cell r="AE303" t="str">
            <v>G-100015358-260123-0021</v>
          </cell>
        </row>
        <row r="304">
          <cell r="B304" t="str">
            <v>7101106397</v>
          </cell>
          <cell r="C304" t="str">
            <v>G2603-1430</v>
          </cell>
          <cell r="D304" t="str">
            <v>000042944039133839</v>
          </cell>
          <cell r="E304" t="str">
            <v>小型和轻型由键固定的螺纹锁紧螺套</v>
          </cell>
          <cell r="F304" t="str">
            <v>MS51830(G版)</v>
          </cell>
          <cell r="G304" t="str">
            <v>CA202L</v>
          </cell>
          <cell r="H304" t="str">
            <v/>
          </cell>
          <cell r="I304" t="str">
            <v/>
          </cell>
          <cell r="J304" t="str">
            <v>组件</v>
          </cell>
          <cell r="K304">
            <v>60</v>
          </cell>
          <cell r="L304">
            <v>46135</v>
          </cell>
          <cell r="M304" t="str">
            <v>4-检验完成</v>
          </cell>
        </row>
        <row r="304">
          <cell r="O304">
            <v>0</v>
          </cell>
          <cell r="P304" t="str">
            <v>中国航发航空科技股份有限公司</v>
          </cell>
          <cell r="Q304" t="str">
            <v>360</v>
          </cell>
          <cell r="R304">
            <v>46137</v>
          </cell>
        </row>
        <row r="304">
          <cell r="U304" t="str">
            <v>010000928019</v>
          </cell>
          <cell r="V304" t="str">
            <v>BIAOQIAN2</v>
          </cell>
          <cell r="W304" t="str">
            <v/>
          </cell>
          <cell r="X304" t="str">
            <v>CP-108-A</v>
          </cell>
          <cell r="Y304" t="str">
            <v/>
          </cell>
          <cell r="Z304" t="str">
            <v>1902</v>
          </cell>
          <cell r="AA304" t="str">
            <v>1100159716</v>
          </cell>
          <cell r="AB304">
            <v>60</v>
          </cell>
          <cell r="AC304" t="str">
            <v/>
          </cell>
          <cell r="AD304">
            <v>107</v>
          </cell>
          <cell r="AE304" t="str">
            <v>G-100015358-260123-0021</v>
          </cell>
        </row>
        <row r="305">
          <cell r="B305" t="str">
            <v>7101106399</v>
          </cell>
          <cell r="C305" t="str">
            <v>G2603-1430</v>
          </cell>
          <cell r="D305" t="str">
            <v>000042944039133839</v>
          </cell>
          <cell r="E305" t="str">
            <v>小型和轻型由键固定的螺纹锁紧螺套</v>
          </cell>
          <cell r="F305" t="str">
            <v>MS51830(G版)</v>
          </cell>
          <cell r="G305" t="str">
            <v>CA202L</v>
          </cell>
          <cell r="H305" t="str">
            <v/>
          </cell>
          <cell r="I305" t="str">
            <v/>
          </cell>
          <cell r="J305" t="str">
            <v>组件</v>
          </cell>
          <cell r="K305">
            <v>138</v>
          </cell>
          <cell r="L305">
            <v>46135</v>
          </cell>
          <cell r="M305" t="str">
            <v>4-检验完成</v>
          </cell>
        </row>
        <row r="305">
          <cell r="O305">
            <v>0</v>
          </cell>
          <cell r="P305" t="str">
            <v>中国航发航空科技股份有限公司</v>
          </cell>
          <cell r="Q305" t="str">
            <v>1970</v>
          </cell>
          <cell r="R305">
            <v>46136</v>
          </cell>
        </row>
        <row r="305">
          <cell r="U305" t="str">
            <v>010000928019</v>
          </cell>
          <cell r="V305" t="str">
            <v>BIAOQIAN2</v>
          </cell>
          <cell r="W305" t="str">
            <v/>
          </cell>
          <cell r="X305" t="str">
            <v>CP-108-A</v>
          </cell>
          <cell r="Y305" t="str">
            <v/>
          </cell>
          <cell r="Z305" t="str">
            <v>1902</v>
          </cell>
          <cell r="AA305" t="str">
            <v>1100161523</v>
          </cell>
          <cell r="AB305">
            <v>138</v>
          </cell>
          <cell r="AC305" t="str">
            <v/>
          </cell>
          <cell r="AD305">
            <v>39.6</v>
          </cell>
          <cell r="AE305" t="str">
            <v>G-100015358-260309-0059</v>
          </cell>
        </row>
        <row r="306">
          <cell r="B306" t="str">
            <v>7101106400</v>
          </cell>
          <cell r="C306" t="str">
            <v>G2603-1430</v>
          </cell>
          <cell r="D306" t="str">
            <v>000042944039133839</v>
          </cell>
          <cell r="E306" t="str">
            <v>小型和轻型由键固定的螺纹锁紧螺套</v>
          </cell>
          <cell r="F306" t="str">
            <v>MS51830(G版)</v>
          </cell>
          <cell r="G306" t="str">
            <v>CA202L</v>
          </cell>
          <cell r="H306" t="str">
            <v/>
          </cell>
          <cell r="I306" t="str">
            <v/>
          </cell>
          <cell r="J306" t="str">
            <v>组件</v>
          </cell>
          <cell r="K306">
            <v>98</v>
          </cell>
          <cell r="L306">
            <v>46135</v>
          </cell>
          <cell r="M306" t="str">
            <v>4-检验完成</v>
          </cell>
        </row>
        <row r="306">
          <cell r="O306">
            <v>0</v>
          </cell>
          <cell r="P306" t="str">
            <v>中国航发航空科技股份有限公司</v>
          </cell>
          <cell r="Q306" t="str">
            <v>10</v>
          </cell>
          <cell r="R306">
            <v>46137</v>
          </cell>
        </row>
        <row r="306">
          <cell r="U306" t="str">
            <v>010000928019</v>
          </cell>
          <cell r="V306" t="str">
            <v>BIAOQIAN2</v>
          </cell>
          <cell r="W306" t="str">
            <v/>
          </cell>
          <cell r="X306" t="str">
            <v>CP-108-A</v>
          </cell>
          <cell r="Y306" t="str">
            <v/>
          </cell>
          <cell r="Z306" t="str">
            <v>1902</v>
          </cell>
          <cell r="AA306" t="str">
            <v>1100161718</v>
          </cell>
          <cell r="AB306">
            <v>98</v>
          </cell>
          <cell r="AC306" t="str">
            <v/>
          </cell>
          <cell r="AD306">
            <v>107</v>
          </cell>
          <cell r="AE306" t="str">
            <v>G-100015358-260312-0075</v>
          </cell>
        </row>
        <row r="307">
          <cell r="B307" t="str">
            <v>7101106400</v>
          </cell>
          <cell r="C307" t="str">
            <v>G2603-1430</v>
          </cell>
          <cell r="D307" t="str">
            <v>000042944039133839</v>
          </cell>
          <cell r="E307" t="str">
            <v>小型和轻型由键固定的螺纹锁紧螺套</v>
          </cell>
          <cell r="F307" t="str">
            <v>MS51830(G版)</v>
          </cell>
          <cell r="G307" t="str">
            <v>CA202L</v>
          </cell>
          <cell r="H307" t="str">
            <v/>
          </cell>
          <cell r="I307" t="str">
            <v/>
          </cell>
          <cell r="J307" t="str">
            <v>组件</v>
          </cell>
          <cell r="K307">
            <v>140</v>
          </cell>
          <cell r="L307">
            <v>46135</v>
          </cell>
          <cell r="M307" t="str">
            <v>4-检验完成</v>
          </cell>
        </row>
        <row r="307">
          <cell r="O307">
            <v>0</v>
          </cell>
          <cell r="P307" t="str">
            <v>中国航发航空科技股份有限公司</v>
          </cell>
          <cell r="Q307" t="str">
            <v>140</v>
          </cell>
          <cell r="R307">
            <v>46137</v>
          </cell>
        </row>
        <row r="307">
          <cell r="U307" t="str">
            <v>010000928019</v>
          </cell>
          <cell r="V307" t="str">
            <v>BIAOQIAN2</v>
          </cell>
          <cell r="W307" t="str">
            <v/>
          </cell>
          <cell r="X307" t="str">
            <v>CP-108-A</v>
          </cell>
          <cell r="Y307" t="str">
            <v/>
          </cell>
          <cell r="Z307" t="str">
            <v>1902</v>
          </cell>
          <cell r="AA307" t="str">
            <v>1100161718</v>
          </cell>
          <cell r="AB307">
            <v>140</v>
          </cell>
          <cell r="AC307" t="str">
            <v/>
          </cell>
          <cell r="AD307">
            <v>107</v>
          </cell>
          <cell r="AE307" t="str">
            <v>G-100015358-260312-0075</v>
          </cell>
        </row>
        <row r="308">
          <cell r="B308" t="str">
            <v>7101106400</v>
          </cell>
          <cell r="C308" t="str">
            <v>G2603-1430</v>
          </cell>
          <cell r="D308" t="str">
            <v>000042944039133839</v>
          </cell>
          <cell r="E308" t="str">
            <v>小型和轻型由键固定的螺纹锁紧螺套</v>
          </cell>
          <cell r="F308" t="str">
            <v>MS51830(G版)</v>
          </cell>
          <cell r="G308" t="str">
            <v>CA202L</v>
          </cell>
          <cell r="H308" t="str">
            <v/>
          </cell>
          <cell r="I308" t="str">
            <v/>
          </cell>
          <cell r="J308" t="str">
            <v>组件</v>
          </cell>
          <cell r="K308">
            <v>115</v>
          </cell>
          <cell r="L308">
            <v>46135</v>
          </cell>
          <cell r="M308" t="str">
            <v>4-检验完成</v>
          </cell>
        </row>
        <row r="308">
          <cell r="O308">
            <v>0</v>
          </cell>
          <cell r="P308" t="str">
            <v>中国航发航空科技股份有限公司</v>
          </cell>
          <cell r="Q308" t="str">
            <v>230</v>
          </cell>
          <cell r="R308">
            <v>46137</v>
          </cell>
        </row>
        <row r="308">
          <cell r="U308" t="str">
            <v>010000928019</v>
          </cell>
          <cell r="V308" t="str">
            <v>BIAOQIAN2</v>
          </cell>
          <cell r="W308" t="str">
            <v/>
          </cell>
          <cell r="X308" t="str">
            <v>CP-108-A</v>
          </cell>
          <cell r="Y308" t="str">
            <v/>
          </cell>
          <cell r="Z308" t="str">
            <v>1902</v>
          </cell>
          <cell r="AA308" t="str">
            <v>1100161718</v>
          </cell>
          <cell r="AB308">
            <v>115</v>
          </cell>
          <cell r="AC308" t="str">
            <v/>
          </cell>
          <cell r="AD308">
            <v>107</v>
          </cell>
          <cell r="AE308" t="str">
            <v>G-100015358-260312-0075</v>
          </cell>
        </row>
        <row r="309">
          <cell r="B309" t="str">
            <v>7101106405</v>
          </cell>
          <cell r="C309" t="str">
            <v>G2603-1430</v>
          </cell>
          <cell r="D309" t="str">
            <v>000042944039133839</v>
          </cell>
          <cell r="E309" t="str">
            <v>小型和轻型由键固定的螺纹锁紧螺套</v>
          </cell>
          <cell r="F309" t="str">
            <v>MS51830(G版)</v>
          </cell>
          <cell r="G309" t="str">
            <v>CA202L</v>
          </cell>
          <cell r="H309" t="str">
            <v/>
          </cell>
          <cell r="I309" t="str">
            <v/>
          </cell>
          <cell r="J309" t="str">
            <v>组件</v>
          </cell>
          <cell r="K309">
            <v>6</v>
          </cell>
          <cell r="L309">
            <v>46135</v>
          </cell>
          <cell r="M309" t="str">
            <v>4-检验完成</v>
          </cell>
        </row>
        <row r="309">
          <cell r="O309">
            <v>0</v>
          </cell>
          <cell r="P309" t="str">
            <v>中国航发航空科技股份有限公司</v>
          </cell>
          <cell r="Q309" t="str">
            <v>300</v>
          </cell>
          <cell r="R309">
            <v>46136</v>
          </cell>
        </row>
        <row r="309">
          <cell r="U309" t="str">
            <v>010000928019</v>
          </cell>
          <cell r="V309" t="str">
            <v>BIAOQIAN2</v>
          </cell>
          <cell r="W309" t="str">
            <v/>
          </cell>
          <cell r="X309" t="str">
            <v>CP-108-A</v>
          </cell>
          <cell r="Y309" t="str">
            <v/>
          </cell>
          <cell r="Z309" t="str">
            <v>1902</v>
          </cell>
          <cell r="AA309" t="str">
            <v>1100162699</v>
          </cell>
          <cell r="AB309">
            <v>6</v>
          </cell>
          <cell r="AC309" t="str">
            <v/>
          </cell>
          <cell r="AD309">
            <v>107</v>
          </cell>
          <cell r="AE309" t="str">
            <v>G-100015358-260331-0102</v>
          </cell>
        </row>
        <row r="310">
          <cell r="B310" t="str">
            <v>7101106405</v>
          </cell>
          <cell r="C310" t="str">
            <v>G2603-1430</v>
          </cell>
          <cell r="D310" t="str">
            <v>000042944039133839</v>
          </cell>
          <cell r="E310" t="str">
            <v>小型和轻型由键固定的螺纹锁紧螺套</v>
          </cell>
          <cell r="F310" t="str">
            <v>MS51830(G版)</v>
          </cell>
          <cell r="G310" t="str">
            <v>CA202L</v>
          </cell>
          <cell r="H310" t="str">
            <v/>
          </cell>
          <cell r="I310" t="str">
            <v/>
          </cell>
          <cell r="J310" t="str">
            <v>组件</v>
          </cell>
          <cell r="K310">
            <v>6</v>
          </cell>
          <cell r="L310">
            <v>46135</v>
          </cell>
          <cell r="M310" t="str">
            <v>4-检验完成</v>
          </cell>
        </row>
        <row r="310">
          <cell r="O310">
            <v>0</v>
          </cell>
          <cell r="P310" t="str">
            <v>中国航发航空科技股份有限公司</v>
          </cell>
          <cell r="Q310" t="str">
            <v>320</v>
          </cell>
          <cell r="R310">
            <v>46136</v>
          </cell>
        </row>
        <row r="310">
          <cell r="U310" t="str">
            <v>010000928019</v>
          </cell>
          <cell r="V310" t="str">
            <v>BIAOQIAN2</v>
          </cell>
          <cell r="W310" t="str">
            <v/>
          </cell>
          <cell r="X310" t="str">
            <v>CP-108-A</v>
          </cell>
          <cell r="Y310" t="str">
            <v/>
          </cell>
          <cell r="Z310" t="str">
            <v>1902</v>
          </cell>
          <cell r="AA310" t="str">
            <v>1100162699</v>
          </cell>
          <cell r="AB310">
            <v>6</v>
          </cell>
          <cell r="AC310" t="str">
            <v/>
          </cell>
          <cell r="AD310">
            <v>107</v>
          </cell>
          <cell r="AE310" t="str">
            <v>G-100015358-260331-0102</v>
          </cell>
        </row>
        <row r="311">
          <cell r="B311" t="str">
            <v>7101106405</v>
          </cell>
          <cell r="C311" t="str">
            <v>G2603-1430</v>
          </cell>
          <cell r="D311" t="str">
            <v>000042944039133839</v>
          </cell>
          <cell r="E311" t="str">
            <v>小型和轻型由键固定的螺纹锁紧螺套</v>
          </cell>
          <cell r="F311" t="str">
            <v>MS51830(G版)</v>
          </cell>
          <cell r="G311" t="str">
            <v>CA202L</v>
          </cell>
          <cell r="H311" t="str">
            <v/>
          </cell>
          <cell r="I311" t="str">
            <v/>
          </cell>
          <cell r="J311" t="str">
            <v>组件</v>
          </cell>
          <cell r="K311">
            <v>58</v>
          </cell>
          <cell r="L311">
            <v>46135</v>
          </cell>
          <cell r="M311" t="str">
            <v>4-检验完成</v>
          </cell>
        </row>
        <row r="311">
          <cell r="O311">
            <v>0</v>
          </cell>
          <cell r="P311" t="str">
            <v>中国航发航空科技股份有限公司</v>
          </cell>
          <cell r="Q311" t="str">
            <v>330</v>
          </cell>
          <cell r="R311">
            <v>46136</v>
          </cell>
        </row>
        <row r="311">
          <cell r="U311" t="str">
            <v>010000928019</v>
          </cell>
          <cell r="V311" t="str">
            <v>BIAOQIAN2</v>
          </cell>
          <cell r="W311" t="str">
            <v/>
          </cell>
          <cell r="X311" t="str">
            <v>CP-108-A</v>
          </cell>
          <cell r="Y311" t="str">
            <v/>
          </cell>
          <cell r="Z311" t="str">
            <v>1902</v>
          </cell>
          <cell r="AA311" t="str">
            <v>1100162699</v>
          </cell>
          <cell r="AB311">
            <v>58</v>
          </cell>
          <cell r="AC311" t="str">
            <v/>
          </cell>
          <cell r="AD311">
            <v>107</v>
          </cell>
          <cell r="AE311" t="str">
            <v>G-100015358-260331-0102</v>
          </cell>
        </row>
        <row r="312">
          <cell r="B312" t="str">
            <v>7101106406</v>
          </cell>
          <cell r="C312" t="str">
            <v>G2603-1430</v>
          </cell>
          <cell r="D312" t="str">
            <v>000042944039133839</v>
          </cell>
          <cell r="E312" t="str">
            <v>小型和轻型由键固定的螺纹锁紧螺套</v>
          </cell>
          <cell r="F312" t="str">
            <v>MS51830(G版)</v>
          </cell>
          <cell r="G312" t="str">
            <v>CA202L</v>
          </cell>
          <cell r="H312" t="str">
            <v/>
          </cell>
          <cell r="I312" t="str">
            <v/>
          </cell>
          <cell r="J312" t="str">
            <v>组件</v>
          </cell>
          <cell r="K312">
            <v>58</v>
          </cell>
          <cell r="L312">
            <v>46135</v>
          </cell>
          <cell r="M312" t="str">
            <v>4-检验完成</v>
          </cell>
        </row>
        <row r="312">
          <cell r="O312">
            <v>0</v>
          </cell>
          <cell r="P312" t="str">
            <v>中国航发航空科技股份有限公司</v>
          </cell>
          <cell r="Q312" t="str">
            <v>340</v>
          </cell>
          <cell r="R312">
            <v>46136</v>
          </cell>
        </row>
        <row r="312">
          <cell r="U312" t="str">
            <v>010000928019</v>
          </cell>
          <cell r="V312" t="str">
            <v>BIAOQIAN2</v>
          </cell>
          <cell r="W312" t="str">
            <v/>
          </cell>
          <cell r="X312" t="str">
            <v>CP-108-A</v>
          </cell>
          <cell r="Y312" t="str">
            <v/>
          </cell>
          <cell r="Z312" t="str">
            <v>1902</v>
          </cell>
          <cell r="AA312" t="str">
            <v>1100162699</v>
          </cell>
          <cell r="AB312">
            <v>58</v>
          </cell>
          <cell r="AC312" t="str">
            <v/>
          </cell>
          <cell r="AD312">
            <v>107</v>
          </cell>
          <cell r="AE312" t="str">
            <v>G-100015358-260331-0102</v>
          </cell>
        </row>
        <row r="313">
          <cell r="B313" t="str">
            <v>7101106406</v>
          </cell>
          <cell r="C313" t="str">
            <v>G2603-1430</v>
          </cell>
          <cell r="D313" t="str">
            <v>000042944039133839</v>
          </cell>
          <cell r="E313" t="str">
            <v>小型和轻型由键固定的螺纹锁紧螺套</v>
          </cell>
          <cell r="F313" t="str">
            <v>MS51830(G版)</v>
          </cell>
          <cell r="G313" t="str">
            <v>CA202L</v>
          </cell>
          <cell r="H313" t="str">
            <v/>
          </cell>
          <cell r="I313" t="str">
            <v/>
          </cell>
          <cell r="J313" t="str">
            <v>组件</v>
          </cell>
          <cell r="K313">
            <v>140</v>
          </cell>
          <cell r="L313">
            <v>46135</v>
          </cell>
          <cell r="M313" t="str">
            <v>4-检验完成</v>
          </cell>
        </row>
        <row r="313">
          <cell r="O313">
            <v>0</v>
          </cell>
          <cell r="P313" t="str">
            <v>中国航发航空科技股份有限公司</v>
          </cell>
          <cell r="Q313" t="str">
            <v>280</v>
          </cell>
          <cell r="R313">
            <v>46136</v>
          </cell>
        </row>
        <row r="313">
          <cell r="U313" t="str">
            <v>010000928019</v>
          </cell>
          <cell r="V313" t="str">
            <v>BIAOQIAN2</v>
          </cell>
          <cell r="W313" t="str">
            <v/>
          </cell>
          <cell r="X313" t="str">
            <v>CP-108-A</v>
          </cell>
          <cell r="Y313" t="str">
            <v/>
          </cell>
          <cell r="Z313" t="str">
            <v>1902</v>
          </cell>
          <cell r="AA313" t="str">
            <v>1100162699</v>
          </cell>
          <cell r="AB313">
            <v>140</v>
          </cell>
          <cell r="AC313" t="str">
            <v/>
          </cell>
          <cell r="AD313">
            <v>107</v>
          </cell>
          <cell r="AE313" t="str">
            <v>G-100015358-260331-0102</v>
          </cell>
        </row>
        <row r="314">
          <cell r="B314" t="str">
            <v>7101106481</v>
          </cell>
          <cell r="C314" t="str">
            <v>G12604-028</v>
          </cell>
          <cell r="D314" t="str">
            <v>000042944401000397</v>
          </cell>
          <cell r="E314" t="str">
            <v>平垫圈</v>
          </cell>
          <cell r="F314" t="str">
            <v>GB/T97.1-2002</v>
          </cell>
          <cell r="G314" t="str">
            <v>4</v>
          </cell>
          <cell r="H314" t="str">
            <v>200HV</v>
          </cell>
          <cell r="I314" t="str">
            <v>ECP</v>
          </cell>
          <cell r="J314" t="str">
            <v>1Cr18Ni9Ti</v>
          </cell>
          <cell r="K314">
            <v>8</v>
          </cell>
          <cell r="L314">
            <v>46135</v>
          </cell>
          <cell r="M314" t="str">
            <v>3-配货完成</v>
          </cell>
        </row>
        <row r="314">
          <cell r="O314">
            <v>0</v>
          </cell>
          <cell r="P314" t="str">
            <v>中国航发航空科技股份有限公司</v>
          </cell>
          <cell r="Q314" t="str">
            <v>20</v>
          </cell>
        </row>
        <row r="314">
          <cell r="U314" t="str">
            <v/>
          </cell>
          <cell r="V314" t="str">
            <v>BIAOQIAN2</v>
          </cell>
          <cell r="W314" t="str">
            <v/>
          </cell>
          <cell r="X314" t="str">
            <v>XH-000</v>
          </cell>
          <cell r="Y314" t="str">
            <v/>
          </cell>
          <cell r="Z314" t="str">
            <v>1902</v>
          </cell>
          <cell r="AA314" t="str">
            <v>1100162972</v>
          </cell>
          <cell r="AB314">
            <v>8</v>
          </cell>
          <cell r="AC314" t="str">
            <v/>
          </cell>
          <cell r="AD314">
            <v>0.96</v>
          </cell>
          <cell r="AE314" t="str">
            <v>G-100015358-260407-0106-1-H-XH</v>
          </cell>
        </row>
        <row r="315">
          <cell r="B315" t="str">
            <v>7101106535</v>
          </cell>
          <cell r="C315" t="str">
            <v>G2602-1606</v>
          </cell>
          <cell r="D315" t="str">
            <v>000042944999135633</v>
          </cell>
          <cell r="E315" t="str">
            <v>小型和轻型由键固定的螺纹锁紧螺套</v>
          </cell>
          <cell r="F315" t="str">
            <v>MS51830(G版)</v>
          </cell>
          <cell r="G315" t="str">
            <v>CA104L</v>
          </cell>
          <cell r="H315" t="str">
            <v/>
          </cell>
          <cell r="I315" t="str">
            <v/>
          </cell>
          <cell r="J315" t="str">
            <v>组件</v>
          </cell>
          <cell r="K315">
            <v>94</v>
          </cell>
          <cell r="L315">
            <v>46135</v>
          </cell>
          <cell r="M315" t="str">
            <v>4-检验完成</v>
          </cell>
        </row>
        <row r="315">
          <cell r="O315">
            <v>0</v>
          </cell>
          <cell r="P315" t="str">
            <v>中国航发航空科技股份有限公司</v>
          </cell>
          <cell r="Q315" t="str">
            <v>400</v>
          </cell>
          <cell r="R315">
            <v>46136</v>
          </cell>
        </row>
        <row r="315">
          <cell r="U315" t="str">
            <v>010000917430</v>
          </cell>
          <cell r="V315" t="str">
            <v>BIAOQIAN1</v>
          </cell>
          <cell r="W315" t="str">
            <v/>
          </cell>
          <cell r="X315" t="str">
            <v>CP-108-A</v>
          </cell>
          <cell r="Y315" t="str">
            <v/>
          </cell>
          <cell r="Z315" t="str">
            <v>1902</v>
          </cell>
          <cell r="AA315" t="str">
            <v>1100161147</v>
          </cell>
          <cell r="AB315">
            <v>94</v>
          </cell>
          <cell r="AC315" t="str">
            <v/>
          </cell>
          <cell r="AD315">
            <v>107</v>
          </cell>
          <cell r="AE315" t="str">
            <v>G-100015358-260303-0051</v>
          </cell>
        </row>
        <row r="316">
          <cell r="B316" t="str">
            <v>7101106538</v>
          </cell>
          <cell r="C316" t="str">
            <v>G2602-1606</v>
          </cell>
          <cell r="D316" t="str">
            <v>000042944999135633</v>
          </cell>
          <cell r="E316" t="str">
            <v>小型和轻型由键固定的螺纹锁紧螺套</v>
          </cell>
          <cell r="F316" t="str">
            <v>MS51830(G版)</v>
          </cell>
          <cell r="G316" t="str">
            <v>CA104L</v>
          </cell>
          <cell r="H316" t="str">
            <v/>
          </cell>
          <cell r="I316" t="str">
            <v/>
          </cell>
          <cell r="J316" t="str">
            <v>组件</v>
          </cell>
          <cell r="K316">
            <v>28</v>
          </cell>
          <cell r="L316">
            <v>46135</v>
          </cell>
          <cell r="M316" t="str">
            <v>4-检验完成</v>
          </cell>
        </row>
        <row r="316">
          <cell r="O316">
            <v>0</v>
          </cell>
          <cell r="P316" t="str">
            <v>中国航发航空科技股份有限公司</v>
          </cell>
          <cell r="Q316" t="str">
            <v>570</v>
          </cell>
          <cell r="R316">
            <v>46137</v>
          </cell>
        </row>
        <row r="316">
          <cell r="U316" t="str">
            <v>010000917430</v>
          </cell>
          <cell r="V316" t="str">
            <v>BIAOQIAN1</v>
          </cell>
          <cell r="W316" t="str">
            <v/>
          </cell>
          <cell r="X316" t="str">
            <v>CP-108-A</v>
          </cell>
          <cell r="Y316" t="str">
            <v/>
          </cell>
          <cell r="Z316" t="str">
            <v>1902</v>
          </cell>
          <cell r="AA316" t="str">
            <v>1100160709</v>
          </cell>
          <cell r="AB316">
            <v>86</v>
          </cell>
          <cell r="AC316" t="str">
            <v/>
          </cell>
          <cell r="AD316">
            <v>107</v>
          </cell>
          <cell r="AE316" t="str">
            <v>G-100015358-260206-0033</v>
          </cell>
        </row>
        <row r="317">
          <cell r="B317" t="str">
            <v>7101106540</v>
          </cell>
          <cell r="C317" t="str">
            <v>G2602-1606</v>
          </cell>
          <cell r="D317" t="str">
            <v>000042944999135633</v>
          </cell>
          <cell r="E317" t="str">
            <v>小型和轻型由键固定的螺纹锁紧螺套</v>
          </cell>
          <cell r="F317" t="str">
            <v>MS51830(G版)</v>
          </cell>
          <cell r="G317" t="str">
            <v>CA104L</v>
          </cell>
          <cell r="H317" t="str">
            <v/>
          </cell>
          <cell r="I317" t="str">
            <v/>
          </cell>
          <cell r="J317" t="str">
            <v>组件</v>
          </cell>
          <cell r="K317">
            <v>72</v>
          </cell>
          <cell r="L317">
            <v>46135</v>
          </cell>
          <cell r="M317" t="str">
            <v>4-检验完成</v>
          </cell>
        </row>
        <row r="317">
          <cell r="O317">
            <v>0</v>
          </cell>
          <cell r="P317" t="str">
            <v>中国航发航空科技股份有限公司</v>
          </cell>
          <cell r="Q317" t="str">
            <v>510</v>
          </cell>
          <cell r="R317">
            <v>46137</v>
          </cell>
        </row>
        <row r="317">
          <cell r="U317" t="str">
            <v>010000917430</v>
          </cell>
          <cell r="V317" t="str">
            <v>BIAOQIAN1</v>
          </cell>
          <cell r="W317" t="str">
            <v/>
          </cell>
          <cell r="X317" t="str">
            <v>CP-108-A</v>
          </cell>
          <cell r="Y317" t="str">
            <v/>
          </cell>
          <cell r="Z317" t="str">
            <v>1902</v>
          </cell>
          <cell r="AA317" t="str">
            <v>1100161718</v>
          </cell>
          <cell r="AB317">
            <v>100</v>
          </cell>
          <cell r="AC317" t="str">
            <v/>
          </cell>
          <cell r="AD317">
            <v>107</v>
          </cell>
          <cell r="AE317" t="str">
            <v>G-100015358-260312-0075</v>
          </cell>
        </row>
        <row r="318">
          <cell r="B318" t="str">
            <v>7101106756</v>
          </cell>
          <cell r="C318" t="str">
            <v>G2604-0218</v>
          </cell>
          <cell r="D318" t="str">
            <v>000042944239002658</v>
          </cell>
          <cell r="E318" t="str">
            <v>螺栓</v>
          </cell>
          <cell r="F318" t="str">
            <v>S18.1.0045</v>
          </cell>
          <cell r="G318" t="str">
            <v>-</v>
          </cell>
          <cell r="H318" t="str">
            <v>d=3.55-3.3</v>
          </cell>
          <cell r="I318" t="str">
            <v>Ep·Ag8-12</v>
          </cell>
          <cell r="J318" t="str">
            <v>GH4698</v>
          </cell>
          <cell r="K318">
            <v>757</v>
          </cell>
          <cell r="L318">
            <v>46136</v>
          </cell>
          <cell r="M318" t="str">
            <v>4-检验完成</v>
          </cell>
        </row>
        <row r="318">
          <cell r="O318">
            <v>0</v>
          </cell>
          <cell r="P318" t="str">
            <v>中国航发航空科技股份有限公司</v>
          </cell>
          <cell r="Q318" t="str">
            <v>10</v>
          </cell>
          <cell r="R318">
            <v>46137</v>
          </cell>
        </row>
        <row r="318">
          <cell r="U318" t="str">
            <v>010000934327</v>
          </cell>
          <cell r="V318" t="str">
            <v>BIAOQIAN1</v>
          </cell>
          <cell r="W318" t="str">
            <v/>
          </cell>
          <cell r="X318" t="str">
            <v>CP-108-A</v>
          </cell>
          <cell r="Y318" t="str">
            <v/>
          </cell>
          <cell r="Z318" t="str">
            <v>1902</v>
          </cell>
          <cell r="AA318" t="str">
            <v>1100155189</v>
          </cell>
          <cell r="AB318">
            <v>1008</v>
          </cell>
          <cell r="AC318" t="str">
            <v/>
          </cell>
          <cell r="AD318">
            <v>86.86</v>
          </cell>
          <cell r="AE318" t="str">
            <v>G-100015358-251030-0304</v>
          </cell>
        </row>
        <row r="319">
          <cell r="B319" t="str">
            <v>7101106758</v>
          </cell>
          <cell r="C319" t="str">
            <v>G2604-0218</v>
          </cell>
          <cell r="D319" t="str">
            <v>000042944239002658</v>
          </cell>
          <cell r="E319" t="str">
            <v>螺栓</v>
          </cell>
          <cell r="F319" t="str">
            <v>S18.1.0045</v>
          </cell>
          <cell r="G319" t="str">
            <v>-</v>
          </cell>
          <cell r="H319" t="str">
            <v>d=3.55-3.3</v>
          </cell>
          <cell r="I319" t="str">
            <v>Ep·Ag8-12</v>
          </cell>
          <cell r="J319" t="str">
            <v>GH4698</v>
          </cell>
          <cell r="K319">
            <v>366</v>
          </cell>
          <cell r="L319">
            <v>46136</v>
          </cell>
          <cell r="M319" t="str">
            <v>3-配货完成</v>
          </cell>
        </row>
        <row r="319">
          <cell r="O319">
            <v>0</v>
          </cell>
          <cell r="P319" t="str">
            <v>中国航发航空科技股份有限公司</v>
          </cell>
          <cell r="Q319" t="str">
            <v>10</v>
          </cell>
        </row>
        <row r="319">
          <cell r="U319" t="str">
            <v>010000934327</v>
          </cell>
          <cell r="V319" t="str">
            <v>BIAOQIAN1</v>
          </cell>
          <cell r="W319" t="str">
            <v/>
          </cell>
          <cell r="X319" t="str">
            <v>CP-108-A</v>
          </cell>
          <cell r="Y319" t="str">
            <v/>
          </cell>
          <cell r="Z319" t="str">
            <v>1902</v>
          </cell>
          <cell r="AA319" t="str">
            <v>1100161484</v>
          </cell>
          <cell r="AB319">
            <v>3150</v>
          </cell>
          <cell r="AC319" t="str">
            <v/>
          </cell>
          <cell r="AD319">
            <v>86.86</v>
          </cell>
          <cell r="AE319" t="str">
            <v>G-100015358-260309-0061</v>
          </cell>
        </row>
        <row r="320">
          <cell r="B320" t="str">
            <v>7101106812</v>
          </cell>
          <cell r="C320" t="str">
            <v>G12604-043</v>
          </cell>
          <cell r="D320" t="str">
            <v>000042944439002586</v>
          </cell>
          <cell r="E320" t="str">
            <v>垫圈</v>
          </cell>
          <cell r="F320" t="str">
            <v>HB1-521FA-2002</v>
          </cell>
          <cell r="G320" t="str">
            <v>6×12×1.5</v>
          </cell>
          <cell r="H320" t="str">
            <v/>
          </cell>
          <cell r="I320" t="str">
            <v/>
          </cell>
          <cell r="J320" t="str">
            <v>1Cr18Ni9Ti</v>
          </cell>
          <cell r="K320">
            <v>288</v>
          </cell>
          <cell r="L320">
            <v>46136</v>
          </cell>
          <cell r="M320" t="str">
            <v>3-配货完成</v>
          </cell>
        </row>
        <row r="320">
          <cell r="O320">
            <v>0</v>
          </cell>
          <cell r="P320" t="str">
            <v>中国航发航空科技股份有限公司</v>
          </cell>
          <cell r="Q320" t="str">
            <v>30</v>
          </cell>
        </row>
        <row r="320">
          <cell r="U320" t="str">
            <v/>
          </cell>
          <cell r="V320" t="str">
            <v>BIAOQIAN3</v>
          </cell>
          <cell r="W320" t="str">
            <v/>
          </cell>
          <cell r="X320" t="str">
            <v>XH-000</v>
          </cell>
          <cell r="Y320" t="str">
            <v/>
          </cell>
          <cell r="Z320" t="str">
            <v>1902</v>
          </cell>
          <cell r="AA320" t="str">
            <v>1100162972</v>
          </cell>
          <cell r="AB320">
            <v>288</v>
          </cell>
          <cell r="AC320" t="str">
            <v/>
          </cell>
          <cell r="AD320">
            <v>0.9</v>
          </cell>
          <cell r="AE320" t="str">
            <v>G-100015358-260407-0106-1-H-XH</v>
          </cell>
        </row>
        <row r="321">
          <cell r="B321" t="str">
            <v>7101106854</v>
          </cell>
          <cell r="C321" t="str">
            <v>G2604-1685</v>
          </cell>
          <cell r="D321" t="str">
            <v>000042944319095122</v>
          </cell>
          <cell r="E321" t="str">
            <v>螺母</v>
          </cell>
          <cell r="F321" t="str">
            <v>S18.48.5038</v>
          </cell>
          <cell r="G321" t="str">
            <v>-</v>
          </cell>
          <cell r="H321" t="str">
            <v>d=3.1-3.45</v>
          </cell>
          <cell r="I321" t="str">
            <v>Ep·Cu3·P</v>
          </cell>
          <cell r="J321" t="str">
            <v>13Cr11Ni2W2MoV</v>
          </cell>
          <cell r="K321">
            <v>5</v>
          </cell>
          <cell r="L321">
            <v>46136</v>
          </cell>
          <cell r="M321" t="str">
            <v>3-配货完成</v>
          </cell>
        </row>
        <row r="321">
          <cell r="O321">
            <v>0</v>
          </cell>
          <cell r="P321" t="str">
            <v>中国航发航空科技股份有限公司</v>
          </cell>
          <cell r="Q321" t="str">
            <v>50</v>
          </cell>
        </row>
        <row r="321">
          <cell r="U321" t="str">
            <v>010000940137</v>
          </cell>
          <cell r="V321" t="str">
            <v>BIAOQIAN3</v>
          </cell>
          <cell r="W321" t="str">
            <v/>
          </cell>
          <cell r="X321" t="str">
            <v>CP-108-A</v>
          </cell>
          <cell r="Y321" t="str">
            <v/>
          </cell>
          <cell r="Z321" t="str">
            <v>1902</v>
          </cell>
          <cell r="AA321" t="str">
            <v>1100163357</v>
          </cell>
          <cell r="AB321">
            <v>5</v>
          </cell>
          <cell r="AC321" t="str">
            <v/>
          </cell>
          <cell r="AD321">
            <v>160.1</v>
          </cell>
          <cell r="AE321" t="str">
            <v>G-100015358-260411-0119XH</v>
          </cell>
        </row>
        <row r="322">
          <cell r="B322" t="str">
            <v>7101107263</v>
          </cell>
          <cell r="C322" t="str">
            <v>G2601-0932</v>
          </cell>
          <cell r="D322" t="str">
            <v>000042944319165005</v>
          </cell>
          <cell r="E322" t="str">
            <v>防转托板螺母</v>
          </cell>
          <cell r="F322" t="str">
            <v>7222C2A010P20</v>
          </cell>
          <cell r="G322" t="str">
            <v>-</v>
          </cell>
          <cell r="H322" t="str">
            <v>≤39HRC</v>
          </cell>
          <cell r="I322" t="str">
            <v>Ep·Ag8-15</v>
          </cell>
          <cell r="J322" t="str">
            <v>A286</v>
          </cell>
          <cell r="K322">
            <v>210</v>
          </cell>
          <cell r="L322">
            <v>46136</v>
          </cell>
          <cell r="M322" t="str">
            <v>3-配货完成</v>
          </cell>
        </row>
        <row r="322">
          <cell r="O322">
            <v>0</v>
          </cell>
          <cell r="P322" t="str">
            <v>中国航发航空科技股份有限公司</v>
          </cell>
          <cell r="Q322" t="str">
            <v>60</v>
          </cell>
        </row>
        <row r="322">
          <cell r="U322" t="str">
            <v>010000902022</v>
          </cell>
          <cell r="V322" t="str">
            <v>BIAOQIAN2</v>
          </cell>
          <cell r="W322" t="str">
            <v/>
          </cell>
          <cell r="X322" t="str">
            <v>CP-108-A</v>
          </cell>
          <cell r="Y322" t="str">
            <v/>
          </cell>
          <cell r="Z322" t="str">
            <v>1902</v>
          </cell>
          <cell r="AA322" t="str">
            <v>1100157112</v>
          </cell>
          <cell r="AB322">
            <v>210</v>
          </cell>
          <cell r="AC322" t="str">
            <v/>
          </cell>
          <cell r="AD322">
            <v>280.7</v>
          </cell>
          <cell r="AE322" t="str">
            <v>G-100015358-251128-0335</v>
          </cell>
        </row>
        <row r="323">
          <cell r="B323" t="str">
            <v>7101107263</v>
          </cell>
          <cell r="C323" t="str">
            <v>G2601-0932</v>
          </cell>
          <cell r="D323" t="str">
            <v>000042944319165005</v>
          </cell>
          <cell r="E323" t="str">
            <v>防转托板螺母</v>
          </cell>
          <cell r="F323" t="str">
            <v>7222C2A010P20</v>
          </cell>
          <cell r="G323" t="str">
            <v>-</v>
          </cell>
          <cell r="H323" t="str">
            <v>≤39HRC</v>
          </cell>
          <cell r="I323" t="str">
            <v>Ep·Ag8-15</v>
          </cell>
          <cell r="J323" t="str">
            <v>A286</v>
          </cell>
          <cell r="K323">
            <v>118</v>
          </cell>
          <cell r="L323">
            <v>46136</v>
          </cell>
          <cell r="M323" t="str">
            <v>3-配货完成</v>
          </cell>
        </row>
        <row r="323">
          <cell r="O323">
            <v>0</v>
          </cell>
          <cell r="P323" t="str">
            <v>中国航发航空科技股份有限公司</v>
          </cell>
          <cell r="Q323" t="str">
            <v>250</v>
          </cell>
        </row>
        <row r="323">
          <cell r="U323" t="str">
            <v>010000902022</v>
          </cell>
          <cell r="V323" t="str">
            <v>BIAOQIAN2</v>
          </cell>
          <cell r="W323" t="str">
            <v/>
          </cell>
          <cell r="X323" t="str">
            <v>CP-108-A</v>
          </cell>
          <cell r="Y323" t="str">
            <v/>
          </cell>
          <cell r="Z323" t="str">
            <v>1902</v>
          </cell>
          <cell r="AA323" t="str">
            <v>1100157112</v>
          </cell>
          <cell r="AB323">
            <v>118</v>
          </cell>
          <cell r="AC323" t="str">
            <v/>
          </cell>
          <cell r="AD323">
            <v>280.7</v>
          </cell>
          <cell r="AE323" t="str">
            <v>G-100015358-251128-0335</v>
          </cell>
        </row>
        <row r="324">
          <cell r="B324" t="str">
            <v>7101107265</v>
          </cell>
          <cell r="C324" t="str">
            <v>G2601-0932</v>
          </cell>
          <cell r="D324" t="str">
            <v>000042944319165005</v>
          </cell>
          <cell r="E324" t="str">
            <v>防转托板螺母</v>
          </cell>
          <cell r="F324" t="str">
            <v>7222C2A010P20</v>
          </cell>
          <cell r="G324" t="str">
            <v>-</v>
          </cell>
          <cell r="H324" t="str">
            <v>≤39HRC</v>
          </cell>
          <cell r="I324" t="str">
            <v>Ep·Ag8-15</v>
          </cell>
          <cell r="J324" t="str">
            <v>A286</v>
          </cell>
          <cell r="K324">
            <v>63</v>
          </cell>
          <cell r="L324">
            <v>46136</v>
          </cell>
          <cell r="M324" t="str">
            <v>3-配货完成</v>
          </cell>
        </row>
        <row r="324">
          <cell r="O324">
            <v>0</v>
          </cell>
          <cell r="P324" t="str">
            <v>中国航发航空科技股份有限公司</v>
          </cell>
          <cell r="Q324" t="str">
            <v>410</v>
          </cell>
        </row>
        <row r="324">
          <cell r="U324" t="str">
            <v>010000902022</v>
          </cell>
          <cell r="V324" t="str">
            <v>BIAOQIAN2</v>
          </cell>
          <cell r="W324" t="str">
            <v/>
          </cell>
          <cell r="X324" t="str">
            <v>CP-108-A</v>
          </cell>
          <cell r="Y324" t="str">
            <v/>
          </cell>
          <cell r="Z324" t="str">
            <v>1902</v>
          </cell>
          <cell r="AA324" t="str">
            <v>1100160709</v>
          </cell>
          <cell r="AB324">
            <v>72</v>
          </cell>
          <cell r="AC324" t="str">
            <v/>
          </cell>
          <cell r="AD324">
            <v>280.7</v>
          </cell>
          <cell r="AE324" t="str">
            <v>G-100015358-260206-0033</v>
          </cell>
        </row>
        <row r="325">
          <cell r="B325" t="str">
            <v>7101107265</v>
          </cell>
          <cell r="C325" t="str">
            <v>G2601-0932</v>
          </cell>
          <cell r="D325" t="str">
            <v>000042944319165005</v>
          </cell>
          <cell r="E325" t="str">
            <v>防转托板螺母</v>
          </cell>
          <cell r="F325" t="str">
            <v>7222C2A010P20</v>
          </cell>
          <cell r="G325" t="str">
            <v>-</v>
          </cell>
          <cell r="H325" t="str">
            <v>≤39HRC</v>
          </cell>
          <cell r="I325" t="str">
            <v>Ep·Ag8-15</v>
          </cell>
          <cell r="J325" t="str">
            <v>A286</v>
          </cell>
          <cell r="K325">
            <v>70</v>
          </cell>
          <cell r="L325">
            <v>46136</v>
          </cell>
          <cell r="M325" t="str">
            <v>3-配货完成</v>
          </cell>
        </row>
        <row r="325">
          <cell r="O325">
            <v>0</v>
          </cell>
          <cell r="P325" t="str">
            <v>中国航发航空科技股份有限公司</v>
          </cell>
          <cell r="Q325" t="str">
            <v>420</v>
          </cell>
        </row>
        <row r="325">
          <cell r="U325" t="str">
            <v>010000902022</v>
          </cell>
          <cell r="V325" t="str">
            <v>BIAOQIAN2</v>
          </cell>
          <cell r="W325" t="str">
            <v/>
          </cell>
          <cell r="X325" t="str">
            <v>CP-108-A</v>
          </cell>
          <cell r="Y325" t="str">
            <v/>
          </cell>
          <cell r="Z325" t="str">
            <v>1902</v>
          </cell>
          <cell r="AA325" t="str">
            <v>1100160709</v>
          </cell>
          <cell r="AB325">
            <v>72</v>
          </cell>
          <cell r="AC325" t="str">
            <v/>
          </cell>
          <cell r="AD325">
            <v>280.7</v>
          </cell>
          <cell r="AE325" t="str">
            <v>G-100015358-260206-0033</v>
          </cell>
        </row>
        <row r="326">
          <cell r="B326" t="str">
            <v>7101107438</v>
          </cell>
          <cell r="C326" t="str">
            <v>G02604-072</v>
          </cell>
          <cell r="D326" t="str">
            <v>000042944402168777</v>
          </cell>
          <cell r="E326" t="str">
            <v>标准型弹簧垫圈</v>
          </cell>
          <cell r="F326" t="str">
            <v>GB93-1987(QC500)</v>
          </cell>
          <cell r="G326" t="str">
            <v>8</v>
          </cell>
          <cell r="H326" t="str">
            <v>42-50HRC</v>
          </cell>
          <cell r="I326" t="str">
            <v>Ct·O</v>
          </cell>
          <cell r="J326" t="str">
            <v>65Mn</v>
          </cell>
          <cell r="K326">
            <v>139</v>
          </cell>
          <cell r="L326">
            <v>46136</v>
          </cell>
          <cell r="M326" t="str">
            <v>3-配货完成</v>
          </cell>
        </row>
        <row r="326">
          <cell r="O326">
            <v>0</v>
          </cell>
          <cell r="P326" t="str">
            <v>中国航发航空科技股份有限公司</v>
          </cell>
          <cell r="Q326" t="str">
            <v>30</v>
          </cell>
        </row>
        <row r="326">
          <cell r="U326" t="str">
            <v>010000938115</v>
          </cell>
          <cell r="V326" t="str">
            <v>BIAOQIAN2</v>
          </cell>
          <cell r="W326" t="str">
            <v/>
          </cell>
          <cell r="X326" t="str">
            <v>CP-108-A</v>
          </cell>
          <cell r="Y326" t="str">
            <v/>
          </cell>
          <cell r="Z326" t="str">
            <v>1902</v>
          </cell>
          <cell r="AA326" t="str">
            <v>1100159889</v>
          </cell>
          <cell r="AB326">
            <v>139</v>
          </cell>
          <cell r="AC326" t="str">
            <v/>
          </cell>
          <cell r="AD326">
            <v>2</v>
          </cell>
          <cell r="AE326" t="str">
            <v>G-100015358-260123-0025</v>
          </cell>
        </row>
        <row r="327">
          <cell r="B327" t="str">
            <v>7101107451</v>
          </cell>
          <cell r="C327" t="str">
            <v>G02604-070</v>
          </cell>
          <cell r="D327" t="str">
            <v>000042944402168778</v>
          </cell>
          <cell r="E327" t="str">
            <v>标准型弹簧垫圈</v>
          </cell>
          <cell r="F327" t="str">
            <v>GB93-1987(QC500)</v>
          </cell>
          <cell r="G327" t="str">
            <v>12</v>
          </cell>
          <cell r="H327" t="str">
            <v>42-50HRC</v>
          </cell>
          <cell r="I327" t="str">
            <v>Ct·O</v>
          </cell>
          <cell r="J327" t="str">
            <v>65Mn</v>
          </cell>
          <cell r="K327">
            <v>222</v>
          </cell>
          <cell r="L327">
            <v>46136</v>
          </cell>
          <cell r="M327" t="str">
            <v>3-配货完成</v>
          </cell>
        </row>
        <row r="327">
          <cell r="O327">
            <v>0</v>
          </cell>
          <cell r="P327" t="str">
            <v>中国航发航空科技股份有限公司</v>
          </cell>
          <cell r="Q327" t="str">
            <v>50</v>
          </cell>
        </row>
        <row r="327">
          <cell r="U327" t="str">
            <v>010000938112</v>
          </cell>
          <cell r="V327" t="str">
            <v>BIAOQIAN2</v>
          </cell>
          <cell r="W327" t="str">
            <v/>
          </cell>
          <cell r="X327" t="str">
            <v>CP-108-A</v>
          </cell>
          <cell r="Y327" t="str">
            <v/>
          </cell>
          <cell r="Z327" t="str">
            <v>1902</v>
          </cell>
          <cell r="AA327" t="str">
            <v>1100159889</v>
          </cell>
          <cell r="AB327">
            <v>222</v>
          </cell>
          <cell r="AC327" t="str">
            <v/>
          </cell>
          <cell r="AD327">
            <v>12</v>
          </cell>
          <cell r="AE327" t="str">
            <v>G-100015358-260123-0025</v>
          </cell>
        </row>
        <row r="328">
          <cell r="B328" t="str">
            <v>7101107452</v>
          </cell>
          <cell r="C328" t="str">
            <v>G2601-7029</v>
          </cell>
          <cell r="D328" t="str">
            <v>000042944319001152</v>
          </cell>
          <cell r="E328" t="str">
            <v>抗剪型MJ螺纹高锁螺母</v>
          </cell>
          <cell r="F328" t="str">
            <v>HB6508-2005</v>
          </cell>
          <cell r="G328" t="str">
            <v>5</v>
          </cell>
          <cell r="H328" t="str">
            <v/>
          </cell>
          <cell r="I328" t="str">
            <v>Et·A(S)·Cl(BU)+十六醇</v>
          </cell>
          <cell r="J328" t="str">
            <v>2A12</v>
          </cell>
          <cell r="K328">
            <v>4515</v>
          </cell>
          <cell r="L328">
            <v>46136</v>
          </cell>
          <cell r="M328" t="str">
            <v>3-配货完成</v>
          </cell>
        </row>
        <row r="328">
          <cell r="O328">
            <v>0</v>
          </cell>
          <cell r="P328" t="str">
            <v>中国航发航空科技股份有限公司</v>
          </cell>
          <cell r="Q328" t="str">
            <v>70</v>
          </cell>
        </row>
        <row r="328">
          <cell r="U328" t="str">
            <v>010000907207</v>
          </cell>
          <cell r="V328" t="str">
            <v>BIAOQIAN4</v>
          </cell>
          <cell r="W328" t="str">
            <v/>
          </cell>
          <cell r="X328" t="str">
            <v>CP-108-A</v>
          </cell>
          <cell r="Y328" t="str">
            <v/>
          </cell>
          <cell r="Z328" t="str">
            <v>1902</v>
          </cell>
          <cell r="AA328" t="str">
            <v>1100161667</v>
          </cell>
          <cell r="AB328">
            <v>61544</v>
          </cell>
          <cell r="AC328" t="str">
            <v/>
          </cell>
          <cell r="AD328">
            <v>4.9</v>
          </cell>
          <cell r="AE328" t="str">
            <v>G-100015358-260312-0072</v>
          </cell>
        </row>
        <row r="329">
          <cell r="B329" t="str">
            <v>7101107453</v>
          </cell>
          <cell r="C329" t="str">
            <v>G02604-073</v>
          </cell>
          <cell r="D329" t="str">
            <v>000042944402168777</v>
          </cell>
          <cell r="E329" t="str">
            <v>标准型弹簧垫圈</v>
          </cell>
          <cell r="F329" t="str">
            <v>GB93-1987(QC500)</v>
          </cell>
          <cell r="G329" t="str">
            <v>8</v>
          </cell>
          <cell r="H329" t="str">
            <v>42-50HRC</v>
          </cell>
          <cell r="I329" t="str">
            <v>Ct·O</v>
          </cell>
          <cell r="J329" t="str">
            <v>65Mn</v>
          </cell>
          <cell r="K329">
            <v>224</v>
          </cell>
          <cell r="L329">
            <v>46136</v>
          </cell>
          <cell r="M329" t="str">
            <v>3-配货完成</v>
          </cell>
        </row>
        <row r="329">
          <cell r="O329">
            <v>0</v>
          </cell>
          <cell r="P329" t="str">
            <v>中国航发航空科技股份有限公司</v>
          </cell>
          <cell r="Q329" t="str">
            <v>40</v>
          </cell>
        </row>
        <row r="329">
          <cell r="U329" t="str">
            <v>010000938116</v>
          </cell>
          <cell r="V329" t="str">
            <v>BIAOQIAN4</v>
          </cell>
          <cell r="W329" t="str">
            <v/>
          </cell>
          <cell r="X329" t="str">
            <v>CP-108-A</v>
          </cell>
          <cell r="Y329" t="str">
            <v/>
          </cell>
          <cell r="Z329" t="str">
            <v>1902</v>
          </cell>
          <cell r="AA329" t="str">
            <v>1100159889</v>
          </cell>
          <cell r="AB329">
            <v>224</v>
          </cell>
          <cell r="AC329" t="str">
            <v/>
          </cell>
          <cell r="AD329">
            <v>2</v>
          </cell>
          <cell r="AE329" t="str">
            <v>G-100015358-260123-0025</v>
          </cell>
        </row>
        <row r="330">
          <cell r="B330" t="str">
            <v>7101107523</v>
          </cell>
          <cell r="C330" t="str">
            <v>G2503-1153</v>
          </cell>
          <cell r="D330" t="str">
            <v>000042944160114866</v>
          </cell>
          <cell r="E330" t="str">
            <v>螺钉,小十二角头,带减轻孔,MJ螺纹,螺纹公差带4h6h,材</v>
          </cell>
          <cell r="F330" t="str">
            <v>Q/S15.1010-2020</v>
          </cell>
          <cell r="G330" t="str">
            <v>6-24</v>
          </cell>
          <cell r="H330" t="str">
            <v>σb=1100-1250MPa</v>
          </cell>
          <cell r="I330" t="str">
            <v>脉冲阳极化</v>
          </cell>
          <cell r="J330" t="str">
            <v>TC4</v>
          </cell>
          <cell r="K330">
            <v>4</v>
          </cell>
          <cell r="L330">
            <v>46137</v>
          </cell>
          <cell r="M330" t="str">
            <v>3-配货完成</v>
          </cell>
        </row>
        <row r="330">
          <cell r="O330">
            <v>0</v>
          </cell>
          <cell r="P330" t="str">
            <v>中国航发航空科技股份有限公司</v>
          </cell>
          <cell r="Q330" t="str">
            <v>10</v>
          </cell>
        </row>
        <row r="330">
          <cell r="U330" t="str">
            <v>010000795489</v>
          </cell>
          <cell r="V330" t="str">
            <v>BIAOQIAN4</v>
          </cell>
          <cell r="W330" t="str">
            <v/>
          </cell>
          <cell r="X330" t="str">
            <v>CP-20-3-2-6</v>
          </cell>
          <cell r="Y330" t="str">
            <v/>
          </cell>
          <cell r="Z330" t="str">
            <v>1902</v>
          </cell>
          <cell r="AA330" t="str">
            <v>1400005541</v>
          </cell>
          <cell r="AB330">
            <v>4</v>
          </cell>
          <cell r="AC330" t="str">
            <v/>
          </cell>
          <cell r="AD330">
            <v>0</v>
          </cell>
          <cell r="AE330" t="str">
            <v>G-100015358-260424-0139XH</v>
          </cell>
        </row>
        <row r="331">
          <cell r="B331" t="str">
            <v>7101107527</v>
          </cell>
          <cell r="C331" t="str">
            <v>G02604-112</v>
          </cell>
          <cell r="D331" t="str">
            <v>000042944360002341</v>
          </cell>
          <cell r="E331" t="str">
            <v>开口销</v>
          </cell>
          <cell r="F331" t="str">
            <v>GB/T91-2000</v>
          </cell>
          <cell r="G331" t="str">
            <v>1.6×20</v>
          </cell>
          <cell r="H331" t="str">
            <v/>
          </cell>
          <cell r="I331" t="str">
            <v>ECP</v>
          </cell>
          <cell r="J331" t="str">
            <v>0Cr18Ni9</v>
          </cell>
          <cell r="K331">
            <v>38</v>
          </cell>
          <cell r="L331">
            <v>46137</v>
          </cell>
          <cell r="M331" t="str">
            <v>3-配货完成</v>
          </cell>
        </row>
        <row r="331">
          <cell r="O331">
            <v>0</v>
          </cell>
          <cell r="P331" t="str">
            <v>中国航发航空科技股份有限公司</v>
          </cell>
          <cell r="Q331" t="str">
            <v>50</v>
          </cell>
        </row>
        <row r="331">
          <cell r="U331" t="str">
            <v>010000941248</v>
          </cell>
          <cell r="V331" t="str">
            <v>BIAOQIAN2</v>
          </cell>
          <cell r="W331" t="str">
            <v/>
          </cell>
          <cell r="X331" t="str">
            <v>CP-108-A</v>
          </cell>
          <cell r="Y331" t="str">
            <v/>
          </cell>
          <cell r="Z331" t="str">
            <v>1902</v>
          </cell>
          <cell r="AA331" t="str">
            <v>1100160304</v>
          </cell>
          <cell r="AB331">
            <v>38</v>
          </cell>
          <cell r="AC331" t="str">
            <v/>
          </cell>
          <cell r="AD331">
            <v>8</v>
          </cell>
          <cell r="AE331" t="str">
            <v>G-100015358-260202-0029</v>
          </cell>
        </row>
        <row r="332">
          <cell r="B332" t="str">
            <v>7101107590</v>
          </cell>
          <cell r="C332" t="str">
            <v>G02604-104</v>
          </cell>
          <cell r="D332" t="str">
            <v>000042944360002536</v>
          </cell>
          <cell r="E332" t="str">
            <v>开口销</v>
          </cell>
          <cell r="F332" t="str">
            <v>GB/T91-2000</v>
          </cell>
          <cell r="G332" t="str">
            <v>2×30</v>
          </cell>
          <cell r="H332" t="str">
            <v/>
          </cell>
          <cell r="I332" t="str">
            <v>ECP</v>
          </cell>
          <cell r="J332" t="str">
            <v>1Cr18Ni9Ti</v>
          </cell>
          <cell r="K332">
            <v>85</v>
          </cell>
          <cell r="L332">
            <v>46137</v>
          </cell>
          <cell r="M332" t="str">
            <v>3-配货完成</v>
          </cell>
        </row>
        <row r="332">
          <cell r="O332">
            <v>0</v>
          </cell>
          <cell r="P332" t="str">
            <v>中国航发航空科技股份有限公司</v>
          </cell>
          <cell r="Q332" t="str">
            <v>100</v>
          </cell>
        </row>
        <row r="332">
          <cell r="U332" t="str">
            <v>010000941240</v>
          </cell>
          <cell r="V332" t="str">
            <v>BIAOQIAN2</v>
          </cell>
          <cell r="W332" t="str">
            <v/>
          </cell>
          <cell r="X332" t="str">
            <v>CP-108-A</v>
          </cell>
          <cell r="Y332" t="str">
            <v/>
          </cell>
          <cell r="Z332" t="str">
            <v>1902</v>
          </cell>
          <cell r="AA332" t="str">
            <v>1100160304</v>
          </cell>
          <cell r="AB332">
            <v>85</v>
          </cell>
          <cell r="AC332" t="str">
            <v/>
          </cell>
          <cell r="AD332">
            <v>8</v>
          </cell>
          <cell r="AE332" t="str">
            <v>G-100015358-260202-0029</v>
          </cell>
        </row>
        <row r="333">
          <cell r="B333" t="str">
            <v>7101107674</v>
          </cell>
          <cell r="C333" t="str">
            <v>G2603-1337</v>
          </cell>
          <cell r="D333" t="str">
            <v>000042944999095565</v>
          </cell>
          <cell r="E333" t="str">
            <v>衬套</v>
          </cell>
          <cell r="F333" t="str">
            <v>DFT1.71.788</v>
          </cell>
          <cell r="G333" t="str">
            <v>-</v>
          </cell>
          <cell r="H333" t="str">
            <v/>
          </cell>
          <cell r="I333" t="str">
            <v>重铬酸盐钝化</v>
          </cell>
          <cell r="J333" t="str">
            <v>QAl10-4-4</v>
          </cell>
          <cell r="K333">
            <v>47</v>
          </cell>
          <cell r="L333">
            <v>46137</v>
          </cell>
          <cell r="M333" t="str">
            <v>3-配货完成</v>
          </cell>
        </row>
        <row r="333">
          <cell r="O333">
            <v>0</v>
          </cell>
          <cell r="P333" t="str">
            <v>中国航发航空科技股份有限公司</v>
          </cell>
          <cell r="Q333" t="str">
            <v>110</v>
          </cell>
        </row>
        <row r="333">
          <cell r="U333" t="str">
            <v>010000927273</v>
          </cell>
          <cell r="V333" t="str">
            <v>BIAOQIAN3</v>
          </cell>
          <cell r="W333" t="str">
            <v/>
          </cell>
          <cell r="X333" t="str">
            <v>CP-108-A</v>
          </cell>
          <cell r="Y333" t="str">
            <v/>
          </cell>
          <cell r="Z333" t="str">
            <v>1902</v>
          </cell>
          <cell r="AA333" t="str">
            <v>1100161667</v>
          </cell>
          <cell r="AB333">
            <v>65</v>
          </cell>
          <cell r="AC333" t="str">
            <v/>
          </cell>
          <cell r="AD333">
            <v>65</v>
          </cell>
          <cell r="AE333" t="str">
            <v>G-100015358-260312-0072</v>
          </cell>
        </row>
        <row r="334">
          <cell r="B334" t="str">
            <v>7101107752</v>
          </cell>
          <cell r="C334" t="str">
            <v>G02604-135</v>
          </cell>
          <cell r="D334" t="str">
            <v>000042944039086648</v>
          </cell>
          <cell r="E334" t="str">
            <v>普通型有折断槽钢丝螺套</v>
          </cell>
          <cell r="F334" t="str">
            <v>GJB119.1A-2001</v>
          </cell>
          <cell r="G334" t="str">
            <v>8×1.25×16</v>
          </cell>
          <cell r="H334" t="str">
            <v/>
          </cell>
          <cell r="I334" t="str">
            <v/>
          </cell>
          <cell r="J334" t="str">
            <v>1Cr18Ni9Ti</v>
          </cell>
          <cell r="K334">
            <v>12</v>
          </cell>
          <cell r="L334">
            <v>46137</v>
          </cell>
          <cell r="M334" t="str">
            <v>3-配货完成</v>
          </cell>
        </row>
        <row r="334">
          <cell r="O334">
            <v>0</v>
          </cell>
          <cell r="P334" t="str">
            <v>中国航发航空科技股份有限公司</v>
          </cell>
          <cell r="Q334" t="str">
            <v>10</v>
          </cell>
        </row>
        <row r="334">
          <cell r="U334" t="str">
            <v>010000942038</v>
          </cell>
          <cell r="V334" t="str">
            <v>BIAOQIAN3</v>
          </cell>
          <cell r="W334" t="str">
            <v/>
          </cell>
          <cell r="X334" t="str">
            <v>CP-108-A</v>
          </cell>
          <cell r="Y334" t="str">
            <v/>
          </cell>
          <cell r="Z334" t="str">
            <v>1902</v>
          </cell>
          <cell r="AA334" t="str">
            <v>1100159880</v>
          </cell>
          <cell r="AB334">
            <v>12</v>
          </cell>
          <cell r="AC334" t="str">
            <v/>
          </cell>
          <cell r="AD334">
            <v>62</v>
          </cell>
          <cell r="AE334" t="str">
            <v>G-100015358-260122-0019</v>
          </cell>
        </row>
        <row r="335">
          <cell r="B335" t="str">
            <v>7101107760</v>
          </cell>
          <cell r="C335" t="str">
            <v>G2604-0082</v>
          </cell>
          <cell r="D335" t="str">
            <v>000042944000159170</v>
          </cell>
          <cell r="E335" t="str">
            <v>孔探堵盖</v>
          </cell>
          <cell r="F335" t="str">
            <v>F91851000400</v>
          </cell>
          <cell r="G335" t="str">
            <v>-</v>
          </cell>
          <cell r="H335" t="str">
            <v/>
          </cell>
          <cell r="I335" t="str">
            <v/>
          </cell>
          <cell r="J335" t="str">
            <v>TC4</v>
          </cell>
          <cell r="K335">
            <v>5</v>
          </cell>
          <cell r="L335">
            <v>46137</v>
          </cell>
          <cell r="M335" t="str">
            <v>3-配货完成</v>
          </cell>
        </row>
        <row r="335">
          <cell r="O335">
            <v>0</v>
          </cell>
          <cell r="P335" t="str">
            <v>中国航发航空科技股份有限公司</v>
          </cell>
          <cell r="Q335" t="str">
            <v>10</v>
          </cell>
        </row>
        <row r="335">
          <cell r="U335" t="str">
            <v>010000933695</v>
          </cell>
          <cell r="V335" t="str">
            <v>BIAOQIAN1</v>
          </cell>
          <cell r="W335" t="str">
            <v/>
          </cell>
          <cell r="X335" t="str">
            <v>CP-108-A</v>
          </cell>
          <cell r="Y335" t="str">
            <v/>
          </cell>
          <cell r="Z335" t="str">
            <v>1902</v>
          </cell>
          <cell r="AA335" t="str">
            <v>1100162665</v>
          </cell>
          <cell r="AB335">
            <v>5</v>
          </cell>
          <cell r="AC335" t="str">
            <v/>
          </cell>
          <cell r="AD335">
            <v>536.4</v>
          </cell>
          <cell r="AE335" t="str">
            <v>G-100015358-260331-0101</v>
          </cell>
        </row>
        <row r="336">
          <cell r="B336" t="str">
            <v>7101107777</v>
          </cell>
          <cell r="C336" t="str">
            <v>G2603-1561</v>
          </cell>
          <cell r="D336" t="str">
            <v>000042944319171595</v>
          </cell>
          <cell r="E336" t="str">
            <v>保持式管接头用螺母</v>
          </cell>
          <cell r="F336" t="str">
            <v>AS4370</v>
          </cell>
          <cell r="G336" t="str">
            <v>S08-NL</v>
          </cell>
          <cell r="H336" t="str">
            <v/>
          </cell>
          <cell r="I336" t="str">
            <v>钝化+涂固体膜润滑</v>
          </cell>
          <cell r="J336" t="str">
            <v>AISI347</v>
          </cell>
          <cell r="K336">
            <v>5</v>
          </cell>
          <cell r="L336">
            <v>46137</v>
          </cell>
          <cell r="M336" t="str">
            <v>3-配货完成</v>
          </cell>
        </row>
        <row r="336">
          <cell r="O336">
            <v>0</v>
          </cell>
          <cell r="P336" t="str">
            <v>中国航发航空科技股份有限公司</v>
          </cell>
          <cell r="Q336" t="str">
            <v>100</v>
          </cell>
        </row>
        <row r="336">
          <cell r="U336" t="str">
            <v>010000928542</v>
          </cell>
          <cell r="V336" t="str">
            <v>BIAOQIAN2</v>
          </cell>
          <cell r="W336" t="str">
            <v/>
          </cell>
          <cell r="X336" t="str">
            <v>CP-108-A</v>
          </cell>
          <cell r="Y336" t="str">
            <v/>
          </cell>
          <cell r="Z336" t="str">
            <v>1902</v>
          </cell>
          <cell r="AA336" t="str">
            <v>1100161718</v>
          </cell>
          <cell r="AB336">
            <v>5</v>
          </cell>
          <cell r="AC336" t="str">
            <v/>
          </cell>
          <cell r="AD336">
            <v>128</v>
          </cell>
          <cell r="AE336" t="str">
            <v>G-100015358-260312-0075</v>
          </cell>
        </row>
        <row r="337">
          <cell r="B337" t="str">
            <v>7101107777</v>
          </cell>
          <cell r="C337" t="str">
            <v>G2603-1561</v>
          </cell>
          <cell r="D337" t="str">
            <v>000042944319171595</v>
          </cell>
          <cell r="E337" t="str">
            <v>保持式管接头用螺母</v>
          </cell>
          <cell r="F337" t="str">
            <v>AS4370</v>
          </cell>
          <cell r="G337" t="str">
            <v>S08-NL</v>
          </cell>
          <cell r="H337" t="str">
            <v/>
          </cell>
          <cell r="I337" t="str">
            <v>钝化+涂固体膜润滑</v>
          </cell>
          <cell r="J337" t="str">
            <v>AISI347</v>
          </cell>
          <cell r="K337">
            <v>12</v>
          </cell>
          <cell r="L337">
            <v>46137</v>
          </cell>
          <cell r="M337" t="str">
            <v>3-配货完成</v>
          </cell>
        </row>
        <row r="337">
          <cell r="O337">
            <v>0</v>
          </cell>
          <cell r="P337" t="str">
            <v>中国航发航空科技股份有限公司</v>
          </cell>
          <cell r="Q337" t="str">
            <v>180</v>
          </cell>
        </row>
        <row r="337">
          <cell r="U337" t="str">
            <v>010000928542</v>
          </cell>
          <cell r="V337" t="str">
            <v>BIAOQIAN2</v>
          </cell>
          <cell r="W337" t="str">
            <v/>
          </cell>
          <cell r="X337" t="str">
            <v>CP-108-A</v>
          </cell>
          <cell r="Y337" t="str">
            <v/>
          </cell>
          <cell r="Z337" t="str">
            <v>1902</v>
          </cell>
          <cell r="AA337" t="str">
            <v>1100161718</v>
          </cell>
          <cell r="AB337">
            <v>12</v>
          </cell>
          <cell r="AC337" t="str">
            <v/>
          </cell>
          <cell r="AD337">
            <v>128</v>
          </cell>
          <cell r="AE337" t="str">
            <v>G-100015358-260312-0075</v>
          </cell>
        </row>
        <row r="338">
          <cell r="B338" t="str">
            <v>7101107777</v>
          </cell>
          <cell r="C338" t="str">
            <v>G2603-1561</v>
          </cell>
          <cell r="D338" t="str">
            <v>000042944319171595</v>
          </cell>
          <cell r="E338" t="str">
            <v>保持式管接头用螺母</v>
          </cell>
          <cell r="F338" t="str">
            <v>AS4370</v>
          </cell>
          <cell r="G338" t="str">
            <v>S08-NL</v>
          </cell>
          <cell r="H338" t="str">
            <v/>
          </cell>
          <cell r="I338" t="str">
            <v>钝化+涂固体膜润滑</v>
          </cell>
          <cell r="J338" t="str">
            <v>AISI347</v>
          </cell>
          <cell r="K338">
            <v>5</v>
          </cell>
          <cell r="L338">
            <v>46137</v>
          </cell>
          <cell r="M338" t="str">
            <v>3-配货完成</v>
          </cell>
        </row>
        <row r="338">
          <cell r="O338">
            <v>0</v>
          </cell>
          <cell r="P338" t="str">
            <v>中国航发航空科技股份有限公司</v>
          </cell>
          <cell r="Q338" t="str">
            <v>320</v>
          </cell>
        </row>
        <row r="338">
          <cell r="U338" t="str">
            <v>010000928542</v>
          </cell>
          <cell r="V338" t="str">
            <v>BIAOQIAN2</v>
          </cell>
          <cell r="W338" t="str">
            <v/>
          </cell>
          <cell r="X338" t="str">
            <v>CP-108-A</v>
          </cell>
          <cell r="Y338" t="str">
            <v/>
          </cell>
          <cell r="Z338" t="str">
            <v>1902</v>
          </cell>
          <cell r="AA338" t="str">
            <v>1100161718</v>
          </cell>
          <cell r="AB338">
            <v>5</v>
          </cell>
          <cell r="AC338" t="str">
            <v/>
          </cell>
          <cell r="AD338">
            <v>128</v>
          </cell>
          <cell r="AE338" t="str">
            <v>G-100015358-260312-0075</v>
          </cell>
        </row>
        <row r="339">
          <cell r="B339" t="str">
            <v>7101107777</v>
          </cell>
          <cell r="C339" t="str">
            <v>G2603-1561</v>
          </cell>
          <cell r="D339" t="str">
            <v>000042944319171595</v>
          </cell>
          <cell r="E339" t="str">
            <v>保持式管接头用螺母</v>
          </cell>
          <cell r="F339" t="str">
            <v>AS4370</v>
          </cell>
          <cell r="G339" t="str">
            <v>S08-NL</v>
          </cell>
          <cell r="H339" t="str">
            <v/>
          </cell>
          <cell r="I339" t="str">
            <v>钝化+涂固体膜润滑</v>
          </cell>
          <cell r="J339" t="str">
            <v>AISI347</v>
          </cell>
          <cell r="K339">
            <v>12</v>
          </cell>
          <cell r="L339">
            <v>46137</v>
          </cell>
          <cell r="M339" t="str">
            <v>3-配货完成</v>
          </cell>
        </row>
        <row r="339">
          <cell r="O339">
            <v>0</v>
          </cell>
          <cell r="P339" t="str">
            <v>中国航发航空科技股份有限公司</v>
          </cell>
          <cell r="Q339" t="str">
            <v>390</v>
          </cell>
        </row>
        <row r="339">
          <cell r="U339" t="str">
            <v>010000928542</v>
          </cell>
          <cell r="V339" t="str">
            <v>BIAOQIAN2</v>
          </cell>
          <cell r="W339" t="str">
            <v/>
          </cell>
          <cell r="X339" t="str">
            <v>CP-108-A</v>
          </cell>
          <cell r="Y339" t="str">
            <v/>
          </cell>
          <cell r="Z339" t="str">
            <v>1902</v>
          </cell>
          <cell r="AA339" t="str">
            <v>1100161718</v>
          </cell>
          <cell r="AB339">
            <v>12</v>
          </cell>
          <cell r="AC339" t="str">
            <v/>
          </cell>
          <cell r="AD339">
            <v>128</v>
          </cell>
          <cell r="AE339" t="str">
            <v>G-100015358-260312-0075</v>
          </cell>
        </row>
        <row r="340">
          <cell r="B340" t="str">
            <v>7101107779</v>
          </cell>
          <cell r="C340" t="str">
            <v>G02604-103</v>
          </cell>
          <cell r="D340" t="str">
            <v>000042944360002398</v>
          </cell>
          <cell r="E340" t="str">
            <v>开口销</v>
          </cell>
          <cell r="F340" t="str">
            <v>GB/T91-2000</v>
          </cell>
          <cell r="G340" t="str">
            <v>1×8</v>
          </cell>
          <cell r="H340" t="str">
            <v/>
          </cell>
          <cell r="I340" t="str">
            <v>ECP</v>
          </cell>
          <cell r="J340" t="str">
            <v>1Cr18Ni9Ti</v>
          </cell>
          <cell r="K340">
            <v>10</v>
          </cell>
          <cell r="L340">
            <v>46137</v>
          </cell>
          <cell r="M340" t="str">
            <v>3-配货完成</v>
          </cell>
        </row>
        <row r="340">
          <cell r="O340">
            <v>0</v>
          </cell>
          <cell r="P340" t="str">
            <v>中国航发航空科技股份有限公司</v>
          </cell>
          <cell r="Q340" t="str">
            <v>160</v>
          </cell>
        </row>
        <row r="340">
          <cell r="U340" t="str">
            <v>010000941199</v>
          </cell>
          <cell r="V340" t="str">
            <v>BIAOQIAN2</v>
          </cell>
          <cell r="W340" t="str">
            <v/>
          </cell>
          <cell r="X340" t="str">
            <v>CP-108-A</v>
          </cell>
          <cell r="Y340" t="str">
            <v/>
          </cell>
          <cell r="Z340" t="str">
            <v>1902</v>
          </cell>
          <cell r="AA340" t="str">
            <v>1100160304</v>
          </cell>
          <cell r="AB340">
            <v>10</v>
          </cell>
          <cell r="AC340" t="str">
            <v/>
          </cell>
          <cell r="AD340">
            <v>3</v>
          </cell>
          <cell r="AE340" t="str">
            <v>G-100015358-260202-0029</v>
          </cell>
        </row>
        <row r="341">
          <cell r="B341" t="str">
            <v>7101107816</v>
          </cell>
          <cell r="C341" t="str">
            <v>G2604-1345</v>
          </cell>
          <cell r="D341" t="str">
            <v>000042944239171431</v>
          </cell>
          <cell r="E341" t="str">
            <v>D头螺栓</v>
          </cell>
          <cell r="F341" t="str">
            <v>7225C2A051P20</v>
          </cell>
          <cell r="G341" t="str">
            <v>-</v>
          </cell>
          <cell r="H341" t="str">
            <v>HRC36-46.5</v>
          </cell>
          <cell r="I341" t="str">
            <v/>
          </cell>
          <cell r="J341" t="str">
            <v>IN718</v>
          </cell>
          <cell r="K341">
            <v>69</v>
          </cell>
          <cell r="L341">
            <v>46137</v>
          </cell>
          <cell r="M341" t="str">
            <v>4-检验完成</v>
          </cell>
        </row>
        <row r="341">
          <cell r="O341">
            <v>0</v>
          </cell>
          <cell r="P341" t="str">
            <v>中国航发航空科技股份有限公司</v>
          </cell>
          <cell r="Q341" t="str">
            <v>50</v>
          </cell>
          <cell r="R341">
            <v>46137</v>
          </cell>
        </row>
        <row r="341">
          <cell r="U341" t="str">
            <v>010000938456</v>
          </cell>
          <cell r="V341" t="str">
            <v>BIAOQIAN4</v>
          </cell>
          <cell r="W341" t="str">
            <v/>
          </cell>
          <cell r="X341" t="str">
            <v>CP-108-A</v>
          </cell>
          <cell r="Y341" t="str">
            <v/>
          </cell>
          <cell r="Z341" t="str">
            <v>1902</v>
          </cell>
          <cell r="AA341" t="str">
            <v>1100161967</v>
          </cell>
          <cell r="AB341">
            <v>132</v>
          </cell>
          <cell r="AC341" t="str">
            <v/>
          </cell>
          <cell r="AD341">
            <v>311.9</v>
          </cell>
          <cell r="AE341" t="str">
            <v>G-100015358-260316-0077</v>
          </cell>
        </row>
        <row r="342">
          <cell r="B342" t="str">
            <v>7101107885</v>
          </cell>
          <cell r="C342" t="str">
            <v>G2604-2437</v>
          </cell>
          <cell r="D342" t="str">
            <v>000042944439168549</v>
          </cell>
          <cell r="E342" t="str">
            <v>沉头垫圈</v>
          </cell>
          <cell r="F342" t="str">
            <v>NASM14183(商发)</v>
          </cell>
          <cell r="G342" t="str">
            <v>MS14183L-C8</v>
          </cell>
          <cell r="H342" t="str">
            <v>36-45HRC</v>
          </cell>
          <cell r="I342" t="str">
            <v>钝化</v>
          </cell>
          <cell r="J342" t="str">
            <v>IN718</v>
          </cell>
          <cell r="K342">
            <v>16</v>
          </cell>
          <cell r="L342">
            <v>46137</v>
          </cell>
          <cell r="M342" t="str">
            <v>3-配货完成</v>
          </cell>
        </row>
        <row r="342">
          <cell r="O342">
            <v>0</v>
          </cell>
          <cell r="P342" t="str">
            <v>中国航发航空科技股份有限公司</v>
          </cell>
          <cell r="Q342" t="str">
            <v>20</v>
          </cell>
        </row>
        <row r="342">
          <cell r="U342" t="str">
            <v>010000941757</v>
          </cell>
          <cell r="V342" t="str">
            <v>BIAOQIAN4</v>
          </cell>
          <cell r="W342" t="str">
            <v/>
          </cell>
          <cell r="X342" t="str">
            <v>CP-108-A</v>
          </cell>
          <cell r="Y342" t="str">
            <v/>
          </cell>
          <cell r="Z342" t="str">
            <v>1902</v>
          </cell>
          <cell r="AA342" t="str">
            <v>1100161743</v>
          </cell>
          <cell r="AB342">
            <v>18</v>
          </cell>
          <cell r="AC342" t="str">
            <v/>
          </cell>
          <cell r="AD342">
            <v>54</v>
          </cell>
          <cell r="AE342" t="str">
            <v>G-100015358-260309-0056</v>
          </cell>
        </row>
        <row r="343">
          <cell r="B343" t="str">
            <v>7101108101</v>
          </cell>
          <cell r="C343" t="str">
            <v>G2601-2607</v>
          </cell>
          <cell r="D343" t="str">
            <v>000042944999135634</v>
          </cell>
          <cell r="E343" t="str">
            <v>小型和轻型由键固定的螺纹锁紧螺套</v>
          </cell>
          <cell r="F343" t="str">
            <v>MS51830(G版)</v>
          </cell>
          <cell r="G343" t="str">
            <v>CA201L</v>
          </cell>
          <cell r="H343" t="str">
            <v/>
          </cell>
          <cell r="I343" t="str">
            <v/>
          </cell>
          <cell r="J343" t="str">
            <v>组件</v>
          </cell>
          <cell r="K343">
            <v>19</v>
          </cell>
          <cell r="L343">
            <v>46137</v>
          </cell>
          <cell r="M343" t="str">
            <v>1-已打印</v>
          </cell>
        </row>
        <row r="343">
          <cell r="O343">
            <v>0</v>
          </cell>
          <cell r="P343" t="str">
            <v>中国航发航空科技股份有限公司</v>
          </cell>
          <cell r="Q343" t="str">
            <v>20</v>
          </cell>
        </row>
        <row r="343">
          <cell r="U343" t="str">
            <v>010000909698</v>
          </cell>
          <cell r="V343" t="str">
            <v/>
          </cell>
          <cell r="W343" t="str">
            <v/>
          </cell>
          <cell r="X343" t="str">
            <v>CP-108-A</v>
          </cell>
          <cell r="Y343" t="str">
            <v/>
          </cell>
          <cell r="Z343" t="str">
            <v>1902</v>
          </cell>
          <cell r="AA343" t="str">
            <v>1100161540</v>
          </cell>
          <cell r="AB343">
            <v>19</v>
          </cell>
          <cell r="AC343" t="str">
            <v/>
          </cell>
          <cell r="AD343">
            <v>107</v>
          </cell>
          <cell r="AE343" t="str">
            <v>G-100015358-260309-0057</v>
          </cell>
        </row>
        <row r="344">
          <cell r="B344" t="str">
            <v>7101108101</v>
          </cell>
          <cell r="C344" t="str">
            <v>G2601-2607</v>
          </cell>
          <cell r="D344" t="str">
            <v>000042944999135634</v>
          </cell>
          <cell r="E344" t="str">
            <v>小型和轻型由键固定的螺纹锁紧螺套</v>
          </cell>
          <cell r="F344" t="str">
            <v>MS51830(G版)</v>
          </cell>
          <cell r="G344" t="str">
            <v>CA201L</v>
          </cell>
          <cell r="H344" t="str">
            <v/>
          </cell>
          <cell r="I344" t="str">
            <v/>
          </cell>
          <cell r="J344" t="str">
            <v>组件</v>
          </cell>
          <cell r="K344">
            <v>19</v>
          </cell>
          <cell r="L344">
            <v>46137</v>
          </cell>
          <cell r="M344" t="str">
            <v>1-已打印</v>
          </cell>
        </row>
        <row r="344">
          <cell r="O344">
            <v>0</v>
          </cell>
          <cell r="P344" t="str">
            <v>中国航发航空科技股份有限公司</v>
          </cell>
          <cell r="Q344" t="str">
            <v>70</v>
          </cell>
        </row>
        <row r="344">
          <cell r="U344" t="str">
            <v>010000909698</v>
          </cell>
          <cell r="V344" t="str">
            <v/>
          </cell>
          <cell r="W344" t="str">
            <v/>
          </cell>
          <cell r="X344" t="str">
            <v>CP-108-A</v>
          </cell>
          <cell r="Y344" t="str">
            <v/>
          </cell>
          <cell r="Z344" t="str">
            <v>1902</v>
          </cell>
          <cell r="AA344" t="str">
            <v>1100161540</v>
          </cell>
          <cell r="AB344">
            <v>19</v>
          </cell>
          <cell r="AC344" t="str">
            <v/>
          </cell>
          <cell r="AD344">
            <v>107</v>
          </cell>
          <cell r="AE344" t="str">
            <v>G-100015358-260309-0057</v>
          </cell>
        </row>
        <row r="345">
          <cell r="B345" t="str">
            <v>7101108115</v>
          </cell>
          <cell r="C345" t="str">
            <v>G2601-2607</v>
          </cell>
          <cell r="D345" t="str">
            <v>000042944999135634</v>
          </cell>
          <cell r="E345" t="str">
            <v>小型和轻型由键固定的螺纹锁紧螺套</v>
          </cell>
          <cell r="F345" t="str">
            <v>MS51830(G版)</v>
          </cell>
          <cell r="G345" t="str">
            <v>CA201L</v>
          </cell>
          <cell r="H345" t="str">
            <v/>
          </cell>
          <cell r="I345" t="str">
            <v/>
          </cell>
          <cell r="J345" t="str">
            <v>组件</v>
          </cell>
          <cell r="K345">
            <v>6</v>
          </cell>
          <cell r="L345">
            <v>46137</v>
          </cell>
          <cell r="M345" t="str">
            <v>1-已打印</v>
          </cell>
        </row>
        <row r="345">
          <cell r="O345">
            <v>0</v>
          </cell>
          <cell r="P345" t="str">
            <v>中国航发航空科技股份有限公司</v>
          </cell>
          <cell r="Q345" t="str">
            <v>440</v>
          </cell>
        </row>
        <row r="345">
          <cell r="U345" t="str">
            <v>010000909698</v>
          </cell>
          <cell r="V345" t="str">
            <v/>
          </cell>
          <cell r="W345" t="str">
            <v/>
          </cell>
          <cell r="X345" t="str">
            <v>CP-108-A</v>
          </cell>
          <cell r="Y345" t="str">
            <v/>
          </cell>
          <cell r="Z345" t="str">
            <v>1902</v>
          </cell>
          <cell r="AA345" t="str">
            <v>1100160711</v>
          </cell>
          <cell r="AB345">
            <v>6</v>
          </cell>
          <cell r="AC345" t="str">
            <v/>
          </cell>
          <cell r="AD345">
            <v>107</v>
          </cell>
          <cell r="AE345" t="str">
            <v>G-100015358-260206-0032</v>
          </cell>
        </row>
        <row r="346">
          <cell r="B346" t="str">
            <v>7101108115</v>
          </cell>
          <cell r="C346" t="str">
            <v>G2601-2607</v>
          </cell>
          <cell r="D346" t="str">
            <v>000042944999135634</v>
          </cell>
          <cell r="E346" t="str">
            <v>小型和轻型由键固定的螺纹锁紧螺套</v>
          </cell>
          <cell r="F346" t="str">
            <v>MS51830(G版)</v>
          </cell>
          <cell r="G346" t="str">
            <v>CA201L</v>
          </cell>
          <cell r="H346" t="str">
            <v/>
          </cell>
          <cell r="I346" t="str">
            <v/>
          </cell>
          <cell r="J346" t="str">
            <v>组件</v>
          </cell>
          <cell r="K346">
            <v>25</v>
          </cell>
          <cell r="L346">
            <v>46137</v>
          </cell>
          <cell r="M346" t="str">
            <v>1-已打印</v>
          </cell>
        </row>
        <row r="346">
          <cell r="O346">
            <v>0</v>
          </cell>
          <cell r="P346" t="str">
            <v>中国航发航空科技股份有限公司</v>
          </cell>
          <cell r="Q346" t="str">
            <v>450</v>
          </cell>
        </row>
        <row r="346">
          <cell r="U346" t="str">
            <v>010000909698</v>
          </cell>
          <cell r="V346" t="str">
            <v/>
          </cell>
          <cell r="W346" t="str">
            <v/>
          </cell>
          <cell r="X346" t="str">
            <v>CP-108-A</v>
          </cell>
          <cell r="Y346" t="str">
            <v/>
          </cell>
          <cell r="Z346" t="str">
            <v>1902</v>
          </cell>
          <cell r="AA346" t="str">
            <v>1100160711</v>
          </cell>
          <cell r="AB346">
            <v>25</v>
          </cell>
          <cell r="AC346" t="str">
            <v/>
          </cell>
          <cell r="AD346">
            <v>107</v>
          </cell>
          <cell r="AE346" t="str">
            <v>G-100015358-260206-0032</v>
          </cell>
        </row>
        <row r="347">
          <cell r="B347" t="str">
            <v>7101108119</v>
          </cell>
          <cell r="C347" t="str">
            <v>G2601-2607</v>
          </cell>
          <cell r="D347" t="str">
            <v>000042944999135634</v>
          </cell>
          <cell r="E347" t="str">
            <v>小型和轻型由键固定的螺纹锁紧螺套</v>
          </cell>
          <cell r="F347" t="str">
            <v>MS51830(G版)</v>
          </cell>
          <cell r="G347" t="str">
            <v>CA201L</v>
          </cell>
          <cell r="H347" t="str">
            <v/>
          </cell>
          <cell r="I347" t="str">
            <v/>
          </cell>
          <cell r="J347" t="str">
            <v>组件</v>
          </cell>
          <cell r="K347">
            <v>2</v>
          </cell>
          <cell r="L347">
            <v>46137</v>
          </cell>
          <cell r="M347" t="str">
            <v>1-已打印</v>
          </cell>
        </row>
        <row r="347">
          <cell r="O347">
            <v>0</v>
          </cell>
          <cell r="P347" t="str">
            <v>中国航发航空科技股份有限公司</v>
          </cell>
          <cell r="Q347" t="str">
            <v>570</v>
          </cell>
        </row>
        <row r="347">
          <cell r="U347" t="str">
            <v>010000909698</v>
          </cell>
          <cell r="V347" t="str">
            <v/>
          </cell>
          <cell r="W347" t="str">
            <v/>
          </cell>
          <cell r="X347" t="str">
            <v>CP-108-A</v>
          </cell>
          <cell r="Y347" t="str">
            <v/>
          </cell>
          <cell r="Z347" t="str">
            <v>1902</v>
          </cell>
          <cell r="AA347" t="str">
            <v>1100160711</v>
          </cell>
          <cell r="AB347">
            <v>2</v>
          </cell>
          <cell r="AC347" t="str">
            <v/>
          </cell>
          <cell r="AD347">
            <v>107</v>
          </cell>
          <cell r="AE347" t="str">
            <v>G-100015358-260206-0032</v>
          </cell>
        </row>
        <row r="348">
          <cell r="B348" t="str">
            <v>7101108119</v>
          </cell>
          <cell r="C348" t="str">
            <v>G2601-2607</v>
          </cell>
          <cell r="D348" t="str">
            <v>000042944999135634</v>
          </cell>
          <cell r="E348" t="str">
            <v>小型和轻型由键固定的螺纹锁紧螺套</v>
          </cell>
          <cell r="F348" t="str">
            <v>MS51830(G版)</v>
          </cell>
          <cell r="G348" t="str">
            <v>CA201L</v>
          </cell>
          <cell r="H348" t="str">
            <v/>
          </cell>
          <cell r="I348" t="str">
            <v/>
          </cell>
          <cell r="J348" t="str">
            <v>组件</v>
          </cell>
          <cell r="K348">
            <v>6</v>
          </cell>
          <cell r="L348">
            <v>46137</v>
          </cell>
          <cell r="M348" t="str">
            <v>1-已打印</v>
          </cell>
        </row>
        <row r="348">
          <cell r="O348">
            <v>0</v>
          </cell>
          <cell r="P348" t="str">
            <v>中国航发航空科技股份有限公司</v>
          </cell>
          <cell r="Q348" t="str">
            <v>610</v>
          </cell>
        </row>
        <row r="348">
          <cell r="U348" t="str">
            <v>010000909698</v>
          </cell>
          <cell r="V348" t="str">
            <v/>
          </cell>
          <cell r="W348" t="str">
            <v/>
          </cell>
          <cell r="X348" t="str">
            <v>CP-108-A</v>
          </cell>
          <cell r="Y348" t="str">
            <v/>
          </cell>
          <cell r="Z348" t="str">
            <v>1902</v>
          </cell>
          <cell r="AA348" t="str">
            <v>1100160711</v>
          </cell>
          <cell r="AB348">
            <v>6</v>
          </cell>
          <cell r="AC348" t="str">
            <v/>
          </cell>
          <cell r="AD348">
            <v>107</v>
          </cell>
          <cell r="AE348" t="str">
            <v>G-100015358-260206-0032</v>
          </cell>
        </row>
        <row r="349">
          <cell r="B349" t="str">
            <v>7101108119</v>
          </cell>
          <cell r="C349" t="str">
            <v>G2601-2607</v>
          </cell>
          <cell r="D349" t="str">
            <v>000042944999135634</v>
          </cell>
          <cell r="E349" t="str">
            <v>小型和轻型由键固定的螺纹锁紧螺套</v>
          </cell>
          <cell r="F349" t="str">
            <v>MS51830(G版)</v>
          </cell>
          <cell r="G349" t="str">
            <v>CA201L</v>
          </cell>
          <cell r="H349" t="str">
            <v/>
          </cell>
          <cell r="I349" t="str">
            <v/>
          </cell>
          <cell r="J349" t="str">
            <v>组件</v>
          </cell>
          <cell r="K349">
            <v>25</v>
          </cell>
          <cell r="L349">
            <v>46137</v>
          </cell>
          <cell r="M349" t="str">
            <v>1-已打印</v>
          </cell>
        </row>
        <row r="349">
          <cell r="O349">
            <v>0</v>
          </cell>
          <cell r="P349" t="str">
            <v>中国航发航空科技股份有限公司</v>
          </cell>
          <cell r="Q349" t="str">
            <v>620</v>
          </cell>
        </row>
        <row r="349">
          <cell r="U349" t="str">
            <v>010000909698</v>
          </cell>
          <cell r="V349" t="str">
            <v/>
          </cell>
          <cell r="W349" t="str">
            <v/>
          </cell>
          <cell r="X349" t="str">
            <v>CP-108-A</v>
          </cell>
          <cell r="Y349" t="str">
            <v/>
          </cell>
          <cell r="Z349" t="str">
            <v>1902</v>
          </cell>
          <cell r="AA349" t="str">
            <v>1100160711</v>
          </cell>
          <cell r="AB349">
            <v>25</v>
          </cell>
          <cell r="AC349" t="str">
            <v/>
          </cell>
          <cell r="AD349">
            <v>107</v>
          </cell>
          <cell r="AE349" t="str">
            <v>G-100015358-260206-0032</v>
          </cell>
        </row>
        <row r="350">
          <cell r="B350" t="str">
            <v>7101108122</v>
          </cell>
          <cell r="C350" t="str">
            <v>G2601-2607</v>
          </cell>
          <cell r="D350" t="str">
            <v>000042944999135634</v>
          </cell>
          <cell r="E350" t="str">
            <v>小型和轻型由键固定的螺纹锁紧螺套</v>
          </cell>
          <cell r="F350" t="str">
            <v>MS51830(G版)</v>
          </cell>
          <cell r="G350" t="str">
            <v>CA201L</v>
          </cell>
          <cell r="H350" t="str">
            <v/>
          </cell>
          <cell r="I350" t="str">
            <v/>
          </cell>
          <cell r="J350" t="str">
            <v>组件</v>
          </cell>
          <cell r="K350">
            <v>2</v>
          </cell>
          <cell r="L350">
            <v>46137</v>
          </cell>
          <cell r="M350" t="str">
            <v>1-已打印</v>
          </cell>
        </row>
        <row r="350">
          <cell r="O350">
            <v>0</v>
          </cell>
          <cell r="P350" t="str">
            <v>中国航发航空科技股份有限公司</v>
          </cell>
          <cell r="Q350" t="str">
            <v>750</v>
          </cell>
        </row>
        <row r="350">
          <cell r="U350" t="str">
            <v>010000909698</v>
          </cell>
          <cell r="V350" t="str">
            <v/>
          </cell>
          <cell r="W350" t="str">
            <v/>
          </cell>
          <cell r="X350" t="str">
            <v>CP-108-A</v>
          </cell>
          <cell r="Y350" t="str">
            <v/>
          </cell>
          <cell r="Z350" t="str">
            <v>1902</v>
          </cell>
          <cell r="AA350" t="str">
            <v>1100160711</v>
          </cell>
          <cell r="AB350">
            <v>2</v>
          </cell>
          <cell r="AC350" t="str">
            <v/>
          </cell>
          <cell r="AD350">
            <v>107</v>
          </cell>
          <cell r="AE350" t="str">
            <v>G-100015358-260206-0032</v>
          </cell>
        </row>
        <row r="351">
          <cell r="B351" t="str">
            <v>7101108122</v>
          </cell>
          <cell r="C351" t="str">
            <v>G2601-2607</v>
          </cell>
          <cell r="D351" t="str">
            <v>000042944999135634</v>
          </cell>
          <cell r="E351" t="str">
            <v>小型和轻型由键固定的螺纹锁紧螺套</v>
          </cell>
          <cell r="F351" t="str">
            <v>MS51830(G版)</v>
          </cell>
          <cell r="G351" t="str">
            <v>CA201L</v>
          </cell>
          <cell r="H351" t="str">
            <v/>
          </cell>
          <cell r="I351" t="str">
            <v/>
          </cell>
          <cell r="J351" t="str">
            <v>组件</v>
          </cell>
          <cell r="K351">
            <v>25</v>
          </cell>
          <cell r="L351">
            <v>46137</v>
          </cell>
          <cell r="M351" t="str">
            <v>1-已打印</v>
          </cell>
        </row>
        <row r="351">
          <cell r="O351">
            <v>0</v>
          </cell>
          <cell r="P351" t="str">
            <v>中国航发航空科技股份有限公司</v>
          </cell>
          <cell r="Q351" t="str">
            <v>770</v>
          </cell>
        </row>
        <row r="351">
          <cell r="U351" t="str">
            <v>010000909698</v>
          </cell>
          <cell r="V351" t="str">
            <v/>
          </cell>
          <cell r="W351" t="str">
            <v/>
          </cell>
          <cell r="X351" t="str">
            <v>CP-108-A</v>
          </cell>
          <cell r="Y351" t="str">
            <v/>
          </cell>
          <cell r="Z351" t="str">
            <v>1902</v>
          </cell>
          <cell r="AA351" t="str">
            <v>1100160711</v>
          </cell>
          <cell r="AB351">
            <v>25</v>
          </cell>
          <cell r="AC351" t="str">
            <v/>
          </cell>
          <cell r="AD351">
            <v>107</v>
          </cell>
          <cell r="AE351" t="str">
            <v>G-100015358-260206-0032</v>
          </cell>
        </row>
        <row r="352">
          <cell r="B352" t="str">
            <v>7101108122</v>
          </cell>
          <cell r="C352" t="str">
            <v>G2601-2607</v>
          </cell>
          <cell r="D352" t="str">
            <v>000042944999135634</v>
          </cell>
          <cell r="E352" t="str">
            <v>小型和轻型由键固定的螺纹锁紧螺套</v>
          </cell>
          <cell r="F352" t="str">
            <v>MS51830(G版)</v>
          </cell>
          <cell r="G352" t="str">
            <v>CA201L</v>
          </cell>
          <cell r="H352" t="str">
            <v/>
          </cell>
          <cell r="I352" t="str">
            <v/>
          </cell>
          <cell r="J352" t="str">
            <v>组件</v>
          </cell>
          <cell r="K352">
            <v>2</v>
          </cell>
          <cell r="L352">
            <v>46137</v>
          </cell>
          <cell r="M352" t="str">
            <v>1-已打印</v>
          </cell>
        </row>
        <row r="352">
          <cell r="O352">
            <v>0</v>
          </cell>
          <cell r="P352" t="str">
            <v>中国航发航空科技股份有限公司</v>
          </cell>
          <cell r="Q352" t="str">
            <v>890</v>
          </cell>
        </row>
        <row r="352">
          <cell r="U352" t="str">
            <v>010000909698</v>
          </cell>
          <cell r="V352" t="str">
            <v/>
          </cell>
          <cell r="W352" t="str">
            <v/>
          </cell>
          <cell r="X352" t="str">
            <v>CP-108-A</v>
          </cell>
          <cell r="Y352" t="str">
            <v/>
          </cell>
          <cell r="Z352" t="str">
            <v>1902</v>
          </cell>
          <cell r="AA352" t="str">
            <v>1100160711</v>
          </cell>
          <cell r="AB352">
            <v>2</v>
          </cell>
          <cell r="AC352" t="str">
            <v/>
          </cell>
          <cell r="AD352">
            <v>107</v>
          </cell>
          <cell r="AE352" t="str">
            <v>G-100015358-260206-0032</v>
          </cell>
        </row>
        <row r="353">
          <cell r="B353" t="str">
            <v>7101108124</v>
          </cell>
          <cell r="C353" t="str">
            <v>G2601-2607</v>
          </cell>
          <cell r="D353" t="str">
            <v>000042944999135634</v>
          </cell>
          <cell r="E353" t="str">
            <v>小型和轻型由键固定的螺纹锁紧螺套</v>
          </cell>
          <cell r="F353" t="str">
            <v>MS51830(G版)</v>
          </cell>
          <cell r="G353" t="str">
            <v>CA201L</v>
          </cell>
          <cell r="H353" t="str">
            <v/>
          </cell>
          <cell r="I353" t="str">
            <v/>
          </cell>
          <cell r="J353" t="str">
            <v>组件</v>
          </cell>
          <cell r="K353">
            <v>6</v>
          </cell>
          <cell r="L353">
            <v>46137</v>
          </cell>
          <cell r="M353" t="str">
            <v>1-已打印</v>
          </cell>
        </row>
        <row r="353">
          <cell r="O353">
            <v>0</v>
          </cell>
          <cell r="P353" t="str">
            <v>中国航发航空科技股份有限公司</v>
          </cell>
          <cell r="Q353" t="str">
            <v>930</v>
          </cell>
        </row>
        <row r="353">
          <cell r="U353" t="str">
            <v>010000909698</v>
          </cell>
          <cell r="V353" t="str">
            <v/>
          </cell>
          <cell r="W353" t="str">
            <v/>
          </cell>
          <cell r="X353" t="str">
            <v>CP-108-A</v>
          </cell>
          <cell r="Y353" t="str">
            <v/>
          </cell>
          <cell r="Z353" t="str">
            <v>1902</v>
          </cell>
          <cell r="AA353" t="str">
            <v>1100160711</v>
          </cell>
          <cell r="AB353">
            <v>6</v>
          </cell>
          <cell r="AC353" t="str">
            <v/>
          </cell>
          <cell r="AD353">
            <v>107</v>
          </cell>
          <cell r="AE353" t="str">
            <v>G-100015358-260206-0032</v>
          </cell>
        </row>
        <row r="354">
          <cell r="B354" t="str">
            <v>7101108124</v>
          </cell>
          <cell r="C354" t="str">
            <v>G2601-2607</v>
          </cell>
          <cell r="D354" t="str">
            <v>000042944999135634</v>
          </cell>
          <cell r="E354" t="str">
            <v>小型和轻型由键固定的螺纹锁紧螺套</v>
          </cell>
          <cell r="F354" t="str">
            <v>MS51830(G版)</v>
          </cell>
          <cell r="G354" t="str">
            <v>CA201L</v>
          </cell>
          <cell r="H354" t="str">
            <v/>
          </cell>
          <cell r="I354" t="str">
            <v/>
          </cell>
          <cell r="J354" t="str">
            <v>组件</v>
          </cell>
          <cell r="K354">
            <v>25</v>
          </cell>
          <cell r="L354">
            <v>46137</v>
          </cell>
          <cell r="M354" t="str">
            <v>1-已打印</v>
          </cell>
        </row>
        <row r="354">
          <cell r="O354">
            <v>0</v>
          </cell>
          <cell r="P354" t="str">
            <v>中国航发航空科技股份有限公司</v>
          </cell>
          <cell r="Q354" t="str">
            <v>940</v>
          </cell>
        </row>
        <row r="354">
          <cell r="U354" t="str">
            <v>010000909698</v>
          </cell>
          <cell r="V354" t="str">
            <v/>
          </cell>
          <cell r="W354" t="str">
            <v/>
          </cell>
          <cell r="X354" t="str">
            <v>CP-108-A</v>
          </cell>
          <cell r="Y354" t="str">
            <v/>
          </cell>
          <cell r="Z354" t="str">
            <v>1902</v>
          </cell>
          <cell r="AA354" t="str">
            <v>1100160711</v>
          </cell>
          <cell r="AB354">
            <v>25</v>
          </cell>
          <cell r="AC354" t="str">
            <v/>
          </cell>
          <cell r="AD354">
            <v>107</v>
          </cell>
          <cell r="AE354" t="str">
            <v>G-100015358-260206-0032</v>
          </cell>
        </row>
        <row r="355">
          <cell r="B355" t="str">
            <v>7101108126</v>
          </cell>
          <cell r="C355" t="str">
            <v>G2601-2607</v>
          </cell>
          <cell r="D355" t="str">
            <v>000042944999135634</v>
          </cell>
          <cell r="E355" t="str">
            <v>小型和轻型由键固定的螺纹锁紧螺套</v>
          </cell>
          <cell r="F355" t="str">
            <v>MS51830(G版)</v>
          </cell>
          <cell r="G355" t="str">
            <v>CA201L</v>
          </cell>
          <cell r="H355" t="str">
            <v/>
          </cell>
          <cell r="I355" t="str">
            <v/>
          </cell>
          <cell r="J355" t="str">
            <v>组件</v>
          </cell>
          <cell r="K355">
            <v>2</v>
          </cell>
          <cell r="L355">
            <v>46137</v>
          </cell>
          <cell r="M355" t="str">
            <v>1-已打印</v>
          </cell>
        </row>
        <row r="355">
          <cell r="O355">
            <v>0</v>
          </cell>
          <cell r="P355" t="str">
            <v>中国航发航空科技股份有限公司</v>
          </cell>
          <cell r="Q355" t="str">
            <v>1070</v>
          </cell>
        </row>
        <row r="355">
          <cell r="U355" t="str">
            <v>010000909698</v>
          </cell>
          <cell r="V355" t="str">
            <v/>
          </cell>
          <cell r="W355" t="str">
            <v/>
          </cell>
          <cell r="X355" t="str">
            <v>CP-108-A</v>
          </cell>
          <cell r="Y355" t="str">
            <v/>
          </cell>
          <cell r="Z355" t="str">
            <v>1902</v>
          </cell>
          <cell r="AA355" t="str">
            <v>1100160711</v>
          </cell>
          <cell r="AB355">
            <v>2</v>
          </cell>
          <cell r="AC355" t="str">
            <v/>
          </cell>
          <cell r="AD355">
            <v>107</v>
          </cell>
          <cell r="AE355" t="str">
            <v>G-100015358-260206-0032</v>
          </cell>
        </row>
        <row r="356">
          <cell r="B356" t="str">
            <v>7101108131</v>
          </cell>
          <cell r="C356" t="str">
            <v>G2601-2607</v>
          </cell>
          <cell r="D356" t="str">
            <v>000042944999135634</v>
          </cell>
          <cell r="E356" t="str">
            <v>小型和轻型由键固定的螺纹锁紧螺套</v>
          </cell>
          <cell r="F356" t="str">
            <v>MS51830(G版)</v>
          </cell>
          <cell r="G356" t="str">
            <v>CA201L</v>
          </cell>
          <cell r="H356" t="str">
            <v/>
          </cell>
          <cell r="I356" t="str">
            <v/>
          </cell>
          <cell r="J356" t="str">
            <v>组件</v>
          </cell>
          <cell r="K356">
            <v>92</v>
          </cell>
          <cell r="L356">
            <v>46137</v>
          </cell>
          <cell r="M356" t="str">
            <v>1-已打印</v>
          </cell>
        </row>
        <row r="356">
          <cell r="O356">
            <v>0</v>
          </cell>
          <cell r="P356" t="str">
            <v>中国航发航空科技股份有限公司</v>
          </cell>
          <cell r="Q356" t="str">
            <v>160</v>
          </cell>
        </row>
        <row r="356">
          <cell r="U356" t="str">
            <v>010000909698</v>
          </cell>
          <cell r="V356" t="str">
            <v/>
          </cell>
          <cell r="W356" t="str">
            <v/>
          </cell>
          <cell r="X356" t="str">
            <v>CP-108-A</v>
          </cell>
          <cell r="Y356" t="str">
            <v/>
          </cell>
          <cell r="Z356" t="str">
            <v>1902</v>
          </cell>
          <cell r="AA356" t="str">
            <v>1100159716</v>
          </cell>
          <cell r="AB356">
            <v>92</v>
          </cell>
          <cell r="AC356" t="str">
            <v/>
          </cell>
          <cell r="AD356">
            <v>107</v>
          </cell>
          <cell r="AE356" t="str">
            <v>G-100015358-260123-0021</v>
          </cell>
        </row>
        <row r="357">
          <cell r="B357" t="str">
            <v>7101108131</v>
          </cell>
          <cell r="C357" t="str">
            <v>G2601-2607</v>
          </cell>
          <cell r="D357" t="str">
            <v>000042944999135634</v>
          </cell>
          <cell r="E357" t="str">
            <v>小型和轻型由键固定的螺纹锁紧螺套</v>
          </cell>
          <cell r="F357" t="str">
            <v>MS51830(G版)</v>
          </cell>
          <cell r="G357" t="str">
            <v>CA201L</v>
          </cell>
          <cell r="H357" t="str">
            <v/>
          </cell>
          <cell r="I357" t="str">
            <v/>
          </cell>
          <cell r="J357" t="str">
            <v>组件</v>
          </cell>
          <cell r="K357">
            <v>92</v>
          </cell>
          <cell r="L357">
            <v>46137</v>
          </cell>
          <cell r="M357" t="str">
            <v>1-已打印</v>
          </cell>
        </row>
        <row r="357">
          <cell r="O357">
            <v>0</v>
          </cell>
          <cell r="P357" t="str">
            <v>中国航发航空科技股份有限公司</v>
          </cell>
          <cell r="Q357" t="str">
            <v>190</v>
          </cell>
        </row>
        <row r="357">
          <cell r="U357" t="str">
            <v>010000909698</v>
          </cell>
          <cell r="V357" t="str">
            <v/>
          </cell>
          <cell r="W357" t="str">
            <v/>
          </cell>
          <cell r="X357" t="str">
            <v>CP-108-A</v>
          </cell>
          <cell r="Y357" t="str">
            <v/>
          </cell>
          <cell r="Z357" t="str">
            <v>1902</v>
          </cell>
          <cell r="AA357" t="str">
            <v>1100159716</v>
          </cell>
          <cell r="AB357">
            <v>92</v>
          </cell>
          <cell r="AC357" t="str">
            <v/>
          </cell>
          <cell r="AD357">
            <v>107</v>
          </cell>
          <cell r="AE357" t="str">
            <v>G-100015358-260123-0021</v>
          </cell>
        </row>
        <row r="358">
          <cell r="B358" t="str">
            <v>7101108133</v>
          </cell>
          <cell r="C358" t="str">
            <v>G2601-2607</v>
          </cell>
          <cell r="D358" t="str">
            <v>000042944999135634</v>
          </cell>
          <cell r="E358" t="str">
            <v>小型和轻型由键固定的螺纹锁紧螺套</v>
          </cell>
          <cell r="F358" t="str">
            <v>MS51830(G版)</v>
          </cell>
          <cell r="G358" t="str">
            <v>CA201L</v>
          </cell>
          <cell r="H358" t="str">
            <v/>
          </cell>
          <cell r="I358" t="str">
            <v/>
          </cell>
          <cell r="J358" t="str">
            <v>组件</v>
          </cell>
          <cell r="K358">
            <v>16</v>
          </cell>
          <cell r="L358">
            <v>46137</v>
          </cell>
          <cell r="M358" t="str">
            <v>1-已打印</v>
          </cell>
        </row>
        <row r="358">
          <cell r="O358">
            <v>0</v>
          </cell>
          <cell r="P358" t="str">
            <v>中国航发航空科技股份有限公司</v>
          </cell>
          <cell r="Q358" t="str">
            <v>80</v>
          </cell>
        </row>
        <row r="358">
          <cell r="U358" t="str">
            <v>010000909698</v>
          </cell>
          <cell r="V358" t="str">
            <v/>
          </cell>
          <cell r="W358" t="str">
            <v/>
          </cell>
          <cell r="X358" t="str">
            <v>CP-108-A</v>
          </cell>
          <cell r="Y358" t="str">
            <v/>
          </cell>
          <cell r="Z358" t="str">
            <v>1902</v>
          </cell>
          <cell r="AA358" t="str">
            <v>1100159483</v>
          </cell>
          <cell r="AB358">
            <v>16</v>
          </cell>
          <cell r="AC358" t="str">
            <v/>
          </cell>
          <cell r="AD358">
            <v>107</v>
          </cell>
          <cell r="AE358" t="str">
            <v>G-100015358-260121-0017</v>
          </cell>
        </row>
        <row r="359">
          <cell r="B359" t="str">
            <v>7101108134</v>
          </cell>
          <cell r="C359" t="str">
            <v>G2601-2607</v>
          </cell>
          <cell r="D359" t="str">
            <v>000042944999135634</v>
          </cell>
          <cell r="E359" t="str">
            <v>小型和轻型由键固定的螺纹锁紧螺套</v>
          </cell>
          <cell r="F359" t="str">
            <v>MS51830(G版)</v>
          </cell>
          <cell r="G359" t="str">
            <v>CA201L</v>
          </cell>
          <cell r="H359" t="str">
            <v/>
          </cell>
          <cell r="I359" t="str">
            <v/>
          </cell>
          <cell r="J359" t="str">
            <v>组件</v>
          </cell>
          <cell r="K359">
            <v>23</v>
          </cell>
          <cell r="L359">
            <v>46137</v>
          </cell>
          <cell r="M359" t="str">
            <v>1-已打印</v>
          </cell>
        </row>
        <row r="359">
          <cell r="O359">
            <v>0</v>
          </cell>
          <cell r="P359" t="str">
            <v>中国航发航空科技股份有限公司</v>
          </cell>
          <cell r="Q359" t="str">
            <v>330</v>
          </cell>
        </row>
        <row r="359">
          <cell r="U359" t="str">
            <v>010000909698</v>
          </cell>
          <cell r="V359" t="str">
            <v/>
          </cell>
          <cell r="W359" t="str">
            <v/>
          </cell>
          <cell r="X359" t="str">
            <v>CP-108-A</v>
          </cell>
          <cell r="Y359" t="str">
            <v/>
          </cell>
          <cell r="Z359" t="str">
            <v>1902</v>
          </cell>
          <cell r="AA359" t="str">
            <v>1100160709</v>
          </cell>
          <cell r="AB359">
            <v>50</v>
          </cell>
          <cell r="AC359" t="str">
            <v/>
          </cell>
          <cell r="AD359">
            <v>107</v>
          </cell>
          <cell r="AE359" t="str">
            <v>G-100015358-260206-0033</v>
          </cell>
        </row>
        <row r="360">
          <cell r="B360" t="str">
            <v>7101108134</v>
          </cell>
          <cell r="C360" t="str">
            <v>G2601-2607</v>
          </cell>
          <cell r="D360" t="str">
            <v>000042944999135634</v>
          </cell>
          <cell r="E360" t="str">
            <v>小型和轻型由键固定的螺纹锁紧螺套</v>
          </cell>
          <cell r="F360" t="str">
            <v>MS51830(G版)</v>
          </cell>
          <cell r="G360" t="str">
            <v>CA201L</v>
          </cell>
          <cell r="H360" t="str">
            <v/>
          </cell>
          <cell r="I360" t="str">
            <v/>
          </cell>
          <cell r="J360" t="str">
            <v>组件</v>
          </cell>
          <cell r="K360">
            <v>48</v>
          </cell>
          <cell r="L360">
            <v>46137</v>
          </cell>
          <cell r="M360" t="str">
            <v>1-已打印</v>
          </cell>
        </row>
        <row r="360">
          <cell r="O360">
            <v>0</v>
          </cell>
          <cell r="P360" t="str">
            <v>中国航发航空科技股份有限公司</v>
          </cell>
          <cell r="Q360" t="str">
            <v>340</v>
          </cell>
        </row>
        <row r="360">
          <cell r="U360" t="str">
            <v>010000909698</v>
          </cell>
          <cell r="V360" t="str">
            <v/>
          </cell>
          <cell r="W360" t="str">
            <v/>
          </cell>
          <cell r="X360" t="str">
            <v>CP-108-A</v>
          </cell>
          <cell r="Y360" t="str">
            <v/>
          </cell>
          <cell r="Z360" t="str">
            <v>1902</v>
          </cell>
          <cell r="AA360" t="str">
            <v>1100160709</v>
          </cell>
          <cell r="AB360">
            <v>48</v>
          </cell>
          <cell r="AC360" t="str">
            <v/>
          </cell>
          <cell r="AD360">
            <v>107</v>
          </cell>
          <cell r="AE360" t="str">
            <v>G-100015358-260206-0033</v>
          </cell>
        </row>
        <row r="361">
          <cell r="B361" t="str">
            <v>7101108134</v>
          </cell>
          <cell r="C361" t="str">
            <v>G2601-2607</v>
          </cell>
          <cell r="D361" t="str">
            <v>000042944999135634</v>
          </cell>
          <cell r="E361" t="str">
            <v>小型和轻型由键固定的螺纹锁紧螺套</v>
          </cell>
          <cell r="F361" t="str">
            <v>MS51830(G版)</v>
          </cell>
          <cell r="G361" t="str">
            <v>CA201L</v>
          </cell>
          <cell r="H361" t="str">
            <v/>
          </cell>
          <cell r="I361" t="str">
            <v/>
          </cell>
          <cell r="J361" t="str">
            <v>组件</v>
          </cell>
          <cell r="K361">
            <v>52</v>
          </cell>
          <cell r="L361">
            <v>46137</v>
          </cell>
          <cell r="M361" t="str">
            <v>1-已打印</v>
          </cell>
        </row>
        <row r="361">
          <cell r="O361">
            <v>0</v>
          </cell>
          <cell r="P361" t="str">
            <v>中国航发航空科技股份有限公司</v>
          </cell>
          <cell r="Q361" t="str">
            <v>350</v>
          </cell>
        </row>
        <row r="361">
          <cell r="U361" t="str">
            <v>010000909698</v>
          </cell>
          <cell r="V361" t="str">
            <v/>
          </cell>
          <cell r="W361" t="str">
            <v/>
          </cell>
          <cell r="X361" t="str">
            <v>CP-108-A</v>
          </cell>
          <cell r="Y361" t="str">
            <v/>
          </cell>
          <cell r="Z361" t="str">
            <v>1902</v>
          </cell>
          <cell r="AA361" t="str">
            <v>1100160709</v>
          </cell>
          <cell r="AB361">
            <v>52</v>
          </cell>
          <cell r="AC361" t="str">
            <v/>
          </cell>
          <cell r="AD361">
            <v>107</v>
          </cell>
          <cell r="AE361" t="str">
            <v>G-100015358-260206-0033</v>
          </cell>
        </row>
        <row r="362">
          <cell r="B362" t="str">
            <v>7101108134</v>
          </cell>
          <cell r="C362" t="str">
            <v>G2601-2607</v>
          </cell>
          <cell r="D362" t="str">
            <v>000042944999135634</v>
          </cell>
          <cell r="E362" t="str">
            <v>小型和轻型由键固定的螺纹锁紧螺套</v>
          </cell>
          <cell r="F362" t="str">
            <v>MS51830(G版)</v>
          </cell>
          <cell r="G362" t="str">
            <v>CA201L</v>
          </cell>
          <cell r="H362" t="str">
            <v/>
          </cell>
          <cell r="I362" t="str">
            <v/>
          </cell>
          <cell r="J362" t="str">
            <v>组件</v>
          </cell>
          <cell r="K362">
            <v>52</v>
          </cell>
          <cell r="L362">
            <v>46137</v>
          </cell>
          <cell r="M362" t="str">
            <v>1-已打印</v>
          </cell>
        </row>
        <row r="362">
          <cell r="O362">
            <v>0</v>
          </cell>
          <cell r="P362" t="str">
            <v>中国航发航空科技股份有限公司</v>
          </cell>
          <cell r="Q362" t="str">
            <v>360</v>
          </cell>
        </row>
        <row r="362">
          <cell r="U362" t="str">
            <v>010000909698</v>
          </cell>
          <cell r="V362" t="str">
            <v/>
          </cell>
          <cell r="W362" t="str">
            <v/>
          </cell>
          <cell r="X362" t="str">
            <v>CP-108-A</v>
          </cell>
          <cell r="Y362" t="str">
            <v/>
          </cell>
          <cell r="Z362" t="str">
            <v>1902</v>
          </cell>
          <cell r="AA362" t="str">
            <v>1100160709</v>
          </cell>
          <cell r="AB362">
            <v>52</v>
          </cell>
          <cell r="AC362" t="str">
            <v/>
          </cell>
          <cell r="AD362">
            <v>107</v>
          </cell>
          <cell r="AE362" t="str">
            <v>G-100015358-260206-0033</v>
          </cell>
        </row>
        <row r="363">
          <cell r="B363" t="str">
            <v>7101108136</v>
          </cell>
          <cell r="C363" t="str">
            <v>G2601-2607</v>
          </cell>
          <cell r="D363" t="str">
            <v>000042944999135634</v>
          </cell>
          <cell r="E363" t="str">
            <v>小型和轻型由键固定的螺纹锁紧螺套</v>
          </cell>
          <cell r="F363" t="str">
            <v>MS51830(G版)</v>
          </cell>
          <cell r="G363" t="str">
            <v>CA201L</v>
          </cell>
          <cell r="H363" t="str">
            <v/>
          </cell>
          <cell r="I363" t="str">
            <v/>
          </cell>
          <cell r="J363" t="str">
            <v>组件</v>
          </cell>
          <cell r="K363">
            <v>4</v>
          </cell>
          <cell r="L363">
            <v>46137</v>
          </cell>
          <cell r="M363" t="str">
            <v>1-已打印</v>
          </cell>
        </row>
        <row r="363">
          <cell r="O363">
            <v>0</v>
          </cell>
          <cell r="P363" t="str">
            <v>中国航发航空科技股份有限公司</v>
          </cell>
          <cell r="Q363" t="str">
            <v>950</v>
          </cell>
        </row>
        <row r="363">
          <cell r="U363" t="str">
            <v>010000909698</v>
          </cell>
          <cell r="V363" t="str">
            <v/>
          </cell>
          <cell r="W363" t="str">
            <v/>
          </cell>
          <cell r="X363" t="str">
            <v>CP-108-A</v>
          </cell>
          <cell r="Y363" t="str">
            <v/>
          </cell>
          <cell r="Z363" t="str">
            <v>1902</v>
          </cell>
          <cell r="AA363" t="str">
            <v>1100161523</v>
          </cell>
          <cell r="AB363">
            <v>4</v>
          </cell>
          <cell r="AC363" t="str">
            <v/>
          </cell>
          <cell r="AD363">
            <v>39.6</v>
          </cell>
          <cell r="AE363" t="str">
            <v>G-100015358-260309-0059</v>
          </cell>
        </row>
        <row r="364">
          <cell r="B364" t="str">
            <v>7101108139</v>
          </cell>
          <cell r="C364" t="str">
            <v>G2601-2607</v>
          </cell>
          <cell r="D364" t="str">
            <v>000042944999135634</v>
          </cell>
          <cell r="E364" t="str">
            <v>小型和轻型由键固定的螺纹锁紧螺套</v>
          </cell>
          <cell r="F364" t="str">
            <v>MS51830(G版)</v>
          </cell>
          <cell r="G364" t="str">
            <v>CA201L</v>
          </cell>
          <cell r="H364" t="str">
            <v/>
          </cell>
          <cell r="I364" t="str">
            <v/>
          </cell>
          <cell r="J364" t="str">
            <v>组件</v>
          </cell>
          <cell r="K364">
            <v>24</v>
          </cell>
          <cell r="L364">
            <v>46137</v>
          </cell>
          <cell r="M364" t="str">
            <v>1-已打印</v>
          </cell>
        </row>
        <row r="364">
          <cell r="O364">
            <v>0</v>
          </cell>
          <cell r="P364" t="str">
            <v>中国航发航空科技股份有限公司</v>
          </cell>
          <cell r="Q364" t="str">
            <v>140</v>
          </cell>
        </row>
        <row r="364">
          <cell r="U364" t="str">
            <v>010000909698</v>
          </cell>
          <cell r="V364" t="str">
            <v/>
          </cell>
          <cell r="W364" t="str">
            <v/>
          </cell>
          <cell r="X364" t="str">
            <v>CP-108-A</v>
          </cell>
          <cell r="Y364" t="str">
            <v/>
          </cell>
          <cell r="Z364" t="str">
            <v>1902</v>
          </cell>
          <cell r="AA364" t="str">
            <v>1100159716</v>
          </cell>
          <cell r="AB364">
            <v>24</v>
          </cell>
          <cell r="AC364" t="str">
            <v/>
          </cell>
          <cell r="AD364">
            <v>107</v>
          </cell>
          <cell r="AE364" t="str">
            <v>G-100015358-260123-0021</v>
          </cell>
        </row>
        <row r="365">
          <cell r="B365" t="str">
            <v>7101108139</v>
          </cell>
          <cell r="C365" t="str">
            <v>G2601-2607</v>
          </cell>
          <cell r="D365" t="str">
            <v>000042944999135634</v>
          </cell>
          <cell r="E365" t="str">
            <v>小型和轻型由键固定的螺纹锁紧螺套</v>
          </cell>
          <cell r="F365" t="str">
            <v>MS51830(G版)</v>
          </cell>
          <cell r="G365" t="str">
            <v>CA201L</v>
          </cell>
          <cell r="H365" t="str">
            <v/>
          </cell>
          <cell r="I365" t="str">
            <v/>
          </cell>
          <cell r="J365" t="str">
            <v>组件</v>
          </cell>
          <cell r="K365">
            <v>24</v>
          </cell>
          <cell r="L365">
            <v>46137</v>
          </cell>
          <cell r="M365" t="str">
            <v>1-已打印</v>
          </cell>
        </row>
        <row r="365">
          <cell r="O365">
            <v>0</v>
          </cell>
          <cell r="P365" t="str">
            <v>中国航发航空科技股份有限公司</v>
          </cell>
          <cell r="Q365" t="str">
            <v>350</v>
          </cell>
        </row>
        <row r="365">
          <cell r="U365" t="str">
            <v>010000909698</v>
          </cell>
          <cell r="V365" t="str">
            <v/>
          </cell>
          <cell r="W365" t="str">
            <v/>
          </cell>
          <cell r="X365" t="str">
            <v>CP-108-A</v>
          </cell>
          <cell r="Y365" t="str">
            <v/>
          </cell>
          <cell r="Z365" t="str">
            <v>1902</v>
          </cell>
          <cell r="AA365" t="str">
            <v>1100159716</v>
          </cell>
          <cell r="AB365">
            <v>24</v>
          </cell>
          <cell r="AC365" t="str">
            <v/>
          </cell>
          <cell r="AD365">
            <v>107</v>
          </cell>
          <cell r="AE365" t="str">
            <v>G-100015358-260123-0021</v>
          </cell>
        </row>
        <row r="366">
          <cell r="B366" t="str">
            <v>7101108165</v>
          </cell>
          <cell r="C366" t="str">
            <v>G2601-2607</v>
          </cell>
          <cell r="D366" t="str">
            <v>000042944999135634</v>
          </cell>
          <cell r="E366" t="str">
            <v>小型和轻型由键固定的螺纹锁紧螺套</v>
          </cell>
          <cell r="F366" t="str">
            <v>MS51830(G版)</v>
          </cell>
          <cell r="G366" t="str">
            <v>CA201L</v>
          </cell>
          <cell r="H366" t="str">
            <v/>
          </cell>
          <cell r="I366" t="str">
            <v/>
          </cell>
          <cell r="J366" t="str">
            <v>组件</v>
          </cell>
          <cell r="K366">
            <v>48</v>
          </cell>
          <cell r="L366">
            <v>46137</v>
          </cell>
          <cell r="M366" t="str">
            <v>1-已打印</v>
          </cell>
        </row>
        <row r="366">
          <cell r="O366">
            <v>0</v>
          </cell>
          <cell r="P366" t="str">
            <v>中国航发航空科技股份有限公司</v>
          </cell>
          <cell r="Q366" t="str">
            <v>60</v>
          </cell>
        </row>
        <row r="366">
          <cell r="U366" t="str">
            <v>010000909698</v>
          </cell>
          <cell r="V366" t="str">
            <v/>
          </cell>
          <cell r="W366" t="str">
            <v/>
          </cell>
          <cell r="X366" t="str">
            <v>CP-108-A</v>
          </cell>
          <cell r="Y366" t="str">
            <v/>
          </cell>
          <cell r="Z366" t="str">
            <v>1902</v>
          </cell>
          <cell r="AA366" t="str">
            <v>1100159716</v>
          </cell>
          <cell r="AB366">
            <v>168</v>
          </cell>
          <cell r="AC366" t="str">
            <v/>
          </cell>
          <cell r="AD366">
            <v>107</v>
          </cell>
          <cell r="AE366" t="str">
            <v>G-100015358-260123-0021</v>
          </cell>
        </row>
        <row r="367">
          <cell r="B367" t="str">
            <v>7101108165</v>
          </cell>
          <cell r="C367" t="str">
            <v>G2601-2607</v>
          </cell>
          <cell r="D367" t="str">
            <v>000042944999135634</v>
          </cell>
          <cell r="E367" t="str">
            <v>小型和轻型由键固定的螺纹锁紧螺套</v>
          </cell>
          <cell r="F367" t="str">
            <v>MS51830(G版)</v>
          </cell>
          <cell r="G367" t="str">
            <v>CA201L</v>
          </cell>
          <cell r="H367" t="str">
            <v/>
          </cell>
          <cell r="I367" t="str">
            <v/>
          </cell>
          <cell r="J367" t="str">
            <v>组件</v>
          </cell>
          <cell r="K367">
            <v>48</v>
          </cell>
          <cell r="L367">
            <v>46137</v>
          </cell>
          <cell r="M367" t="str">
            <v>1-已打印</v>
          </cell>
        </row>
        <row r="367">
          <cell r="O367">
            <v>0</v>
          </cell>
          <cell r="P367" t="str">
            <v>中国航发航空科技股份有限公司</v>
          </cell>
          <cell r="Q367" t="str">
            <v>60</v>
          </cell>
        </row>
        <row r="367">
          <cell r="U367" t="str">
            <v>010000909698</v>
          </cell>
          <cell r="V367" t="str">
            <v/>
          </cell>
          <cell r="W367" t="str">
            <v/>
          </cell>
          <cell r="X367" t="str">
            <v>CP-108-A</v>
          </cell>
          <cell r="Y367" t="str">
            <v/>
          </cell>
          <cell r="Z367" t="str">
            <v>1902</v>
          </cell>
          <cell r="AA367" t="str">
            <v>1100159716</v>
          </cell>
          <cell r="AB367">
            <v>168</v>
          </cell>
          <cell r="AC367" t="str">
            <v/>
          </cell>
          <cell r="AD367">
            <v>107</v>
          </cell>
          <cell r="AE367" t="str">
            <v>G-100015358-260123-0021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数据"/>
      <sheetName val="其他"/>
      <sheetName val="X20刘苗"/>
      <sheetName val="ACE16"/>
      <sheetName val="X9胡缇"/>
      <sheetName val="X10周芸"/>
      <sheetName val="FJ刘国强"/>
      <sheetName val="X15胡缇"/>
      <sheetName val="X19谭婷婷"/>
      <sheetName val="FJ  刘国强"/>
    </sheetNames>
    <sheetDataSet>
      <sheetData sheetId="0">
        <row r="1">
          <cell r="B1" t="str">
            <v>提货单号</v>
          </cell>
          <cell r="C1" t="str">
            <v>批号</v>
          </cell>
          <cell r="D1" t="str">
            <v>物料编号</v>
          </cell>
          <cell r="E1" t="str">
            <v>物品名称</v>
          </cell>
          <cell r="F1" t="str">
            <v>采用标准</v>
          </cell>
          <cell r="G1" t="str">
            <v>规格</v>
          </cell>
        </row>
        <row r="2">
          <cell r="B2" t="str">
            <v>7101108195</v>
          </cell>
          <cell r="C2" t="str">
            <v>G2601-7535</v>
          </cell>
          <cell r="D2" t="str">
            <v>000042944319002497</v>
          </cell>
          <cell r="E2" t="str">
            <v>外套螺母</v>
          </cell>
          <cell r="F2" t="str">
            <v>ΦEU40095</v>
          </cell>
          <cell r="G2" t="str">
            <v>-</v>
          </cell>
        </row>
        <row r="3">
          <cell r="B3" t="str">
            <v>7101108194</v>
          </cell>
          <cell r="C3" t="str">
            <v>G2601-7535</v>
          </cell>
          <cell r="D3" t="str">
            <v>000042944319002497</v>
          </cell>
          <cell r="E3" t="str">
            <v>外套螺母</v>
          </cell>
          <cell r="F3" t="str">
            <v>ΦEU40095</v>
          </cell>
          <cell r="G3" t="str">
            <v>-</v>
          </cell>
        </row>
        <row r="4">
          <cell r="B4" t="str">
            <v>7101108016</v>
          </cell>
          <cell r="C4" t="str">
            <v>G2601-1954</v>
          </cell>
          <cell r="D4" t="str">
            <v>000042944360113861</v>
          </cell>
          <cell r="E4" t="str">
            <v>回油销</v>
          </cell>
          <cell r="F4" t="str">
            <v>019111001601</v>
          </cell>
          <cell r="G4" t="str">
            <v>-</v>
          </cell>
        </row>
        <row r="5">
          <cell r="B5" t="str">
            <v>7101107845</v>
          </cell>
          <cell r="C5" t="str">
            <v>G2601-1768</v>
          </cell>
          <cell r="D5" t="str">
            <v>000042944239137591</v>
          </cell>
          <cell r="E5" t="str">
            <v>D头螺栓</v>
          </cell>
          <cell r="F5" t="str">
            <v>019112004101</v>
          </cell>
          <cell r="G5" t="str">
            <v>-</v>
          </cell>
        </row>
        <row r="6">
          <cell r="B6" t="str">
            <v>7101107844</v>
          </cell>
          <cell r="C6" t="str">
            <v>G2601-1768</v>
          </cell>
          <cell r="D6" t="str">
            <v>000042944239137591</v>
          </cell>
          <cell r="E6" t="str">
            <v>D头螺栓</v>
          </cell>
          <cell r="F6" t="str">
            <v>019112004101</v>
          </cell>
          <cell r="G6" t="str">
            <v>-</v>
          </cell>
        </row>
        <row r="7">
          <cell r="B7" t="str">
            <v>7101107841</v>
          </cell>
          <cell r="C7" t="str">
            <v>G2601-1768</v>
          </cell>
          <cell r="D7" t="str">
            <v>000042944239137591</v>
          </cell>
          <cell r="E7" t="str">
            <v>D头螺栓</v>
          </cell>
          <cell r="F7" t="str">
            <v>019112004101</v>
          </cell>
          <cell r="G7" t="str">
            <v>-</v>
          </cell>
        </row>
        <row r="8">
          <cell r="B8" t="str">
            <v>7101107840</v>
          </cell>
          <cell r="C8" t="str">
            <v>G2601-1768</v>
          </cell>
          <cell r="D8" t="str">
            <v>000042944239137591</v>
          </cell>
          <cell r="E8" t="str">
            <v>D头螺栓</v>
          </cell>
          <cell r="F8" t="str">
            <v>019112004101</v>
          </cell>
          <cell r="G8" t="str">
            <v>-</v>
          </cell>
        </row>
        <row r="9">
          <cell r="B9" t="str">
            <v>7101107838</v>
          </cell>
          <cell r="C9" t="str">
            <v>G2601-1768</v>
          </cell>
          <cell r="D9" t="str">
            <v>000042944239137591</v>
          </cell>
          <cell r="E9" t="str">
            <v>D头螺栓</v>
          </cell>
          <cell r="F9" t="str">
            <v>019112004101</v>
          </cell>
          <cell r="G9" t="str">
            <v>-</v>
          </cell>
        </row>
        <row r="10">
          <cell r="B10" t="str">
            <v>7101107530</v>
          </cell>
          <cell r="C10" t="str">
            <v>G2510-1435</v>
          </cell>
          <cell r="D10" t="str">
            <v>000042944000122904</v>
          </cell>
          <cell r="E10" t="str">
            <v>配重块</v>
          </cell>
          <cell r="F10" t="str">
            <v>S10EA.12.1046</v>
          </cell>
          <cell r="G10" t="str">
            <v>Ⅱ</v>
          </cell>
        </row>
        <row r="11">
          <cell r="B11" t="str">
            <v>7101107415</v>
          </cell>
          <cell r="C11" t="str">
            <v>G2604-1400</v>
          </cell>
          <cell r="D11" t="str">
            <v>000042944439168809</v>
          </cell>
          <cell r="E11" t="str">
            <v>垫圈</v>
          </cell>
          <cell r="F11" t="str">
            <v>2S5045-2008</v>
          </cell>
          <cell r="G11" t="str">
            <v>6.5×10×1</v>
          </cell>
        </row>
        <row r="12">
          <cell r="B12" t="str">
            <v>7101107368</v>
          </cell>
          <cell r="C12" t="str">
            <v>G2603-1577</v>
          </cell>
          <cell r="D12" t="str">
            <v>000042944239011747</v>
          </cell>
          <cell r="E12" t="str">
            <v>盘前螺栓</v>
          </cell>
          <cell r="F12" t="str">
            <v>S10.1.1401</v>
          </cell>
          <cell r="G12" t="str">
            <v>-</v>
          </cell>
        </row>
        <row r="13">
          <cell r="B13" t="str">
            <v>7101107367</v>
          </cell>
          <cell r="C13" t="str">
            <v>G2603-1577</v>
          </cell>
          <cell r="D13" t="str">
            <v>000042944239011747</v>
          </cell>
          <cell r="E13" t="str">
            <v>盘前螺栓</v>
          </cell>
          <cell r="F13" t="str">
            <v>S10.1.1401</v>
          </cell>
          <cell r="G13" t="str">
            <v>-</v>
          </cell>
        </row>
        <row r="14">
          <cell r="B14" t="str">
            <v>7101107366</v>
          </cell>
          <cell r="C14" t="str">
            <v>G2603-1577</v>
          </cell>
          <cell r="D14" t="str">
            <v>000042944239011747</v>
          </cell>
          <cell r="E14" t="str">
            <v>盘前螺栓</v>
          </cell>
          <cell r="F14" t="str">
            <v>S10.1.1401</v>
          </cell>
          <cell r="G14" t="str">
            <v>-</v>
          </cell>
        </row>
        <row r="15">
          <cell r="B15" t="str">
            <v>7101107364</v>
          </cell>
          <cell r="C15" t="str">
            <v>G2603-1577</v>
          </cell>
          <cell r="D15" t="str">
            <v>000042944239011747</v>
          </cell>
          <cell r="E15" t="str">
            <v>盘前螺栓</v>
          </cell>
          <cell r="F15" t="str">
            <v>S10.1.1401</v>
          </cell>
          <cell r="G15" t="str">
            <v>-</v>
          </cell>
        </row>
        <row r="16">
          <cell r="B16" t="str">
            <v>7101107135</v>
          </cell>
          <cell r="C16" t="str">
            <v>G2502-0884</v>
          </cell>
          <cell r="D16" t="str">
            <v>000042944360113861</v>
          </cell>
          <cell r="E16" t="str">
            <v>回油销</v>
          </cell>
          <cell r="F16" t="str">
            <v>019111001601</v>
          </cell>
          <cell r="G16" t="str">
            <v>-</v>
          </cell>
        </row>
        <row r="17">
          <cell r="B17" t="str">
            <v>7101107134</v>
          </cell>
          <cell r="C17" t="str">
            <v>G2504-1027</v>
          </cell>
          <cell r="D17" t="str">
            <v>000042944201110906</v>
          </cell>
          <cell r="E17" t="str">
            <v>六角头螺栓</v>
          </cell>
          <cell r="F17" t="str">
            <v>11S10447</v>
          </cell>
          <cell r="G17" t="str">
            <v>-</v>
          </cell>
        </row>
        <row r="18">
          <cell r="B18" t="str">
            <v>7101107133</v>
          </cell>
          <cell r="C18" t="str">
            <v>G2603-2587</v>
          </cell>
          <cell r="D18" t="str">
            <v>000042944360113860</v>
          </cell>
          <cell r="E18" t="str">
            <v>供油销</v>
          </cell>
          <cell r="F18" t="str">
            <v>019111001501</v>
          </cell>
          <cell r="G18" t="str">
            <v>-</v>
          </cell>
        </row>
        <row r="19">
          <cell r="B19" t="str">
            <v>7101107132</v>
          </cell>
          <cell r="C19" t="str">
            <v>G2502-0884</v>
          </cell>
          <cell r="D19" t="str">
            <v>000042944360113861</v>
          </cell>
          <cell r="E19" t="str">
            <v>回油销</v>
          </cell>
          <cell r="F19" t="str">
            <v>019111001601</v>
          </cell>
          <cell r="G19" t="str">
            <v>-</v>
          </cell>
        </row>
        <row r="20">
          <cell r="B20" t="str">
            <v>7101107131</v>
          </cell>
          <cell r="C20" t="str">
            <v>G2504-1027</v>
          </cell>
          <cell r="D20" t="str">
            <v>000042944201110906</v>
          </cell>
          <cell r="E20" t="str">
            <v>六角头螺栓</v>
          </cell>
          <cell r="F20" t="str">
            <v>11S10447</v>
          </cell>
          <cell r="G20" t="str">
            <v>-</v>
          </cell>
        </row>
        <row r="21">
          <cell r="B21" t="str">
            <v>7101107130</v>
          </cell>
          <cell r="C21" t="str">
            <v>G2603-2587</v>
          </cell>
          <cell r="D21" t="str">
            <v>000042944360113860</v>
          </cell>
          <cell r="E21" t="str">
            <v>供油销</v>
          </cell>
          <cell r="F21" t="str">
            <v>019111001501</v>
          </cell>
          <cell r="G21" t="str">
            <v>-</v>
          </cell>
        </row>
        <row r="22">
          <cell r="B22" t="str">
            <v>7101107035</v>
          </cell>
          <cell r="C22" t="str">
            <v>G2512-0170</v>
          </cell>
          <cell r="D22" t="str">
            <v>000042944288002861</v>
          </cell>
          <cell r="E22" t="str">
            <v>十二角自锁螺母</v>
          </cell>
          <cell r="F22" t="str">
            <v>ΦU125945</v>
          </cell>
          <cell r="G22" t="str">
            <v>-</v>
          </cell>
        </row>
        <row r="23">
          <cell r="B23" t="str">
            <v>7101107029</v>
          </cell>
          <cell r="C23" t="str">
            <v>G2509-2598</v>
          </cell>
          <cell r="D23" t="str">
            <v>000042944160011147</v>
          </cell>
          <cell r="E23" t="str">
            <v>螺钉,六角头,螺纹公差带6e</v>
          </cell>
          <cell r="F23" t="str">
            <v>Q/S15.1025-2011</v>
          </cell>
          <cell r="G23" t="str">
            <v>6-12</v>
          </cell>
        </row>
        <row r="24">
          <cell r="B24" t="str">
            <v>7101107028</v>
          </cell>
          <cell r="C24" t="str">
            <v>G2509-2598</v>
          </cell>
          <cell r="D24" t="str">
            <v>000042944160011147</v>
          </cell>
          <cell r="E24" t="str">
            <v>螺钉,六角头,螺纹公差带6e</v>
          </cell>
          <cell r="F24" t="str">
            <v>Q/S15.1025-2011</v>
          </cell>
          <cell r="G24" t="str">
            <v>6-12</v>
          </cell>
        </row>
        <row r="25">
          <cell r="B25" t="str">
            <v>7101106892</v>
          </cell>
          <cell r="C25" t="str">
            <v>G02512-074</v>
          </cell>
          <cell r="D25" t="str">
            <v>000042944360161322</v>
          </cell>
          <cell r="E25" t="str">
            <v>开口销</v>
          </cell>
          <cell r="F25" t="str">
            <v>GB/T91-2000(ST)</v>
          </cell>
          <cell r="G25" t="str">
            <v>2×20</v>
          </cell>
        </row>
        <row r="26">
          <cell r="B26" t="str">
            <v>7101106874</v>
          </cell>
          <cell r="C26" t="str">
            <v>G2508-2280</v>
          </cell>
          <cell r="D26" t="str">
            <v>000042944040108291</v>
          </cell>
          <cell r="E26" t="str">
            <v>螺钉,六角头,螺纹公差带6e</v>
          </cell>
          <cell r="F26" t="str">
            <v>Q/S15.1025-2011</v>
          </cell>
          <cell r="G26" t="str">
            <v>6-23</v>
          </cell>
        </row>
        <row r="27">
          <cell r="B27" t="str">
            <v>7101106745</v>
          </cell>
          <cell r="C27" t="str">
            <v>G2511-0124</v>
          </cell>
          <cell r="D27" t="str">
            <v>000042944319100888</v>
          </cell>
          <cell r="E27" t="str">
            <v>螺母(左旋)</v>
          </cell>
          <cell r="F27" t="str">
            <v>S20.4.2026</v>
          </cell>
          <cell r="G27" t="str">
            <v>-</v>
          </cell>
        </row>
        <row r="28">
          <cell r="B28" t="str">
            <v>7101106619</v>
          </cell>
          <cell r="C28" t="str">
            <v>G2604-0576</v>
          </cell>
          <cell r="D28" t="str">
            <v>000042944439124015</v>
          </cell>
          <cell r="E28" t="str">
            <v>锁紧垫圈</v>
          </cell>
          <cell r="F28" t="str">
            <v>D28.06.070596</v>
          </cell>
          <cell r="G28" t="str">
            <v>-</v>
          </cell>
        </row>
        <row r="29">
          <cell r="B29" t="str">
            <v>7101106527</v>
          </cell>
          <cell r="C29" t="str">
            <v>G2509-1418</v>
          </cell>
          <cell r="D29" t="str">
            <v>000042944360100875</v>
          </cell>
          <cell r="E29" t="str">
            <v>安装梁剪切销</v>
          </cell>
          <cell r="F29" t="str">
            <v>S20.00.2007</v>
          </cell>
          <cell r="G29" t="str">
            <v>-</v>
          </cell>
        </row>
        <row r="30">
          <cell r="B30" t="str">
            <v>7101106372</v>
          </cell>
          <cell r="C30" t="str">
            <v>G2511-0226</v>
          </cell>
          <cell r="D30" t="str">
            <v>000042944239011768</v>
          </cell>
          <cell r="E30" t="str">
            <v>二级盘后螺栓</v>
          </cell>
          <cell r="F30" t="str">
            <v>S10.1.3123</v>
          </cell>
          <cell r="G30" t="str">
            <v>-</v>
          </cell>
        </row>
        <row r="31">
          <cell r="B31" t="str">
            <v>7101106371</v>
          </cell>
          <cell r="C31" t="str">
            <v>G2511-0226</v>
          </cell>
          <cell r="D31" t="str">
            <v>000042944239011768</v>
          </cell>
          <cell r="E31" t="str">
            <v>二级盘后螺栓</v>
          </cell>
          <cell r="F31" t="str">
            <v>S10.1.3123</v>
          </cell>
          <cell r="G31" t="str">
            <v>-</v>
          </cell>
        </row>
        <row r="32">
          <cell r="B32" t="str">
            <v>7101106370</v>
          </cell>
          <cell r="C32" t="str">
            <v>G2511-0180</v>
          </cell>
          <cell r="D32" t="str">
            <v>000042944239011751</v>
          </cell>
          <cell r="E32" t="str">
            <v>螺栓</v>
          </cell>
          <cell r="F32" t="str">
            <v>S10.1.1405</v>
          </cell>
          <cell r="G32" t="str">
            <v>-</v>
          </cell>
        </row>
        <row r="33">
          <cell r="B33" t="str">
            <v>7101106369</v>
          </cell>
          <cell r="C33" t="str">
            <v>G2511-0180</v>
          </cell>
          <cell r="D33" t="str">
            <v>000042944239011751</v>
          </cell>
          <cell r="E33" t="str">
            <v>螺栓</v>
          </cell>
          <cell r="F33" t="str">
            <v>S10.1.1405</v>
          </cell>
          <cell r="G33" t="str">
            <v>-</v>
          </cell>
        </row>
        <row r="34">
          <cell r="B34" t="str">
            <v>7101106362</v>
          </cell>
          <cell r="C34" t="str">
            <v>G2511-0180</v>
          </cell>
          <cell r="D34" t="str">
            <v>000042944239011751</v>
          </cell>
          <cell r="E34" t="str">
            <v>螺栓</v>
          </cell>
          <cell r="F34" t="str">
            <v>S10.1.1405</v>
          </cell>
          <cell r="G34" t="str">
            <v>-</v>
          </cell>
        </row>
        <row r="35">
          <cell r="B35" t="str">
            <v>7101106333</v>
          </cell>
          <cell r="C35" t="str">
            <v>G2602-1104</v>
          </cell>
          <cell r="D35" t="str">
            <v>000042944288095577</v>
          </cell>
          <cell r="E35" t="str">
            <v>扩口自锁螺母</v>
          </cell>
          <cell r="F35" t="str">
            <v>8S40097</v>
          </cell>
          <cell r="G35" t="str">
            <v>-</v>
          </cell>
        </row>
        <row r="36">
          <cell r="B36" t="str">
            <v>7101106332</v>
          </cell>
          <cell r="C36" t="str">
            <v>G2602-1104</v>
          </cell>
          <cell r="D36" t="str">
            <v>000042944288095577</v>
          </cell>
          <cell r="E36" t="str">
            <v>扩口自锁螺母</v>
          </cell>
          <cell r="F36" t="str">
            <v>8S40097</v>
          </cell>
          <cell r="G36" t="str">
            <v>-</v>
          </cell>
        </row>
        <row r="37">
          <cell r="B37" t="str">
            <v>7101106257</v>
          </cell>
          <cell r="C37" t="str">
            <v>G2603-2587</v>
          </cell>
          <cell r="D37" t="str">
            <v>000042944360113860</v>
          </cell>
          <cell r="E37" t="str">
            <v>供油销</v>
          </cell>
          <cell r="F37" t="str">
            <v>019111001501</v>
          </cell>
          <cell r="G37" t="str">
            <v>-</v>
          </cell>
        </row>
        <row r="38">
          <cell r="B38" t="str">
            <v>7101106254</v>
          </cell>
          <cell r="C38" t="str">
            <v>G2603-2587</v>
          </cell>
          <cell r="D38" t="str">
            <v>000042944360113860</v>
          </cell>
          <cell r="E38" t="str">
            <v>供油销</v>
          </cell>
          <cell r="F38" t="str">
            <v>019111001501</v>
          </cell>
          <cell r="G38" t="str">
            <v>-</v>
          </cell>
        </row>
        <row r="39">
          <cell r="B39" t="str">
            <v>7101106253</v>
          </cell>
          <cell r="C39" t="str">
            <v>G2603-2587</v>
          </cell>
          <cell r="D39" t="str">
            <v>000042944360113860</v>
          </cell>
          <cell r="E39" t="str">
            <v>供油销</v>
          </cell>
          <cell r="F39" t="str">
            <v>019111001501</v>
          </cell>
          <cell r="G39" t="str">
            <v>-</v>
          </cell>
        </row>
        <row r="40">
          <cell r="B40" t="str">
            <v>7101106252</v>
          </cell>
          <cell r="C40" t="str">
            <v>G2603-2587</v>
          </cell>
          <cell r="D40" t="str">
            <v>000042944360113860</v>
          </cell>
          <cell r="E40" t="str">
            <v>供油销</v>
          </cell>
          <cell r="F40" t="str">
            <v>019111001501</v>
          </cell>
          <cell r="G40" t="str">
            <v>-</v>
          </cell>
        </row>
        <row r="41">
          <cell r="B41" t="str">
            <v>7101106221</v>
          </cell>
          <cell r="C41" t="str">
            <v>G2603-2587</v>
          </cell>
          <cell r="D41" t="str">
            <v>000042944360113860</v>
          </cell>
          <cell r="E41" t="str">
            <v>供油销</v>
          </cell>
          <cell r="F41" t="str">
            <v>019111001501</v>
          </cell>
          <cell r="G41" t="str">
            <v>-</v>
          </cell>
        </row>
        <row r="42">
          <cell r="B42" t="str">
            <v>7101106202</v>
          </cell>
          <cell r="C42" t="str">
            <v>G2506-0153</v>
          </cell>
          <cell r="D42" t="str">
            <v>000042944288145996</v>
          </cell>
          <cell r="E42" t="str">
            <v>MJ8自锁螺母</v>
          </cell>
          <cell r="F42" t="str">
            <v>STH.44.1038.A</v>
          </cell>
          <cell r="G42" t="str">
            <v>-</v>
          </cell>
        </row>
        <row r="43">
          <cell r="B43" t="str">
            <v>7101106181</v>
          </cell>
          <cell r="C43" t="str">
            <v>G2508-1908</v>
          </cell>
          <cell r="D43" t="str">
            <v>000042944288142258</v>
          </cell>
          <cell r="E43" t="str">
            <v>自锁螺母</v>
          </cell>
          <cell r="F43" t="str">
            <v>STH.52.1235.A</v>
          </cell>
          <cell r="G43" t="str">
            <v>-</v>
          </cell>
        </row>
        <row r="44">
          <cell r="B44" t="str">
            <v>7101106179</v>
          </cell>
          <cell r="C44" t="str">
            <v>G2502-2466</v>
          </cell>
          <cell r="D44" t="str">
            <v>000042944000141727</v>
          </cell>
          <cell r="E44" t="str">
            <v>二级外环封严片</v>
          </cell>
          <cell r="F44" t="str">
            <v>STH.44.1062.A</v>
          </cell>
          <cell r="G44" t="str">
            <v>-</v>
          </cell>
        </row>
        <row r="45">
          <cell r="B45" t="str">
            <v>7101106160</v>
          </cell>
          <cell r="C45" t="str">
            <v>G2603-1383</v>
          </cell>
          <cell r="D45" t="str">
            <v>000042944239169540</v>
          </cell>
          <cell r="E45" t="str">
            <v>十二角头螺栓</v>
          </cell>
          <cell r="F45" t="str">
            <v>AETG94</v>
          </cell>
          <cell r="G45" t="str">
            <v>081046</v>
          </cell>
        </row>
        <row r="46">
          <cell r="B46" t="str">
            <v>7101105857</v>
          </cell>
          <cell r="C46" t="str">
            <v>G2602-1499</v>
          </cell>
          <cell r="D46" t="str">
            <v>000042944000167655</v>
          </cell>
          <cell r="E46" t="str">
            <v>配重块挡块</v>
          </cell>
          <cell r="F46" t="str">
            <v>QS.42.038</v>
          </cell>
          <cell r="G46" t="str">
            <v>-</v>
          </cell>
        </row>
        <row r="47">
          <cell r="B47" t="str">
            <v>7101105441</v>
          </cell>
          <cell r="C47" t="str">
            <v>G2512-0321</v>
          </cell>
          <cell r="D47" t="str">
            <v>000042944360005804</v>
          </cell>
          <cell r="E47" t="str">
            <v>圆柱销</v>
          </cell>
          <cell r="F47" t="str">
            <v>S15.15.1051</v>
          </cell>
          <cell r="G47" t="str">
            <v>-</v>
          </cell>
        </row>
        <row r="48">
          <cell r="B48" t="str">
            <v>7101105441</v>
          </cell>
          <cell r="C48" t="str">
            <v>G2508-2309</v>
          </cell>
          <cell r="D48" t="str">
            <v>000042944360005804</v>
          </cell>
          <cell r="E48" t="str">
            <v>圆柱销</v>
          </cell>
          <cell r="F48" t="str">
            <v>S15.15.1051</v>
          </cell>
          <cell r="G48" t="str">
            <v>-</v>
          </cell>
        </row>
        <row r="49">
          <cell r="B49" t="str">
            <v>7101105440</v>
          </cell>
          <cell r="C49" t="str">
            <v>G2512-0321</v>
          </cell>
          <cell r="D49" t="str">
            <v>000042944360005804</v>
          </cell>
          <cell r="E49" t="str">
            <v>圆柱销</v>
          </cell>
          <cell r="F49" t="str">
            <v>S15.15.1051</v>
          </cell>
          <cell r="G49" t="str">
            <v>-</v>
          </cell>
        </row>
        <row r="50">
          <cell r="B50" t="str">
            <v>7101105426</v>
          </cell>
          <cell r="C50" t="str">
            <v>G2602-1488</v>
          </cell>
          <cell r="D50" t="str">
            <v>000042944239168804</v>
          </cell>
          <cell r="E50" t="str">
            <v>十二角头螺栓</v>
          </cell>
          <cell r="F50" t="str">
            <v>AETG407</v>
          </cell>
          <cell r="G50" t="str">
            <v>081024</v>
          </cell>
        </row>
        <row r="51">
          <cell r="B51" t="str">
            <v>7101105112</v>
          </cell>
          <cell r="C51" t="str">
            <v>G2502-2797</v>
          </cell>
          <cell r="D51" t="str">
            <v>000042944239014334</v>
          </cell>
          <cell r="E51" t="str">
            <v>十二角头螺栓</v>
          </cell>
          <cell r="F51" t="str">
            <v>ΦCU34885</v>
          </cell>
          <cell r="G51" t="str">
            <v>-</v>
          </cell>
        </row>
        <row r="52">
          <cell r="B52" t="str">
            <v>7101105112</v>
          </cell>
          <cell r="C52" t="str">
            <v>G2510-1583</v>
          </cell>
          <cell r="D52" t="str">
            <v>000042944239014334</v>
          </cell>
          <cell r="E52" t="str">
            <v>十二角头螺栓</v>
          </cell>
          <cell r="F52" t="str">
            <v>ΦCU34885</v>
          </cell>
          <cell r="G52" t="str">
            <v>-</v>
          </cell>
        </row>
        <row r="53">
          <cell r="B53" t="str">
            <v>7101104911</v>
          </cell>
          <cell r="C53" t="str">
            <v>G2601-1362</v>
          </cell>
          <cell r="D53" t="str">
            <v>000042944239011749</v>
          </cell>
          <cell r="E53" t="str">
            <v>盘后螺栓</v>
          </cell>
          <cell r="F53" t="str">
            <v>S10.1.1402</v>
          </cell>
          <cell r="G53" t="str">
            <v>-</v>
          </cell>
        </row>
        <row r="54">
          <cell r="B54" t="str">
            <v>7101104909</v>
          </cell>
          <cell r="C54" t="str">
            <v>G2601-1362</v>
          </cell>
          <cell r="D54" t="str">
            <v>000042944239011749</v>
          </cell>
          <cell r="E54" t="str">
            <v>盘后螺栓</v>
          </cell>
          <cell r="F54" t="str">
            <v>S10.1.1402</v>
          </cell>
          <cell r="G54" t="str">
            <v>-</v>
          </cell>
        </row>
        <row r="55">
          <cell r="B55" t="str">
            <v>7101104184</v>
          </cell>
          <cell r="C55" t="str">
            <v>G2512-0327</v>
          </cell>
          <cell r="D55" t="str">
            <v>000042944439070138</v>
          </cell>
          <cell r="E55" t="str">
            <v>垫圈</v>
          </cell>
          <cell r="F55" t="str">
            <v>S15.15.1206P</v>
          </cell>
          <cell r="G55" t="str">
            <v>-</v>
          </cell>
        </row>
        <row r="56">
          <cell r="B56" t="str">
            <v>7101104154</v>
          </cell>
          <cell r="C56" t="str">
            <v>G2511-1251</v>
          </cell>
          <cell r="D56" t="str">
            <v>000042944239003780</v>
          </cell>
          <cell r="E56" t="str">
            <v>滑油泵壳体台阶螺栓</v>
          </cell>
          <cell r="F56" t="str">
            <v>ΦEU43013</v>
          </cell>
          <cell r="G56" t="str">
            <v>-</v>
          </cell>
        </row>
        <row r="57">
          <cell r="B57" t="str">
            <v>7101104154</v>
          </cell>
          <cell r="C57" t="str">
            <v>G2604-1048</v>
          </cell>
          <cell r="D57" t="str">
            <v>000042944239003780</v>
          </cell>
          <cell r="E57" t="str">
            <v>滑油泵壳体台阶螺栓</v>
          </cell>
          <cell r="F57" t="str">
            <v>ΦEU43013</v>
          </cell>
          <cell r="G57" t="str">
            <v>-</v>
          </cell>
        </row>
        <row r="58">
          <cell r="B58" t="str">
            <v>7101103943</v>
          </cell>
          <cell r="C58" t="str">
            <v>G2601-0835</v>
          </cell>
          <cell r="D58" t="str">
            <v>000036900000040581</v>
          </cell>
          <cell r="E58" t="str">
            <v>密封圈</v>
          </cell>
          <cell r="F58" t="str">
            <v>11S00225</v>
          </cell>
          <cell r="G58" t="str">
            <v>-</v>
          </cell>
        </row>
        <row r="59">
          <cell r="B59" t="str">
            <v>7101103801</v>
          </cell>
          <cell r="C59" t="str">
            <v>G2310-0555</v>
          </cell>
          <cell r="D59" t="str">
            <v>000042944239014334</v>
          </cell>
          <cell r="E59" t="str">
            <v>十二角头螺栓</v>
          </cell>
          <cell r="F59" t="str">
            <v>ΦCU34885</v>
          </cell>
          <cell r="G59" t="str">
            <v>-</v>
          </cell>
        </row>
        <row r="60">
          <cell r="B60" t="str">
            <v>7101103801</v>
          </cell>
          <cell r="C60" t="str">
            <v>G2502-2797</v>
          </cell>
          <cell r="D60" t="str">
            <v>000042944239014334</v>
          </cell>
          <cell r="E60" t="str">
            <v>十二角头螺栓</v>
          </cell>
          <cell r="F60" t="str">
            <v>ΦCU34885</v>
          </cell>
          <cell r="G60" t="str">
            <v>-</v>
          </cell>
        </row>
        <row r="61">
          <cell r="B61" t="str">
            <v>7101103339</v>
          </cell>
          <cell r="C61" t="str">
            <v>G2512-0327</v>
          </cell>
          <cell r="D61" t="str">
            <v>000042944439070138</v>
          </cell>
          <cell r="E61" t="str">
            <v>垫圈</v>
          </cell>
          <cell r="F61" t="str">
            <v>S15.15.1206P</v>
          </cell>
          <cell r="G61" t="str">
            <v>-</v>
          </cell>
        </row>
        <row r="62">
          <cell r="B62" t="str">
            <v>7101103101</v>
          </cell>
          <cell r="C62" t="str">
            <v>G2511-1900</v>
          </cell>
          <cell r="D62" t="str">
            <v>000042944239011705</v>
          </cell>
          <cell r="E62" t="str">
            <v>十二角头螺栓</v>
          </cell>
          <cell r="F62" t="str">
            <v>S10.1.1215</v>
          </cell>
          <cell r="G62" t="str">
            <v>-</v>
          </cell>
        </row>
        <row r="63">
          <cell r="B63" t="str">
            <v>7101102908</v>
          </cell>
          <cell r="C63" t="str">
            <v>G2601-0313</v>
          </cell>
          <cell r="D63" t="str">
            <v>000042944000113877</v>
          </cell>
          <cell r="E63" t="str">
            <v>联动环衬垫</v>
          </cell>
          <cell r="F63" t="str">
            <v>019111002701</v>
          </cell>
          <cell r="G63" t="str">
            <v>-</v>
          </cell>
        </row>
        <row r="64">
          <cell r="B64" t="str">
            <v>7101102731</v>
          </cell>
          <cell r="C64" t="str">
            <v>G2603-0727</v>
          </cell>
          <cell r="D64" t="str">
            <v>000042944239100876</v>
          </cell>
          <cell r="E64" t="str">
            <v>定位螺栓</v>
          </cell>
          <cell r="F64" t="str">
            <v>S20.00.2017</v>
          </cell>
          <cell r="G64" t="str">
            <v>-</v>
          </cell>
        </row>
        <row r="65">
          <cell r="B65" t="str">
            <v>7101102059</v>
          </cell>
          <cell r="C65" t="str">
            <v>G2602-0910</v>
          </cell>
          <cell r="D65" t="str">
            <v>000036900000040581</v>
          </cell>
          <cell r="E65" t="str">
            <v>密封圈</v>
          </cell>
          <cell r="F65" t="str">
            <v>11S00225</v>
          </cell>
          <cell r="G65" t="str">
            <v>-</v>
          </cell>
        </row>
        <row r="66">
          <cell r="B66" t="str">
            <v>7101101485</v>
          </cell>
          <cell r="C66" t="str">
            <v>G2507-0896</v>
          </cell>
          <cell r="D66" t="str">
            <v>000042944239070156</v>
          </cell>
          <cell r="E66" t="str">
            <v>篦齿盘螺栓</v>
          </cell>
          <cell r="F66" t="str">
            <v>S15.44.1059P</v>
          </cell>
          <cell r="G66" t="str">
            <v>-</v>
          </cell>
        </row>
        <row r="67">
          <cell r="B67" t="str">
            <v>7101101474</v>
          </cell>
          <cell r="C67" t="str">
            <v>G2408-0982</v>
          </cell>
          <cell r="D67" t="str">
            <v>000042944360006116</v>
          </cell>
          <cell r="E67" t="str">
            <v>凸肩销</v>
          </cell>
          <cell r="F67" t="str">
            <v>ΦEU40893</v>
          </cell>
          <cell r="G67" t="str">
            <v>-</v>
          </cell>
        </row>
        <row r="68">
          <cell r="B68" t="str">
            <v>7101101387</v>
          </cell>
          <cell r="C68" t="str">
            <v>G2511-1255</v>
          </cell>
          <cell r="D68" t="str">
            <v>000042944000004200</v>
          </cell>
          <cell r="E68" t="str">
            <v>下部转接座电缆卡箍(右)</v>
          </cell>
          <cell r="F68" t="str">
            <v>S20.00.2130</v>
          </cell>
          <cell r="G68" t="str">
            <v>-</v>
          </cell>
        </row>
        <row r="69">
          <cell r="B69" t="str">
            <v>7101101316</v>
          </cell>
          <cell r="C69" t="str">
            <v>G2409-2293</v>
          </cell>
          <cell r="D69" t="str">
            <v>000042944239014231</v>
          </cell>
          <cell r="E69" t="str">
            <v>D形头螺栓</v>
          </cell>
          <cell r="F69" t="str">
            <v>ΦBLT1174</v>
          </cell>
          <cell r="G69" t="str">
            <v>-</v>
          </cell>
        </row>
        <row r="70">
          <cell r="B70" t="str">
            <v>7101101316</v>
          </cell>
          <cell r="C70" t="str">
            <v>G2504-1930</v>
          </cell>
          <cell r="D70" t="str">
            <v>000042944239014231</v>
          </cell>
          <cell r="E70" t="str">
            <v>D形头螺栓</v>
          </cell>
          <cell r="F70" t="str">
            <v>ΦBLT1174</v>
          </cell>
          <cell r="G70" t="str">
            <v>-</v>
          </cell>
        </row>
        <row r="71">
          <cell r="B71" t="str">
            <v>7101101314</v>
          </cell>
          <cell r="C71" t="str">
            <v>G2302-1245</v>
          </cell>
          <cell r="D71" t="str">
            <v>000042944239014231</v>
          </cell>
          <cell r="E71" t="str">
            <v>D形头螺栓</v>
          </cell>
          <cell r="F71" t="str">
            <v>ΦBLT1174</v>
          </cell>
          <cell r="G71" t="str">
            <v>-</v>
          </cell>
        </row>
        <row r="72">
          <cell r="B72" t="str">
            <v>7101101291</v>
          </cell>
          <cell r="C72" t="str">
            <v>G2502-2807</v>
          </cell>
          <cell r="D72" t="str">
            <v>000042944360006116</v>
          </cell>
          <cell r="E72" t="str">
            <v>凸肩销</v>
          </cell>
          <cell r="F72" t="str">
            <v>ΦEU40893</v>
          </cell>
          <cell r="G72" t="str">
            <v>-</v>
          </cell>
        </row>
        <row r="73">
          <cell r="B73" t="str">
            <v>7101101290</v>
          </cell>
          <cell r="C73" t="str">
            <v>G2509-2893</v>
          </cell>
          <cell r="D73" t="str">
            <v>000042944239160188</v>
          </cell>
          <cell r="E73" t="str">
            <v>精密螺栓,小十二角头,带减轻孔,光杆公差g6，MJ螺纹，螺纹</v>
          </cell>
          <cell r="F73" t="str">
            <v>Q/S15.1077-2021</v>
          </cell>
          <cell r="G73" t="str">
            <v>8-25</v>
          </cell>
        </row>
        <row r="74">
          <cell r="B74" t="str">
            <v>7101101289</v>
          </cell>
          <cell r="C74" t="str">
            <v>G2510-0252</v>
          </cell>
          <cell r="D74" t="str">
            <v>000042944360161297</v>
          </cell>
          <cell r="E74" t="str">
            <v>搭接段定位销</v>
          </cell>
          <cell r="F74" t="str">
            <v>S15XN.15.1256</v>
          </cell>
          <cell r="G74" t="str">
            <v>-</v>
          </cell>
        </row>
        <row r="75">
          <cell r="B75" t="str">
            <v>7101101288</v>
          </cell>
          <cell r="C75" t="str">
            <v>G2509-3079</v>
          </cell>
          <cell r="D75" t="str">
            <v>000042944239160184</v>
          </cell>
          <cell r="E75" t="str">
            <v>十二角头螺栓</v>
          </cell>
          <cell r="F75" t="str">
            <v>AETG407</v>
          </cell>
          <cell r="G75" t="str">
            <v>081020</v>
          </cell>
        </row>
        <row r="76">
          <cell r="B76" t="str">
            <v>7101101258</v>
          </cell>
          <cell r="C76" t="str">
            <v>G2501-0061</v>
          </cell>
          <cell r="D76" t="str">
            <v>000042944288002861</v>
          </cell>
          <cell r="E76" t="str">
            <v>十二角自锁螺母</v>
          </cell>
          <cell r="F76" t="str">
            <v>ΦU125945</v>
          </cell>
          <cell r="G76" t="str">
            <v>-</v>
          </cell>
        </row>
        <row r="77">
          <cell r="B77" t="str">
            <v>7101101254</v>
          </cell>
          <cell r="C77" t="str">
            <v>G2310-0469</v>
          </cell>
          <cell r="D77" t="str">
            <v>000042944999010477</v>
          </cell>
          <cell r="E77" t="str">
            <v>销套</v>
          </cell>
          <cell r="F77" t="str">
            <v>ΦEU40040</v>
          </cell>
          <cell r="G77" t="str">
            <v>-</v>
          </cell>
        </row>
        <row r="78">
          <cell r="B78" t="str">
            <v>7101101253</v>
          </cell>
          <cell r="C78" t="str">
            <v>G2509-2963</v>
          </cell>
          <cell r="D78" t="str">
            <v>000042944239014448</v>
          </cell>
          <cell r="E78" t="str">
            <v>十二角头螺栓</v>
          </cell>
          <cell r="F78" t="str">
            <v>ΦYU10843</v>
          </cell>
          <cell r="G78" t="str">
            <v>-</v>
          </cell>
        </row>
        <row r="79">
          <cell r="B79" t="str">
            <v>7101101252</v>
          </cell>
          <cell r="C79" t="str">
            <v>G2506-1937</v>
          </cell>
          <cell r="D79" t="str">
            <v>000042944288002869</v>
          </cell>
          <cell r="E79" t="str">
            <v>加长十二角自锁螺母</v>
          </cell>
          <cell r="F79" t="str">
            <v>ΦU129174</v>
          </cell>
          <cell r="G79" t="str">
            <v>-</v>
          </cell>
        </row>
        <row r="80">
          <cell r="B80" t="str">
            <v>7101101251</v>
          </cell>
          <cell r="C80" t="str">
            <v>G2404-1353</v>
          </cell>
          <cell r="D80" t="str">
            <v>000042944288002855</v>
          </cell>
          <cell r="E80" t="str">
            <v>十二角自锁螺母</v>
          </cell>
          <cell r="F80" t="str">
            <v>ΦU125924</v>
          </cell>
          <cell r="G80" t="str">
            <v>-</v>
          </cell>
        </row>
        <row r="81">
          <cell r="B81" t="str">
            <v>7101101250</v>
          </cell>
          <cell r="C81" t="str">
            <v>G2504-2381</v>
          </cell>
          <cell r="D81" t="str">
            <v>000042944239014433</v>
          </cell>
          <cell r="E81" t="str">
            <v>十二角头螺栓</v>
          </cell>
          <cell r="F81" t="str">
            <v>ΦNU13372</v>
          </cell>
          <cell r="G81" t="str">
            <v>-</v>
          </cell>
        </row>
        <row r="82">
          <cell r="B82" t="str">
            <v>7101101249</v>
          </cell>
          <cell r="C82" t="str">
            <v>G2401-0423</v>
          </cell>
          <cell r="D82" t="str">
            <v>000042944201017732</v>
          </cell>
          <cell r="E82" t="str">
            <v>六角头螺栓</v>
          </cell>
          <cell r="F82" t="str">
            <v>ΦEU22583</v>
          </cell>
          <cell r="G82" t="str">
            <v>-</v>
          </cell>
        </row>
        <row r="83">
          <cell r="B83" t="str">
            <v>7101101248</v>
          </cell>
          <cell r="C83" t="str">
            <v>G2403-1895</v>
          </cell>
          <cell r="D83" t="str">
            <v>000042944239014351</v>
          </cell>
          <cell r="E83" t="str">
            <v>D形头螺栓</v>
          </cell>
          <cell r="F83" t="str">
            <v>ΦEU16984</v>
          </cell>
          <cell r="G83" t="str">
            <v>-</v>
          </cell>
        </row>
        <row r="84">
          <cell r="B84" t="str">
            <v>7101101247</v>
          </cell>
          <cell r="C84" t="str">
            <v>G2504-1464</v>
          </cell>
          <cell r="D84" t="str">
            <v>000042944239014332</v>
          </cell>
          <cell r="E84" t="str">
            <v>螺栓</v>
          </cell>
          <cell r="F84" t="str">
            <v>ΦBLT4843</v>
          </cell>
          <cell r="G84" t="str">
            <v>-</v>
          </cell>
        </row>
        <row r="85">
          <cell r="B85" t="str">
            <v>7101101246</v>
          </cell>
          <cell r="C85" t="str">
            <v>G2507-1479</v>
          </cell>
          <cell r="D85" t="str">
            <v>000042944239014242</v>
          </cell>
          <cell r="E85" t="str">
            <v>方头螺栓</v>
          </cell>
          <cell r="F85" t="str">
            <v>ΦBLT1623</v>
          </cell>
          <cell r="G85" t="str">
            <v>-</v>
          </cell>
        </row>
        <row r="86">
          <cell r="B86" t="str">
            <v>7101101241</v>
          </cell>
          <cell r="C86" t="str">
            <v>G2508-1821</v>
          </cell>
          <cell r="D86" t="str">
            <v>000042944288002869</v>
          </cell>
          <cell r="E86" t="str">
            <v>加长十二角自锁螺母</v>
          </cell>
          <cell r="F86" t="str">
            <v>ΦU129174</v>
          </cell>
          <cell r="G86" t="str">
            <v>-</v>
          </cell>
        </row>
        <row r="87">
          <cell r="B87" t="str">
            <v>7101101239</v>
          </cell>
          <cell r="C87" t="str">
            <v>G2301-0545</v>
          </cell>
          <cell r="D87" t="str">
            <v>000042944288002858</v>
          </cell>
          <cell r="E87" t="str">
            <v>十二角自锁螺母</v>
          </cell>
          <cell r="F87" t="str">
            <v>ΦU125926</v>
          </cell>
          <cell r="G87" t="str">
            <v>-</v>
          </cell>
        </row>
        <row r="88">
          <cell r="B88" t="str">
            <v>7101101223</v>
          </cell>
          <cell r="C88" t="str">
            <v>G2310-0469</v>
          </cell>
          <cell r="D88" t="str">
            <v>000042944999010477</v>
          </cell>
          <cell r="E88" t="str">
            <v>销套</v>
          </cell>
          <cell r="F88" t="str">
            <v>ΦEU40040</v>
          </cell>
          <cell r="G88" t="str">
            <v>-</v>
          </cell>
        </row>
        <row r="89">
          <cell r="B89" t="str">
            <v>7101100707</v>
          </cell>
          <cell r="C89" t="str">
            <v>G2601-0143</v>
          </cell>
          <cell r="D89" t="str">
            <v>000036900000040571</v>
          </cell>
          <cell r="E89" t="str">
            <v>密封圈</v>
          </cell>
          <cell r="F89" t="str">
            <v>11S00015</v>
          </cell>
          <cell r="G89" t="str">
            <v>-</v>
          </cell>
        </row>
        <row r="90">
          <cell r="B90" t="str">
            <v>7101100705</v>
          </cell>
          <cell r="C90" t="str">
            <v>G2601-0137</v>
          </cell>
          <cell r="D90" t="str">
            <v>000036200000061556</v>
          </cell>
          <cell r="E90" t="str">
            <v>密封圈</v>
          </cell>
          <cell r="F90" t="str">
            <v>11S00166</v>
          </cell>
          <cell r="G90" t="str">
            <v>-</v>
          </cell>
        </row>
        <row r="91">
          <cell r="B91" t="str">
            <v>7101100097</v>
          </cell>
          <cell r="C91" t="str">
            <v>G2504-0080</v>
          </cell>
          <cell r="D91" t="str">
            <v>000042944366118585</v>
          </cell>
          <cell r="E91" t="str">
            <v>销轴</v>
          </cell>
          <cell r="F91" t="str">
            <v>019155016601</v>
          </cell>
          <cell r="G91" t="str">
            <v>-</v>
          </cell>
        </row>
        <row r="92">
          <cell r="B92" t="str">
            <v>7101100041</v>
          </cell>
          <cell r="C92" t="str">
            <v>G2504-0117</v>
          </cell>
          <cell r="D92" t="str">
            <v>000042944239137591</v>
          </cell>
          <cell r="E92" t="str">
            <v>D头螺栓</v>
          </cell>
          <cell r="F92" t="str">
            <v>019112004101</v>
          </cell>
          <cell r="G92" t="str">
            <v>-</v>
          </cell>
        </row>
        <row r="93">
          <cell r="B93" t="str">
            <v>7101100031</v>
          </cell>
          <cell r="C93" t="str">
            <v>G2601-1564</v>
          </cell>
          <cell r="D93" t="str">
            <v>000042944288000012</v>
          </cell>
          <cell r="E93" t="str">
            <v>十二角自锁螺母</v>
          </cell>
          <cell r="F93" t="str">
            <v>11S40097</v>
          </cell>
          <cell r="G93" t="str">
            <v>-</v>
          </cell>
        </row>
        <row r="94">
          <cell r="B94" t="str">
            <v>7101099663</v>
          </cell>
          <cell r="C94" t="str">
            <v>G2512-0300</v>
          </cell>
          <cell r="D94" t="str">
            <v>000042944160050115</v>
          </cell>
          <cell r="E94" t="str">
            <v>联动环限位螺钉</v>
          </cell>
          <cell r="F94" t="str">
            <v>S15.15.1063N</v>
          </cell>
          <cell r="G94" t="str">
            <v>-</v>
          </cell>
        </row>
        <row r="95">
          <cell r="B95" t="str">
            <v>7101099471</v>
          </cell>
          <cell r="C95" t="str">
            <v>G2512-0458</v>
          </cell>
          <cell r="D95" t="str">
            <v>000042944201057235</v>
          </cell>
          <cell r="E95" t="str">
            <v>六角头螺栓</v>
          </cell>
          <cell r="F95" t="str">
            <v>Q/S15.1021A-2011</v>
          </cell>
          <cell r="G95" t="str">
            <v>6-27</v>
          </cell>
        </row>
        <row r="96">
          <cell r="B96" t="str">
            <v>7101099463</v>
          </cell>
          <cell r="C96" t="str">
            <v>G2512-0458</v>
          </cell>
          <cell r="D96" t="str">
            <v>000042944201057235</v>
          </cell>
          <cell r="E96" t="str">
            <v>六角头螺栓</v>
          </cell>
          <cell r="F96" t="str">
            <v>Q/S15.1021A-2011</v>
          </cell>
          <cell r="G96" t="str">
            <v>6-27</v>
          </cell>
        </row>
        <row r="97">
          <cell r="B97" t="str">
            <v>7101099461</v>
          </cell>
          <cell r="C97" t="str">
            <v>G2512-0458</v>
          </cell>
          <cell r="D97" t="str">
            <v>000042944201057235</v>
          </cell>
          <cell r="E97" t="str">
            <v>六角头螺栓</v>
          </cell>
          <cell r="F97" t="str">
            <v>Q/S15.1021A-2011</v>
          </cell>
          <cell r="G97" t="str">
            <v>6-27</v>
          </cell>
        </row>
        <row r="98">
          <cell r="B98" t="str">
            <v>7101098525</v>
          </cell>
          <cell r="C98" t="str">
            <v>G2512-0459</v>
          </cell>
          <cell r="D98" t="str">
            <v>000042944239070156</v>
          </cell>
          <cell r="E98" t="str">
            <v>篦齿盘螺栓</v>
          </cell>
          <cell r="F98" t="str">
            <v>S15.44.1059P</v>
          </cell>
          <cell r="G98" t="str">
            <v>-</v>
          </cell>
        </row>
        <row r="99">
          <cell r="B99" t="str">
            <v>7101098081</v>
          </cell>
          <cell r="C99" t="str">
            <v>G2510-1435</v>
          </cell>
          <cell r="D99" t="str">
            <v>000042944000122904</v>
          </cell>
          <cell r="E99" t="str">
            <v>配重块</v>
          </cell>
          <cell r="F99" t="str">
            <v>S10EA.12.1046</v>
          </cell>
          <cell r="G99" t="str">
            <v>Ⅱ</v>
          </cell>
        </row>
        <row r="100">
          <cell r="B100" t="str">
            <v>7101098077</v>
          </cell>
          <cell r="C100" t="str">
            <v>G2602-1526</v>
          </cell>
          <cell r="D100" t="str">
            <v>000042944999000130</v>
          </cell>
          <cell r="E100" t="str">
            <v>轴用钢丝卡圈</v>
          </cell>
          <cell r="F100" t="str">
            <v>11S50214</v>
          </cell>
          <cell r="G100" t="str">
            <v>-</v>
          </cell>
        </row>
        <row r="101">
          <cell r="B101" t="str">
            <v>7101097445</v>
          </cell>
          <cell r="C101" t="str">
            <v>G2511-0101</v>
          </cell>
          <cell r="D101" t="str">
            <v>000042944319001900</v>
          </cell>
          <cell r="E101" t="str">
            <v>螺母</v>
          </cell>
          <cell r="F101" t="str">
            <v>S10.4.1407</v>
          </cell>
          <cell r="G101" t="str">
            <v>-</v>
          </cell>
        </row>
        <row r="102">
          <cell r="B102" t="str">
            <v>7101097444</v>
          </cell>
          <cell r="C102" t="str">
            <v>G2511-0101</v>
          </cell>
          <cell r="D102" t="str">
            <v>000042944319001900</v>
          </cell>
          <cell r="E102" t="str">
            <v>螺母</v>
          </cell>
          <cell r="F102" t="str">
            <v>S10.4.1407</v>
          </cell>
          <cell r="G102" t="str">
            <v>-</v>
          </cell>
        </row>
        <row r="103">
          <cell r="B103" t="str">
            <v>7101097443</v>
          </cell>
          <cell r="C103" t="str">
            <v>G2511-0100</v>
          </cell>
          <cell r="D103" t="str">
            <v>000042944319001900</v>
          </cell>
          <cell r="E103" t="str">
            <v>螺母</v>
          </cell>
          <cell r="F103" t="str">
            <v>S10.4.1407</v>
          </cell>
          <cell r="G103" t="str">
            <v>-</v>
          </cell>
        </row>
        <row r="104">
          <cell r="B104" t="str">
            <v>7101097436</v>
          </cell>
          <cell r="C104" t="str">
            <v>G2502-2896</v>
          </cell>
          <cell r="D104" t="str">
            <v>000042944360100875</v>
          </cell>
          <cell r="E104" t="str">
            <v>安装梁剪切销</v>
          </cell>
          <cell r="F104" t="str">
            <v>S20.00.2007</v>
          </cell>
          <cell r="G104" t="str">
            <v>-</v>
          </cell>
        </row>
        <row r="105">
          <cell r="B105" t="str">
            <v>7101097435</v>
          </cell>
          <cell r="C105" t="str">
            <v>G2506-7525</v>
          </cell>
          <cell r="D105" t="str">
            <v>000042944319002131</v>
          </cell>
          <cell r="E105" t="str">
            <v>外套螺母</v>
          </cell>
          <cell r="F105" t="str">
            <v>S20.4.2011</v>
          </cell>
          <cell r="G105" t="str">
            <v>-</v>
          </cell>
        </row>
        <row r="106">
          <cell r="B106" t="str">
            <v>7101097434</v>
          </cell>
          <cell r="C106" t="str">
            <v>G2511-0188</v>
          </cell>
          <cell r="D106" t="str">
            <v>000042944319002131</v>
          </cell>
          <cell r="E106" t="str">
            <v>外套螺母</v>
          </cell>
          <cell r="F106" t="str">
            <v>S20.4.2011</v>
          </cell>
          <cell r="G106" t="str">
            <v>-</v>
          </cell>
        </row>
        <row r="107">
          <cell r="B107" t="str">
            <v>7101097433</v>
          </cell>
          <cell r="C107" t="str">
            <v>G2511-0188</v>
          </cell>
          <cell r="D107" t="str">
            <v>000042944319002131</v>
          </cell>
          <cell r="E107" t="str">
            <v>外套螺母</v>
          </cell>
          <cell r="F107" t="str">
            <v>S20.4.2011</v>
          </cell>
          <cell r="G107" t="str">
            <v>-</v>
          </cell>
        </row>
        <row r="108">
          <cell r="B108" t="str">
            <v>7101097431</v>
          </cell>
          <cell r="C108" t="str">
            <v>G2511-0098</v>
          </cell>
          <cell r="D108" t="str">
            <v>000042944319001895</v>
          </cell>
          <cell r="E108" t="str">
            <v>鼓筒前连接螺母</v>
          </cell>
          <cell r="F108" t="str">
            <v>S10.4.1404</v>
          </cell>
          <cell r="G108" t="str">
            <v>-</v>
          </cell>
        </row>
        <row r="109">
          <cell r="B109" t="str">
            <v>7101097430</v>
          </cell>
          <cell r="C109" t="str">
            <v>G2511-0097</v>
          </cell>
          <cell r="D109" t="str">
            <v>000042944319001895</v>
          </cell>
          <cell r="E109" t="str">
            <v>鼓筒前连接螺母</v>
          </cell>
          <cell r="F109" t="str">
            <v>S10.4.1404</v>
          </cell>
          <cell r="G109" t="str">
            <v>-</v>
          </cell>
        </row>
        <row r="110">
          <cell r="B110" t="str">
            <v>7101097423</v>
          </cell>
          <cell r="C110" t="str">
            <v>G2505-0129</v>
          </cell>
          <cell r="D110" t="str">
            <v>000042944288002044</v>
          </cell>
          <cell r="E110" t="str">
            <v>MJ螺纹十二角自锁螺母</v>
          </cell>
          <cell r="F110" t="str">
            <v>Q/S15.1103-2011</v>
          </cell>
          <cell r="G110" t="str">
            <v>8</v>
          </cell>
        </row>
        <row r="111">
          <cell r="B111" t="str">
            <v>7101097416</v>
          </cell>
          <cell r="C111" t="str">
            <v>G2306-1666</v>
          </cell>
          <cell r="D111" t="str">
            <v>000042944239011751</v>
          </cell>
          <cell r="E111" t="str">
            <v>螺栓</v>
          </cell>
          <cell r="F111" t="str">
            <v>S10.1.1405</v>
          </cell>
          <cell r="G111" t="str">
            <v>-</v>
          </cell>
        </row>
        <row r="112">
          <cell r="B112" t="str">
            <v>7101097407</v>
          </cell>
          <cell r="C112" t="str">
            <v>G2509-2507</v>
          </cell>
          <cell r="D112" t="str">
            <v>000042944239011729</v>
          </cell>
          <cell r="E112" t="str">
            <v>十二角头螺栓</v>
          </cell>
          <cell r="F112" t="str">
            <v>S10.1.1246</v>
          </cell>
          <cell r="G112" t="str">
            <v>-</v>
          </cell>
        </row>
        <row r="113">
          <cell r="B113" t="str">
            <v>7101097377</v>
          </cell>
          <cell r="C113" t="str">
            <v>G2512-0462</v>
          </cell>
          <cell r="D113" t="str">
            <v>000042944288051128</v>
          </cell>
          <cell r="E113" t="str">
            <v>托板自锁螺母,MJ螺纹,镀银,材料GH738</v>
          </cell>
          <cell r="F113" t="str">
            <v>Q/S15.1108-2011</v>
          </cell>
          <cell r="G113" t="str">
            <v>10</v>
          </cell>
        </row>
        <row r="114">
          <cell r="B114" t="str">
            <v>7101097377</v>
          </cell>
          <cell r="C114" t="str">
            <v>G2509-2044</v>
          </cell>
          <cell r="D114" t="str">
            <v>000042944288051128</v>
          </cell>
          <cell r="E114" t="str">
            <v>托板自锁螺母,MJ螺纹,镀银,材料GH738</v>
          </cell>
          <cell r="F114" t="str">
            <v>Q/S15.1108-2011</v>
          </cell>
          <cell r="G114" t="str">
            <v>10</v>
          </cell>
        </row>
        <row r="115">
          <cell r="B115" t="str">
            <v>7101097365</v>
          </cell>
          <cell r="C115" t="str">
            <v>G2504-1027</v>
          </cell>
          <cell r="D115" t="str">
            <v>000042944201110906</v>
          </cell>
          <cell r="E115" t="str">
            <v>六角头螺栓</v>
          </cell>
          <cell r="F115" t="str">
            <v>11S10447</v>
          </cell>
          <cell r="G115" t="str">
            <v>-</v>
          </cell>
        </row>
        <row r="116">
          <cell r="B116" t="str">
            <v>7101097357</v>
          </cell>
          <cell r="C116" t="str">
            <v>G2502-0323</v>
          </cell>
          <cell r="D116" t="str">
            <v>000042944040002767</v>
          </cell>
          <cell r="E116" t="str">
            <v>TC4钛合金六角头螺钉</v>
          </cell>
          <cell r="F116" t="str">
            <v>HB6566-1992</v>
          </cell>
          <cell r="G116" t="str">
            <v>MJ6×1×14Y</v>
          </cell>
        </row>
        <row r="117">
          <cell r="B117" t="str">
            <v>7101097354</v>
          </cell>
          <cell r="C117" t="str">
            <v>G2502-0779</v>
          </cell>
          <cell r="D117" t="str">
            <v>000042944319001884</v>
          </cell>
          <cell r="E117" t="str">
            <v>托板螺母</v>
          </cell>
          <cell r="F117" t="str">
            <v>S10.33.1025</v>
          </cell>
          <cell r="G117" t="str">
            <v>-</v>
          </cell>
        </row>
        <row r="118">
          <cell r="B118" t="str">
            <v>7101097351</v>
          </cell>
          <cell r="C118" t="str">
            <v>G2508-0738</v>
          </cell>
          <cell r="D118" t="str">
            <v>000042944366125110</v>
          </cell>
          <cell r="E118" t="str">
            <v>A8调节片销轴</v>
          </cell>
          <cell r="F118" t="str">
            <v>019155003801</v>
          </cell>
          <cell r="G118" t="str">
            <v>-</v>
          </cell>
        </row>
        <row r="119">
          <cell r="B119" t="str">
            <v>7101097348</v>
          </cell>
          <cell r="C119" t="str">
            <v>G2411-2466</v>
          </cell>
          <cell r="D119" t="str">
            <v>000042944360143761</v>
          </cell>
          <cell r="E119" t="str">
            <v>销子</v>
          </cell>
          <cell r="F119" t="str">
            <v>STH.11.1015.A</v>
          </cell>
          <cell r="G119" t="str">
            <v>-</v>
          </cell>
        </row>
        <row r="120">
          <cell r="B120" t="str">
            <v>7101097346</v>
          </cell>
          <cell r="C120" t="str">
            <v>G2511-2155</v>
          </cell>
          <cell r="D120" t="str">
            <v>000042944288002486</v>
          </cell>
          <cell r="E120" t="str">
            <v>六角自锁螺母</v>
          </cell>
          <cell r="F120" t="str">
            <v>S10.4.1202</v>
          </cell>
          <cell r="G120" t="str">
            <v>-</v>
          </cell>
        </row>
        <row r="121">
          <cell r="B121" t="str">
            <v>7101097344</v>
          </cell>
          <cell r="C121" t="str">
            <v>G2504-0162</v>
          </cell>
          <cell r="D121" t="str">
            <v>000042944360113861</v>
          </cell>
          <cell r="E121" t="str">
            <v>回油销</v>
          </cell>
          <cell r="F121" t="str">
            <v>019111001601</v>
          </cell>
          <cell r="G121" t="str">
            <v>-</v>
          </cell>
        </row>
        <row r="122">
          <cell r="B122" t="str">
            <v>7101097343</v>
          </cell>
          <cell r="C122" t="str">
            <v>G2412-3124</v>
          </cell>
          <cell r="D122" t="str">
            <v>000042944201110906</v>
          </cell>
          <cell r="E122" t="str">
            <v>六角头螺栓</v>
          </cell>
          <cell r="F122" t="str">
            <v>11S10447</v>
          </cell>
          <cell r="G122" t="str">
            <v>-</v>
          </cell>
        </row>
        <row r="123">
          <cell r="B123" t="str">
            <v>7101097298</v>
          </cell>
          <cell r="C123" t="str">
            <v>G2512-0468</v>
          </cell>
          <cell r="D123" t="str">
            <v>000042944000139131</v>
          </cell>
          <cell r="E123" t="str">
            <v>测试座堵头</v>
          </cell>
          <cell r="F123" t="str">
            <v>S15.30.1086U</v>
          </cell>
          <cell r="G123" t="str">
            <v>-</v>
          </cell>
        </row>
        <row r="124">
          <cell r="B124" t="str">
            <v>7101097276</v>
          </cell>
          <cell r="C124" t="str">
            <v>G2602-1526</v>
          </cell>
          <cell r="D124" t="str">
            <v>000042944999000130</v>
          </cell>
          <cell r="E124" t="str">
            <v>轴用钢丝卡圈</v>
          </cell>
          <cell r="F124" t="str">
            <v>11S50214</v>
          </cell>
          <cell r="G124" t="str">
            <v>-</v>
          </cell>
        </row>
        <row r="125">
          <cell r="B125" t="str">
            <v>7101096481</v>
          </cell>
          <cell r="C125" t="str">
            <v>G2601-0303</v>
          </cell>
          <cell r="D125" t="str">
            <v>000042944160154515</v>
          </cell>
          <cell r="E125" t="str">
            <v>螺钉</v>
          </cell>
          <cell r="F125" t="str">
            <v>11S20091</v>
          </cell>
          <cell r="G125" t="str">
            <v>-</v>
          </cell>
        </row>
        <row r="126">
          <cell r="B126" t="str">
            <v>7101096479</v>
          </cell>
          <cell r="C126" t="str">
            <v>G2601-0303</v>
          </cell>
          <cell r="D126" t="str">
            <v>000042944160154515</v>
          </cell>
          <cell r="E126" t="str">
            <v>螺钉</v>
          </cell>
          <cell r="F126" t="str">
            <v>11S20091</v>
          </cell>
          <cell r="G126" t="str">
            <v>-</v>
          </cell>
        </row>
        <row r="127">
          <cell r="B127" t="str">
            <v>7101096361</v>
          </cell>
          <cell r="C127" t="str">
            <v>G2511-0051</v>
          </cell>
          <cell r="D127" t="str">
            <v>000042944439124015</v>
          </cell>
          <cell r="E127" t="str">
            <v>锁紧垫圈</v>
          </cell>
          <cell r="F127" t="str">
            <v>D28.06.070596</v>
          </cell>
          <cell r="G127" t="str">
            <v>-</v>
          </cell>
        </row>
        <row r="128">
          <cell r="B128" t="str">
            <v>7101096361</v>
          </cell>
          <cell r="C128" t="str">
            <v>G2401-0834</v>
          </cell>
          <cell r="D128" t="str">
            <v>000042944000126738</v>
          </cell>
          <cell r="E128" t="str">
            <v>铅封块</v>
          </cell>
          <cell r="F128" t="str">
            <v>D28.06.107470</v>
          </cell>
          <cell r="G128" t="str">
            <v>-</v>
          </cell>
        </row>
        <row r="129">
          <cell r="B129" t="str">
            <v>7101096002</v>
          </cell>
          <cell r="C129" t="str">
            <v>G2602-0937</v>
          </cell>
          <cell r="D129" t="str">
            <v>000042944000122905</v>
          </cell>
          <cell r="E129" t="str">
            <v>配重块</v>
          </cell>
          <cell r="F129" t="str">
            <v>S10EA.12.1046</v>
          </cell>
          <cell r="G129" t="str">
            <v>Ⅲ</v>
          </cell>
        </row>
        <row r="130">
          <cell r="B130" t="str">
            <v>7101096001</v>
          </cell>
          <cell r="C130" t="str">
            <v>G2510-1437</v>
          </cell>
          <cell r="D130" t="str">
            <v>000042944000122906</v>
          </cell>
          <cell r="E130" t="str">
            <v>配重块</v>
          </cell>
          <cell r="F130" t="str">
            <v>S10EA.12.1046</v>
          </cell>
          <cell r="G130" t="str">
            <v>Ⅳ</v>
          </cell>
        </row>
        <row r="131">
          <cell r="B131" t="str">
            <v>7101095889</v>
          </cell>
          <cell r="C131" t="str">
            <v>G2510-1437</v>
          </cell>
          <cell r="D131" t="str">
            <v>000042944000122906</v>
          </cell>
          <cell r="E131" t="str">
            <v>配重块</v>
          </cell>
          <cell r="F131" t="str">
            <v>S10EA.12.1046</v>
          </cell>
          <cell r="G131" t="str">
            <v>Ⅳ</v>
          </cell>
        </row>
        <row r="132">
          <cell r="B132" t="str">
            <v>7101095727</v>
          </cell>
          <cell r="C132" t="str">
            <v>G2602-1259</v>
          </cell>
          <cell r="D132" t="str">
            <v>000042944000169542</v>
          </cell>
          <cell r="E132" t="str">
            <v>锁片</v>
          </cell>
          <cell r="F132" t="str">
            <v>2S5066-2010</v>
          </cell>
          <cell r="G132" t="str">
            <v>12×14×0.8</v>
          </cell>
        </row>
        <row r="133">
          <cell r="B133" t="str">
            <v>7101095726</v>
          </cell>
          <cell r="C133" t="str">
            <v>G2602-1259</v>
          </cell>
          <cell r="D133" t="str">
            <v>000042944000169542</v>
          </cell>
          <cell r="E133" t="str">
            <v>锁片</v>
          </cell>
          <cell r="F133" t="str">
            <v>2S5066-2010</v>
          </cell>
          <cell r="G133" t="str">
            <v>12×14×0.8</v>
          </cell>
        </row>
        <row r="134">
          <cell r="B134" t="str">
            <v>7101095411</v>
          </cell>
          <cell r="C134" t="str">
            <v>G2510-0520</v>
          </cell>
          <cell r="D134" t="str">
            <v>000042944160011391</v>
          </cell>
          <cell r="E134" t="str">
            <v>沉头螺钉</v>
          </cell>
          <cell r="F134" t="str">
            <v>S10.2.1157</v>
          </cell>
          <cell r="G134" t="str">
            <v>-</v>
          </cell>
        </row>
        <row r="135">
          <cell r="B135" t="str">
            <v>7101095305</v>
          </cell>
          <cell r="C135" t="str">
            <v>G2601-0325</v>
          </cell>
          <cell r="D135" t="str">
            <v>000042944201110891</v>
          </cell>
          <cell r="E135" t="str">
            <v>六角头螺栓</v>
          </cell>
          <cell r="F135" t="str">
            <v>11S10437</v>
          </cell>
          <cell r="G135" t="str">
            <v>-</v>
          </cell>
        </row>
        <row r="136">
          <cell r="B136" t="str">
            <v>7101095305</v>
          </cell>
          <cell r="C136" t="str">
            <v>G2508-1029</v>
          </cell>
          <cell r="D136" t="str">
            <v>000042944201110891</v>
          </cell>
          <cell r="E136" t="str">
            <v>六角头螺栓</v>
          </cell>
          <cell r="F136" t="str">
            <v>11S10437</v>
          </cell>
          <cell r="G136" t="str">
            <v>-</v>
          </cell>
        </row>
        <row r="137">
          <cell r="B137" t="str">
            <v>7101095266</v>
          </cell>
          <cell r="C137" t="str">
            <v>G2508-2357</v>
          </cell>
          <cell r="D137" t="str">
            <v>000042944240084471</v>
          </cell>
          <cell r="E137" t="str">
            <v>螺柱</v>
          </cell>
          <cell r="F137" t="str">
            <v>11S30071</v>
          </cell>
          <cell r="G137" t="str">
            <v>Ⅰ</v>
          </cell>
        </row>
        <row r="138">
          <cell r="B138" t="str">
            <v>7101095265</v>
          </cell>
          <cell r="C138" t="str">
            <v>G2512-0460</v>
          </cell>
          <cell r="D138" t="str">
            <v>000042944240084471</v>
          </cell>
          <cell r="E138" t="str">
            <v>螺柱</v>
          </cell>
          <cell r="F138" t="str">
            <v>11S30071</v>
          </cell>
          <cell r="G138" t="str">
            <v>Ⅰ</v>
          </cell>
        </row>
        <row r="139">
          <cell r="B139" t="str">
            <v>7101095262</v>
          </cell>
          <cell r="C139" t="str">
            <v>G2512-0460</v>
          </cell>
          <cell r="D139" t="str">
            <v>000042944240084471</v>
          </cell>
          <cell r="E139" t="str">
            <v>螺柱</v>
          </cell>
          <cell r="F139" t="str">
            <v>11S30071</v>
          </cell>
          <cell r="G139" t="str">
            <v>Ⅰ</v>
          </cell>
        </row>
        <row r="140">
          <cell r="B140" t="str">
            <v>7101094795</v>
          </cell>
          <cell r="C140" t="str">
            <v>G2512-0306</v>
          </cell>
          <cell r="D140" t="str">
            <v>000042944239056621</v>
          </cell>
          <cell r="E140" t="str">
            <v>小十二角头螺钉</v>
          </cell>
          <cell r="F140" t="str">
            <v>Q/S15.1072-2016</v>
          </cell>
          <cell r="G140" t="str">
            <v>6-14d</v>
          </cell>
        </row>
        <row r="141">
          <cell r="B141" t="str">
            <v>7101094772</v>
          </cell>
          <cell r="C141" t="str">
            <v>G2310-0682</v>
          </cell>
          <cell r="D141" t="str">
            <v>000042944319002493</v>
          </cell>
          <cell r="E141" t="str">
            <v>外套螺母</v>
          </cell>
          <cell r="F141" t="str">
            <v>ΦCU4543</v>
          </cell>
          <cell r="G141" t="str">
            <v>-</v>
          </cell>
        </row>
        <row r="142">
          <cell r="B142" t="str">
            <v>7101094738</v>
          </cell>
          <cell r="C142" t="str">
            <v>G2511-0233</v>
          </cell>
          <cell r="D142" t="str">
            <v>000042944288002505</v>
          </cell>
          <cell r="E142" t="str">
            <v>十二角自锁螺母</v>
          </cell>
          <cell r="F142" t="str">
            <v>S10.4.1216</v>
          </cell>
          <cell r="G142" t="str">
            <v>-</v>
          </cell>
        </row>
        <row r="143">
          <cell r="B143" t="str">
            <v>7101094718</v>
          </cell>
          <cell r="C143" t="str">
            <v>G2508-1040</v>
          </cell>
          <cell r="D143" t="str">
            <v>000042944240110892</v>
          </cell>
          <cell r="E143" t="str">
            <v>螺桩</v>
          </cell>
          <cell r="F143" t="str">
            <v>11S30119</v>
          </cell>
          <cell r="G143" t="str">
            <v>2</v>
          </cell>
        </row>
        <row r="144">
          <cell r="B144" t="str">
            <v>7101094717</v>
          </cell>
          <cell r="C144" t="str">
            <v>G2505-1060</v>
          </cell>
          <cell r="D144" t="str">
            <v>000042944239093039</v>
          </cell>
          <cell r="E144" t="str">
            <v>盘前螺栓</v>
          </cell>
          <cell r="F144" t="str">
            <v>S10.1.1401A</v>
          </cell>
          <cell r="G144" t="str">
            <v>-</v>
          </cell>
        </row>
        <row r="145">
          <cell r="B145" t="str">
            <v>7101094714</v>
          </cell>
          <cell r="C145" t="str">
            <v>G2508-2355</v>
          </cell>
          <cell r="D145" t="str">
            <v>000042944239157225</v>
          </cell>
          <cell r="E145" t="str">
            <v>螺栓</v>
          </cell>
          <cell r="F145" t="str">
            <v>S15.15.1119P</v>
          </cell>
          <cell r="G145" t="str">
            <v>-</v>
          </cell>
        </row>
        <row r="146">
          <cell r="B146" t="str">
            <v>7101094712</v>
          </cell>
          <cell r="C146" t="str">
            <v>G2509-2054</v>
          </cell>
          <cell r="D146" t="str">
            <v>000042944239070158</v>
          </cell>
          <cell r="E146" t="str">
            <v>盘后螺栓</v>
          </cell>
          <cell r="F146" t="str">
            <v>S15.44.1080P</v>
          </cell>
          <cell r="G146" t="str">
            <v>-</v>
          </cell>
        </row>
        <row r="147">
          <cell r="B147" t="str">
            <v>7101094710</v>
          </cell>
          <cell r="C147" t="str">
            <v>G2509-2054</v>
          </cell>
          <cell r="D147" t="str">
            <v>000042944239070158</v>
          </cell>
          <cell r="E147" t="str">
            <v>盘后螺栓</v>
          </cell>
          <cell r="F147" t="str">
            <v>S15.44.1080P</v>
          </cell>
          <cell r="G147" t="str">
            <v>-</v>
          </cell>
        </row>
        <row r="148">
          <cell r="B148" t="str">
            <v>7101094709</v>
          </cell>
          <cell r="C148" t="str">
            <v>G2509-2054</v>
          </cell>
          <cell r="D148" t="str">
            <v>000042944239070158</v>
          </cell>
          <cell r="E148" t="str">
            <v>盘后螺栓</v>
          </cell>
          <cell r="F148" t="str">
            <v>S15.44.1080P</v>
          </cell>
          <cell r="G148" t="str">
            <v>-</v>
          </cell>
        </row>
        <row r="149">
          <cell r="B149" t="str">
            <v>7101094705</v>
          </cell>
          <cell r="C149" t="str">
            <v>G2511-0179</v>
          </cell>
          <cell r="D149" t="str">
            <v>000042944239011744</v>
          </cell>
          <cell r="E149" t="str">
            <v>螺栓</v>
          </cell>
          <cell r="F149" t="str">
            <v>S10.1.1302</v>
          </cell>
          <cell r="G149" t="str">
            <v>-</v>
          </cell>
        </row>
        <row r="150">
          <cell r="B150" t="str">
            <v>7101094704</v>
          </cell>
          <cell r="C150" t="str">
            <v>G2507-1497</v>
          </cell>
          <cell r="D150" t="str">
            <v>000042944239011744</v>
          </cell>
          <cell r="E150" t="str">
            <v>螺栓</v>
          </cell>
          <cell r="F150" t="str">
            <v>S10.1.1302</v>
          </cell>
          <cell r="G150" t="str">
            <v>-</v>
          </cell>
        </row>
        <row r="151">
          <cell r="B151" t="str">
            <v>7101094697</v>
          </cell>
          <cell r="C151" t="str">
            <v>G2502-0390</v>
          </cell>
          <cell r="D151" t="str">
            <v>000042944044009164</v>
          </cell>
          <cell r="E151" t="str">
            <v>高扭矩十字槽螺钉</v>
          </cell>
          <cell r="F151" t="str">
            <v>S10.2.1204</v>
          </cell>
          <cell r="G151" t="str">
            <v>-</v>
          </cell>
        </row>
        <row r="152">
          <cell r="B152" t="str">
            <v>7101094696</v>
          </cell>
          <cell r="C152" t="str">
            <v>G2409-0577</v>
          </cell>
          <cell r="D152" t="str">
            <v>000042944044009164</v>
          </cell>
          <cell r="E152" t="str">
            <v>高扭矩十字槽螺钉</v>
          </cell>
          <cell r="F152" t="str">
            <v>S10.2.1204</v>
          </cell>
          <cell r="G152" t="str">
            <v>-</v>
          </cell>
        </row>
        <row r="153">
          <cell r="B153" t="str">
            <v>7101094696</v>
          </cell>
          <cell r="C153" t="str">
            <v>G2507-1609</v>
          </cell>
          <cell r="D153" t="str">
            <v>000042944044009164</v>
          </cell>
          <cell r="E153" t="str">
            <v>高扭矩十字槽螺钉</v>
          </cell>
          <cell r="F153" t="str">
            <v>S10.2.1204</v>
          </cell>
          <cell r="G153" t="str">
            <v>-</v>
          </cell>
        </row>
        <row r="154">
          <cell r="B154" t="str">
            <v>7101094692</v>
          </cell>
          <cell r="C154" t="str">
            <v>G2508-2355</v>
          </cell>
          <cell r="D154" t="str">
            <v>000042944239157225</v>
          </cell>
          <cell r="E154" t="str">
            <v>螺栓</v>
          </cell>
          <cell r="F154" t="str">
            <v>S15.15.1119P</v>
          </cell>
          <cell r="G154" t="str">
            <v>-</v>
          </cell>
        </row>
        <row r="155">
          <cell r="B155" t="str">
            <v>7101094649</v>
          </cell>
          <cell r="C155" t="str">
            <v>G2405-0294</v>
          </cell>
          <cell r="D155" t="str">
            <v>000042944240110899</v>
          </cell>
          <cell r="E155" t="str">
            <v>螺桩</v>
          </cell>
          <cell r="F155" t="str">
            <v>11S30121</v>
          </cell>
          <cell r="G155" t="str">
            <v>3</v>
          </cell>
        </row>
        <row r="156">
          <cell r="B156" t="str">
            <v>7101094447</v>
          </cell>
          <cell r="C156" t="str">
            <v>G2602-0878</v>
          </cell>
          <cell r="D156" t="str">
            <v>000042944288002036</v>
          </cell>
          <cell r="E156" t="str">
            <v>厚自锁螺母,十角,MJ螺纹,材料GH738</v>
          </cell>
          <cell r="F156" t="str">
            <v>Q/S15.1101-2011</v>
          </cell>
          <cell r="G156" t="str">
            <v>6</v>
          </cell>
        </row>
        <row r="157">
          <cell r="B157" t="str">
            <v>7101094446</v>
          </cell>
          <cell r="C157" t="str">
            <v>G2511-0087</v>
          </cell>
          <cell r="D157" t="str">
            <v>000042944288002484</v>
          </cell>
          <cell r="E157" t="str">
            <v>自锁螺母</v>
          </cell>
          <cell r="F157" t="str">
            <v>S10.37.1050</v>
          </cell>
          <cell r="G157" t="str">
            <v>-</v>
          </cell>
        </row>
        <row r="158">
          <cell r="B158" t="str">
            <v>7101094446</v>
          </cell>
          <cell r="C158" t="str">
            <v>G2511-2072</v>
          </cell>
          <cell r="D158" t="str">
            <v>000042944288002484</v>
          </cell>
          <cell r="E158" t="str">
            <v>自锁螺母</v>
          </cell>
          <cell r="F158" t="str">
            <v>S10.37.1050</v>
          </cell>
          <cell r="G158" t="str">
            <v>-</v>
          </cell>
        </row>
        <row r="159">
          <cell r="B159" t="str">
            <v>7101094445</v>
          </cell>
          <cell r="C159" t="str">
            <v>G2511-2072</v>
          </cell>
          <cell r="D159" t="str">
            <v>000042944288002484</v>
          </cell>
          <cell r="E159" t="str">
            <v>自锁螺母</v>
          </cell>
          <cell r="F159" t="str">
            <v>S10.37.1050</v>
          </cell>
          <cell r="G159" t="str">
            <v>-</v>
          </cell>
        </row>
        <row r="160">
          <cell r="B160" t="str">
            <v>7101094444</v>
          </cell>
          <cell r="C160" t="str">
            <v>G2509-3125</v>
          </cell>
          <cell r="D160" t="str">
            <v>000042944040003736</v>
          </cell>
          <cell r="E160" t="str">
            <v>螺钉,六角头,MJ螺纹,螺纹公差带4g6g,头部两个保险丝孔</v>
          </cell>
          <cell r="F160" t="str">
            <v>Q/S15.1017-2011</v>
          </cell>
          <cell r="G160" t="str">
            <v>6-11</v>
          </cell>
        </row>
        <row r="161">
          <cell r="B161" t="str">
            <v>7101094443</v>
          </cell>
          <cell r="C161" t="str">
            <v>G2509-3125</v>
          </cell>
          <cell r="D161" t="str">
            <v>000042944040003736</v>
          </cell>
          <cell r="E161" t="str">
            <v>螺钉,六角头,MJ螺纹,螺纹公差带4g6g,头部两个保险丝孔</v>
          </cell>
          <cell r="F161" t="str">
            <v>Q/S15.1017-2011</v>
          </cell>
          <cell r="G161" t="str">
            <v>6-11</v>
          </cell>
        </row>
        <row r="162">
          <cell r="B162" t="str">
            <v>7101094442</v>
          </cell>
          <cell r="C162" t="str">
            <v>G2509-3125</v>
          </cell>
          <cell r="D162" t="str">
            <v>000042944040003736</v>
          </cell>
          <cell r="E162" t="str">
            <v>螺钉,六角头,MJ螺纹,螺纹公差带4g6g,头部两个保险丝孔</v>
          </cell>
          <cell r="F162" t="str">
            <v>Q/S15.1017-2011</v>
          </cell>
          <cell r="G162" t="str">
            <v>6-11</v>
          </cell>
        </row>
        <row r="163">
          <cell r="B163" t="str">
            <v>7101094421</v>
          </cell>
          <cell r="C163" t="str">
            <v>G2509-3125</v>
          </cell>
          <cell r="D163" t="str">
            <v>000042944040003736</v>
          </cell>
          <cell r="E163" t="str">
            <v>螺钉,六角头,MJ螺纹,螺纹公差带4g6g,头部两个保险丝孔</v>
          </cell>
          <cell r="F163" t="str">
            <v>Q/S15.1017-2011</v>
          </cell>
          <cell r="G163" t="str">
            <v>6-11</v>
          </cell>
        </row>
        <row r="164">
          <cell r="B164" t="str">
            <v>7101094419</v>
          </cell>
          <cell r="C164" t="str">
            <v>G2511-0226</v>
          </cell>
          <cell r="D164" t="str">
            <v>000042944239011768</v>
          </cell>
          <cell r="E164" t="str">
            <v>二级盘后螺栓</v>
          </cell>
          <cell r="F164" t="str">
            <v>S10.1.3123</v>
          </cell>
          <cell r="G164" t="str">
            <v>-</v>
          </cell>
        </row>
        <row r="165">
          <cell r="B165" t="str">
            <v>7101094418</v>
          </cell>
          <cell r="C165" t="str">
            <v>G2511-0226</v>
          </cell>
          <cell r="D165" t="str">
            <v>000042944239011768</v>
          </cell>
          <cell r="E165" t="str">
            <v>二级盘后螺栓</v>
          </cell>
          <cell r="F165" t="str">
            <v>S10.1.3123</v>
          </cell>
          <cell r="G165" t="str">
            <v>-</v>
          </cell>
        </row>
        <row r="166">
          <cell r="B166" t="str">
            <v>7101094416</v>
          </cell>
          <cell r="C166" t="str">
            <v>G2511-0180</v>
          </cell>
          <cell r="D166" t="str">
            <v>000042944239011751</v>
          </cell>
          <cell r="E166" t="str">
            <v>螺栓</v>
          </cell>
          <cell r="F166" t="str">
            <v>S10.1.1405</v>
          </cell>
          <cell r="G166" t="str">
            <v>-</v>
          </cell>
        </row>
        <row r="167">
          <cell r="B167" t="str">
            <v>7101094416</v>
          </cell>
          <cell r="C167" t="str">
            <v>G2511-0181</v>
          </cell>
          <cell r="D167" t="str">
            <v>000042944239011751</v>
          </cell>
          <cell r="E167" t="str">
            <v>螺栓</v>
          </cell>
          <cell r="F167" t="str">
            <v>S10.1.1405</v>
          </cell>
          <cell r="G167" t="str">
            <v>-</v>
          </cell>
        </row>
        <row r="168">
          <cell r="B168" t="str">
            <v>7101094415</v>
          </cell>
          <cell r="C168" t="str">
            <v>G2511-0180</v>
          </cell>
          <cell r="D168" t="str">
            <v>000042944239011751</v>
          </cell>
          <cell r="E168" t="str">
            <v>螺栓</v>
          </cell>
          <cell r="F168" t="str">
            <v>S10.1.1405</v>
          </cell>
          <cell r="G168" t="str">
            <v>-</v>
          </cell>
        </row>
        <row r="169">
          <cell r="B169" t="str">
            <v>7101094412</v>
          </cell>
          <cell r="C169" t="str">
            <v>G2511-0180</v>
          </cell>
          <cell r="D169" t="str">
            <v>000042944239011751</v>
          </cell>
          <cell r="E169" t="str">
            <v>螺栓</v>
          </cell>
          <cell r="F169" t="str">
            <v>S10.1.1405</v>
          </cell>
          <cell r="G169" t="str">
            <v>-</v>
          </cell>
        </row>
        <row r="170">
          <cell r="B170" t="str">
            <v>7101094404</v>
          </cell>
          <cell r="C170" t="str">
            <v>G2509-0316</v>
          </cell>
          <cell r="D170" t="str">
            <v>000042944239070145</v>
          </cell>
          <cell r="E170" t="str">
            <v>四级螺栓组件</v>
          </cell>
          <cell r="F170" t="str">
            <v>S15.15.1856P</v>
          </cell>
          <cell r="G170" t="str">
            <v>-</v>
          </cell>
        </row>
        <row r="171">
          <cell r="B171" t="str">
            <v>7101094403</v>
          </cell>
          <cell r="C171" t="str">
            <v>G2509-0316</v>
          </cell>
          <cell r="D171" t="str">
            <v>000042944239070145</v>
          </cell>
          <cell r="E171" t="str">
            <v>四级螺栓组件</v>
          </cell>
          <cell r="F171" t="str">
            <v>S15.15.1856P</v>
          </cell>
          <cell r="G171" t="str">
            <v>-</v>
          </cell>
        </row>
        <row r="172">
          <cell r="B172" t="str">
            <v>7101094402</v>
          </cell>
          <cell r="C172" t="str">
            <v>G2509-0316</v>
          </cell>
          <cell r="D172" t="str">
            <v>000042944239070145</v>
          </cell>
          <cell r="E172" t="str">
            <v>四级螺栓组件</v>
          </cell>
          <cell r="F172" t="str">
            <v>S15.15.1856P</v>
          </cell>
          <cell r="G172" t="str">
            <v>-</v>
          </cell>
        </row>
        <row r="173">
          <cell r="B173" t="str">
            <v>7101094381</v>
          </cell>
          <cell r="C173" t="str">
            <v>G2509-0316</v>
          </cell>
          <cell r="D173" t="str">
            <v>000042944239070145</v>
          </cell>
          <cell r="E173" t="str">
            <v>四级螺栓组件</v>
          </cell>
          <cell r="F173" t="str">
            <v>S15.15.1856P</v>
          </cell>
          <cell r="G173" t="str">
            <v>-</v>
          </cell>
        </row>
        <row r="174">
          <cell r="B174" t="str">
            <v>7101094376</v>
          </cell>
          <cell r="C174" t="str">
            <v>G2601-0305</v>
          </cell>
          <cell r="D174" t="str">
            <v>000042944288000012</v>
          </cell>
          <cell r="E174" t="str">
            <v>十二角自锁螺母</v>
          </cell>
          <cell r="F174" t="str">
            <v>11S40097</v>
          </cell>
          <cell r="G174" t="str">
            <v>-</v>
          </cell>
        </row>
        <row r="175">
          <cell r="B175" t="str">
            <v>7101093748</v>
          </cell>
          <cell r="C175" t="str">
            <v>G02603-001</v>
          </cell>
          <cell r="D175" t="str">
            <v>000042944039037728</v>
          </cell>
          <cell r="E175" t="str">
            <v>锁紧型有折断槽钢丝螺套</v>
          </cell>
          <cell r="F175" t="str">
            <v>GJB5109-2002</v>
          </cell>
          <cell r="G175" t="str">
            <v>5×0.8×6</v>
          </cell>
        </row>
        <row r="176">
          <cell r="B176" t="str">
            <v>7101093698</v>
          </cell>
          <cell r="C176" t="str">
            <v>G2509-0408</v>
          </cell>
          <cell r="D176" t="str">
            <v>000042944440159094</v>
          </cell>
          <cell r="E176" t="str">
            <v>弹性挡圈</v>
          </cell>
          <cell r="F176" t="str">
            <v>STHF.17.1064</v>
          </cell>
          <cell r="G176" t="str">
            <v>-</v>
          </cell>
        </row>
        <row r="177">
          <cell r="B177" t="str">
            <v>7101093669</v>
          </cell>
          <cell r="C177" t="str">
            <v>G2510-1296</v>
          </cell>
          <cell r="D177" t="str">
            <v>000042944999158859</v>
          </cell>
          <cell r="E177" t="str">
            <v>端面盖板Ⅰ</v>
          </cell>
          <cell r="F177" t="str">
            <v>STHF.63.1003</v>
          </cell>
          <cell r="G177" t="str">
            <v>-</v>
          </cell>
        </row>
        <row r="178">
          <cell r="B178" t="str">
            <v>7101092786</v>
          </cell>
          <cell r="C178" t="str">
            <v>G02601-036</v>
          </cell>
          <cell r="D178" t="str">
            <v>000042944039150510</v>
          </cell>
          <cell r="E178" t="str">
            <v>锁紧型有折断槽钢丝螺套</v>
          </cell>
          <cell r="F178" t="str">
            <v>HB6200-1989</v>
          </cell>
          <cell r="G178" t="str">
            <v>8×1×8</v>
          </cell>
        </row>
        <row r="179">
          <cell r="B179" t="str">
            <v>7101092659</v>
          </cell>
          <cell r="C179" t="str">
            <v>G02601-030</v>
          </cell>
          <cell r="D179" t="str">
            <v>000042944360041997</v>
          </cell>
          <cell r="E179" t="str">
            <v>开口销</v>
          </cell>
          <cell r="F179" t="str">
            <v>GB/T91-2000</v>
          </cell>
          <cell r="G179" t="str">
            <v>1.6×12</v>
          </cell>
        </row>
        <row r="180">
          <cell r="B180" t="str">
            <v>7101092567</v>
          </cell>
          <cell r="C180" t="str">
            <v>G2504-0123</v>
          </cell>
          <cell r="D180" t="str">
            <v>000042944240110900</v>
          </cell>
          <cell r="E180" t="str">
            <v>螺桩</v>
          </cell>
          <cell r="F180" t="str">
            <v>11S30121</v>
          </cell>
          <cell r="G180" t="str">
            <v>4</v>
          </cell>
        </row>
        <row r="181">
          <cell r="B181" t="str">
            <v>7101092566</v>
          </cell>
          <cell r="C181" t="str">
            <v>G2601-0347</v>
          </cell>
          <cell r="D181" t="str">
            <v>000042944360113297</v>
          </cell>
          <cell r="E181" t="str">
            <v>止动销</v>
          </cell>
          <cell r="F181" t="str">
            <v>11S70157</v>
          </cell>
          <cell r="G181" t="str">
            <v>-</v>
          </cell>
        </row>
        <row r="182">
          <cell r="B182" t="str">
            <v>7101092038</v>
          </cell>
          <cell r="C182" t="str">
            <v>G2512-0313</v>
          </cell>
          <cell r="D182" t="str">
            <v>000042944288087585</v>
          </cell>
          <cell r="E182" t="str">
            <v>托板自锁螺母</v>
          </cell>
          <cell r="F182" t="str">
            <v>S15.44.1038N</v>
          </cell>
          <cell r="G182" t="str">
            <v>-</v>
          </cell>
        </row>
        <row r="183">
          <cell r="B183" t="str">
            <v>7101091644</v>
          </cell>
          <cell r="C183" t="str">
            <v>G2512-0473</v>
          </cell>
          <cell r="D183" t="str">
            <v>000042944288002050</v>
          </cell>
          <cell r="E183" t="str">
            <v>托板自锁螺母,MJ螺纹,镀银,材料GH738</v>
          </cell>
          <cell r="F183" t="str">
            <v>Q/S15.1108-2011</v>
          </cell>
          <cell r="G183" t="str">
            <v>6</v>
          </cell>
        </row>
        <row r="184">
          <cell r="B184" t="str">
            <v>7101091643</v>
          </cell>
          <cell r="C184" t="str">
            <v>G2512-0473</v>
          </cell>
          <cell r="D184" t="str">
            <v>000042944288002050</v>
          </cell>
          <cell r="E184" t="str">
            <v>托板自锁螺母,MJ螺纹,镀银,材料GH738</v>
          </cell>
          <cell r="F184" t="str">
            <v>Q/S15.1108-2011</v>
          </cell>
          <cell r="G184" t="str">
            <v>6</v>
          </cell>
        </row>
        <row r="185">
          <cell r="B185" t="str">
            <v>7101090790</v>
          </cell>
          <cell r="C185" t="str">
            <v>G2512-0291</v>
          </cell>
          <cell r="D185" t="str">
            <v>000042944239093127</v>
          </cell>
          <cell r="E185" t="str">
            <v>精密螺栓</v>
          </cell>
          <cell r="F185" t="str">
            <v>S15.15.1087N</v>
          </cell>
          <cell r="G185" t="str">
            <v>-</v>
          </cell>
        </row>
        <row r="186">
          <cell r="B186" t="str">
            <v>7101090789</v>
          </cell>
          <cell r="C186" t="str">
            <v>G2512-0291</v>
          </cell>
          <cell r="D186" t="str">
            <v>000042944239093127</v>
          </cell>
          <cell r="E186" t="str">
            <v>精密螺栓</v>
          </cell>
          <cell r="F186" t="str">
            <v>S15.15.1087N</v>
          </cell>
          <cell r="G186" t="str">
            <v>-</v>
          </cell>
        </row>
        <row r="187">
          <cell r="B187" t="str">
            <v>7101090629</v>
          </cell>
          <cell r="C187" t="str">
            <v>G2509-3321</v>
          </cell>
          <cell r="D187" t="str">
            <v>000042944239070144</v>
          </cell>
          <cell r="E187" t="str">
            <v>二级螺栓组件</v>
          </cell>
          <cell r="F187" t="str">
            <v>S15.15.1855P</v>
          </cell>
          <cell r="G187" t="str">
            <v>-</v>
          </cell>
        </row>
        <row r="188">
          <cell r="B188" t="str">
            <v>7101090628</v>
          </cell>
          <cell r="C188" t="str">
            <v>G2509-3321</v>
          </cell>
          <cell r="D188" t="str">
            <v>000042944239070144</v>
          </cell>
          <cell r="E188" t="str">
            <v>二级螺栓组件</v>
          </cell>
          <cell r="F188" t="str">
            <v>S15.15.1855P</v>
          </cell>
          <cell r="G188" t="str">
            <v>-</v>
          </cell>
        </row>
        <row r="189">
          <cell r="B189" t="str">
            <v>7101090627</v>
          </cell>
          <cell r="C189" t="str">
            <v>G2509-3321</v>
          </cell>
          <cell r="D189" t="str">
            <v>000042944239070144</v>
          </cell>
          <cell r="E189" t="str">
            <v>二级螺栓组件</v>
          </cell>
          <cell r="F189" t="str">
            <v>S15.15.1855P</v>
          </cell>
          <cell r="G189" t="str">
            <v>-</v>
          </cell>
        </row>
        <row r="190">
          <cell r="B190" t="str">
            <v>7101090158</v>
          </cell>
          <cell r="C190" t="str">
            <v>G2511-1255</v>
          </cell>
          <cell r="D190" t="str">
            <v>000042944000004200</v>
          </cell>
          <cell r="E190" t="str">
            <v>下部转接座电缆卡箍(右)</v>
          </cell>
          <cell r="F190" t="str">
            <v>S20.00.2130</v>
          </cell>
          <cell r="G190" t="str">
            <v>-</v>
          </cell>
        </row>
        <row r="191">
          <cell r="B191" t="str">
            <v>7101089820</v>
          </cell>
          <cell r="C191" t="str">
            <v>G2509-2064</v>
          </cell>
          <cell r="D191" t="str">
            <v>000042944239070144</v>
          </cell>
          <cell r="E191" t="str">
            <v>二级螺栓组件</v>
          </cell>
          <cell r="F191" t="str">
            <v>S15.15.1855P</v>
          </cell>
          <cell r="G191" t="str">
            <v>-</v>
          </cell>
        </row>
        <row r="192">
          <cell r="B192" t="str">
            <v>7101089774</v>
          </cell>
          <cell r="C192" t="str">
            <v>G2512-0309</v>
          </cell>
          <cell r="D192" t="str">
            <v>000042944360070153</v>
          </cell>
          <cell r="E192" t="str">
            <v>涡轮外环销子</v>
          </cell>
          <cell r="F192" t="str">
            <v>S15.44.1036P</v>
          </cell>
          <cell r="G192" t="str">
            <v>-</v>
          </cell>
        </row>
        <row r="193">
          <cell r="B193" t="str">
            <v>7101089773</v>
          </cell>
          <cell r="C193" t="str">
            <v>G2512-0309</v>
          </cell>
          <cell r="D193" t="str">
            <v>000042944360070153</v>
          </cell>
          <cell r="E193" t="str">
            <v>涡轮外环销子</v>
          </cell>
          <cell r="F193" t="str">
            <v>S15.44.1036P</v>
          </cell>
          <cell r="G193" t="str">
            <v>-</v>
          </cell>
        </row>
        <row r="194">
          <cell r="B194" t="str">
            <v>7101089740</v>
          </cell>
          <cell r="C194" t="str">
            <v>G2507-0425</v>
          </cell>
          <cell r="D194" t="str">
            <v>000042944319141018</v>
          </cell>
          <cell r="E194" t="str">
            <v>盘后托板摞母</v>
          </cell>
          <cell r="F194" t="str">
            <v>10J.4.1402B</v>
          </cell>
          <cell r="G194" t="str">
            <v>-</v>
          </cell>
        </row>
        <row r="195">
          <cell r="B195" t="str">
            <v>7101089614</v>
          </cell>
          <cell r="C195" t="str">
            <v>G2512-0308</v>
          </cell>
          <cell r="D195" t="str">
            <v>000042944319002041</v>
          </cell>
          <cell r="E195" t="str">
            <v>托板自锁螺母</v>
          </cell>
          <cell r="F195" t="str">
            <v>S15.37.1024</v>
          </cell>
          <cell r="G195" t="str">
            <v>-</v>
          </cell>
        </row>
        <row r="196">
          <cell r="B196" t="str">
            <v>7101089613</v>
          </cell>
          <cell r="C196" t="str">
            <v>G2512-0308</v>
          </cell>
          <cell r="D196" t="str">
            <v>000042944319002041</v>
          </cell>
          <cell r="E196" t="str">
            <v>托板自锁螺母</v>
          </cell>
          <cell r="F196" t="str">
            <v>S15.37.1024</v>
          </cell>
          <cell r="G196" t="str">
            <v>-</v>
          </cell>
        </row>
        <row r="197">
          <cell r="B197" t="str">
            <v>7101089612</v>
          </cell>
          <cell r="C197" t="str">
            <v>G2512-0308</v>
          </cell>
          <cell r="D197" t="str">
            <v>000042944319002041</v>
          </cell>
          <cell r="E197" t="str">
            <v>托板自锁螺母</v>
          </cell>
          <cell r="F197" t="str">
            <v>S15.37.1024</v>
          </cell>
          <cell r="G197" t="str">
            <v>-</v>
          </cell>
        </row>
        <row r="198">
          <cell r="B198" t="str">
            <v>7101089611</v>
          </cell>
          <cell r="C198" t="str">
            <v>G2512-0308</v>
          </cell>
          <cell r="D198" t="str">
            <v>000042944319002041</v>
          </cell>
          <cell r="E198" t="str">
            <v>托板自锁螺母</v>
          </cell>
          <cell r="F198" t="str">
            <v>S15.37.1024</v>
          </cell>
          <cell r="G198" t="str">
            <v>-</v>
          </cell>
        </row>
        <row r="199">
          <cell r="B199" t="str">
            <v>7101089476</v>
          </cell>
          <cell r="C199" t="str">
            <v>G2603-1510</v>
          </cell>
          <cell r="D199" t="str">
            <v>000042944320126746</v>
          </cell>
          <cell r="E199" t="str">
            <v>A8调节片后铆钉</v>
          </cell>
          <cell r="F199" t="str">
            <v>019155039101</v>
          </cell>
          <cell r="G199" t="str">
            <v>-</v>
          </cell>
        </row>
        <row r="200">
          <cell r="B200" t="str">
            <v>7101089404</v>
          </cell>
          <cell r="C200" t="str">
            <v>G2511-0100</v>
          </cell>
          <cell r="D200" t="str">
            <v>000042944319001900</v>
          </cell>
          <cell r="E200" t="str">
            <v>螺母</v>
          </cell>
          <cell r="F200" t="str">
            <v>S10.4.1407</v>
          </cell>
          <cell r="G200" t="str">
            <v>-</v>
          </cell>
        </row>
        <row r="201">
          <cell r="B201" t="str">
            <v>7101089402</v>
          </cell>
          <cell r="C201" t="str">
            <v>G2511-0101</v>
          </cell>
          <cell r="D201" t="str">
            <v>000042944319001900</v>
          </cell>
          <cell r="E201" t="str">
            <v>螺母</v>
          </cell>
          <cell r="F201" t="str">
            <v>S10.4.1407</v>
          </cell>
          <cell r="G201" t="str">
            <v>-</v>
          </cell>
        </row>
        <row r="202">
          <cell r="B202" t="str">
            <v>7101089401</v>
          </cell>
          <cell r="C202" t="str">
            <v>G2511-0101</v>
          </cell>
          <cell r="D202" t="str">
            <v>000042944319001900</v>
          </cell>
          <cell r="E202" t="str">
            <v>螺母</v>
          </cell>
          <cell r="F202" t="str">
            <v>S10.4.1407</v>
          </cell>
          <cell r="G202" t="str">
            <v>-</v>
          </cell>
        </row>
        <row r="203">
          <cell r="B203" t="str">
            <v>7101089388</v>
          </cell>
          <cell r="C203" t="str">
            <v>G2511-0101</v>
          </cell>
          <cell r="D203" t="str">
            <v>000042944319001900</v>
          </cell>
          <cell r="E203" t="str">
            <v>螺母</v>
          </cell>
          <cell r="F203" t="str">
            <v>S10.4.1407</v>
          </cell>
          <cell r="G203" t="str">
            <v>-</v>
          </cell>
        </row>
        <row r="204">
          <cell r="B204" t="str">
            <v>7101088999</v>
          </cell>
          <cell r="C204" t="str">
            <v>G02509-050</v>
          </cell>
          <cell r="D204" t="str">
            <v>000042944440000108</v>
          </cell>
          <cell r="E204" t="str">
            <v>孔用弹性挡圈-A型</v>
          </cell>
          <cell r="F204" t="str">
            <v>GB893.1-1986</v>
          </cell>
          <cell r="G204" t="str">
            <v>28</v>
          </cell>
        </row>
        <row r="205">
          <cell r="B205" t="str">
            <v>7101088998</v>
          </cell>
          <cell r="C205" t="str">
            <v>G2509-1832</v>
          </cell>
          <cell r="D205" t="str">
            <v>000042944440000108</v>
          </cell>
          <cell r="E205" t="str">
            <v>孔用弹性挡圈-A型</v>
          </cell>
          <cell r="F205" t="str">
            <v>GB893.1-1986</v>
          </cell>
          <cell r="G205" t="str">
            <v>28</v>
          </cell>
        </row>
        <row r="206">
          <cell r="B206" t="str">
            <v>7101088997</v>
          </cell>
          <cell r="C206" t="str">
            <v>G2509-0541</v>
          </cell>
          <cell r="D206" t="str">
            <v>000042944360159103</v>
          </cell>
          <cell r="E206" t="str">
            <v>平衡块销子</v>
          </cell>
          <cell r="F206" t="str">
            <v>STHF.42.1024</v>
          </cell>
          <cell r="G206" t="str">
            <v>-</v>
          </cell>
        </row>
        <row r="207">
          <cell r="B207" t="str">
            <v>7101088995</v>
          </cell>
          <cell r="C207" t="str">
            <v>G2502-2782</v>
          </cell>
          <cell r="D207" t="str">
            <v>000042944320014378</v>
          </cell>
          <cell r="E207" t="str">
            <v>100°沉头铆钉</v>
          </cell>
          <cell r="F207" t="str">
            <v>ΦAS16648</v>
          </cell>
          <cell r="G207" t="str">
            <v>-</v>
          </cell>
        </row>
        <row r="208">
          <cell r="B208" t="str">
            <v>7101088989</v>
          </cell>
          <cell r="C208" t="str">
            <v>G2511-0098</v>
          </cell>
          <cell r="D208" t="str">
            <v>000042944319001895</v>
          </cell>
          <cell r="E208" t="str">
            <v>鼓筒前连接螺母</v>
          </cell>
          <cell r="F208" t="str">
            <v>S10.4.1404</v>
          </cell>
          <cell r="G208" t="str">
            <v>-</v>
          </cell>
        </row>
        <row r="209">
          <cell r="B209" t="str">
            <v>7101088988</v>
          </cell>
          <cell r="C209" t="str">
            <v>G2509-0881</v>
          </cell>
          <cell r="D209" t="str">
            <v>000042944319001895</v>
          </cell>
          <cell r="E209" t="str">
            <v>鼓筒前连接螺母</v>
          </cell>
          <cell r="F209" t="str">
            <v>S10.4.1404</v>
          </cell>
          <cell r="G209" t="str">
            <v>-</v>
          </cell>
        </row>
        <row r="210">
          <cell r="B210" t="str">
            <v>7101088985</v>
          </cell>
          <cell r="C210" t="str">
            <v>G2502-0146</v>
          </cell>
          <cell r="D210" t="str">
            <v>000042944319001887</v>
          </cell>
          <cell r="E210" t="str">
            <v>盘前托板螺母</v>
          </cell>
          <cell r="F210" t="str">
            <v>S10.4.1401</v>
          </cell>
          <cell r="G210" t="str">
            <v>-</v>
          </cell>
        </row>
        <row r="211">
          <cell r="B211" t="str">
            <v>7101088979</v>
          </cell>
          <cell r="C211" t="str">
            <v>G2511-0186</v>
          </cell>
          <cell r="D211" t="str">
            <v>000042944288002504</v>
          </cell>
          <cell r="E211" t="str">
            <v>十二角自锁螺母</v>
          </cell>
          <cell r="F211" t="str">
            <v>S10.4.1215</v>
          </cell>
          <cell r="G211" t="str">
            <v>-</v>
          </cell>
        </row>
        <row r="212">
          <cell r="B212" t="str">
            <v>7101088978</v>
          </cell>
          <cell r="C212" t="str">
            <v>G2511-0186</v>
          </cell>
          <cell r="D212" t="str">
            <v>000042944288002504</v>
          </cell>
          <cell r="E212" t="str">
            <v>十二角自锁螺母</v>
          </cell>
          <cell r="F212" t="str">
            <v>S10.4.1215</v>
          </cell>
          <cell r="G212" t="str">
            <v>-</v>
          </cell>
        </row>
        <row r="213">
          <cell r="B213" t="str">
            <v>7101088976</v>
          </cell>
          <cell r="C213" t="str">
            <v>G2511-0184</v>
          </cell>
          <cell r="D213" t="str">
            <v>000042944288002498</v>
          </cell>
          <cell r="E213" t="str">
            <v>十角自锁螺母</v>
          </cell>
          <cell r="F213" t="str">
            <v>S10.4.1212</v>
          </cell>
          <cell r="G213" t="str">
            <v>-</v>
          </cell>
        </row>
        <row r="214">
          <cell r="B214" t="str">
            <v>7101088975</v>
          </cell>
          <cell r="C214" t="str">
            <v>G2511-0184</v>
          </cell>
          <cell r="D214" t="str">
            <v>000042944288002498</v>
          </cell>
          <cell r="E214" t="str">
            <v>十角自锁螺母</v>
          </cell>
          <cell r="F214" t="str">
            <v>S10.4.1212</v>
          </cell>
          <cell r="G214" t="str">
            <v>-</v>
          </cell>
        </row>
        <row r="215">
          <cell r="B215" t="str">
            <v>7101088974</v>
          </cell>
          <cell r="C215" t="str">
            <v>G2511-0184</v>
          </cell>
          <cell r="D215" t="str">
            <v>000042944288002498</v>
          </cell>
          <cell r="E215" t="str">
            <v>十角自锁螺母</v>
          </cell>
          <cell r="F215" t="str">
            <v>S10.4.1212</v>
          </cell>
          <cell r="G215" t="str">
            <v>-</v>
          </cell>
        </row>
        <row r="216">
          <cell r="B216" t="str">
            <v>7101088971</v>
          </cell>
          <cell r="C216" t="str">
            <v>G2501-0476</v>
          </cell>
          <cell r="D216" t="str">
            <v>000042944288002496</v>
          </cell>
          <cell r="E216" t="str">
            <v>十角自锁螺母</v>
          </cell>
          <cell r="F216" t="str">
            <v>S10.4.1210</v>
          </cell>
          <cell r="G216" t="str">
            <v>-</v>
          </cell>
        </row>
        <row r="217">
          <cell r="B217" t="str">
            <v>7101088969</v>
          </cell>
          <cell r="C217" t="str">
            <v>G2501-0475</v>
          </cell>
          <cell r="D217" t="str">
            <v>000042944288002496</v>
          </cell>
          <cell r="E217" t="str">
            <v>十角自锁螺母</v>
          </cell>
          <cell r="F217" t="str">
            <v>S10.4.1210</v>
          </cell>
          <cell r="G217" t="str">
            <v>-</v>
          </cell>
        </row>
        <row r="218">
          <cell r="B218" t="str">
            <v>7101088968</v>
          </cell>
          <cell r="C218" t="str">
            <v>G2411-1003</v>
          </cell>
          <cell r="D218" t="str">
            <v>000042944288002496</v>
          </cell>
          <cell r="E218" t="str">
            <v>十角自锁螺母</v>
          </cell>
          <cell r="F218" t="str">
            <v>S10.4.1210</v>
          </cell>
          <cell r="G218" t="str">
            <v>-</v>
          </cell>
        </row>
        <row r="219">
          <cell r="B219" t="str">
            <v>7101088967</v>
          </cell>
          <cell r="C219" t="str">
            <v>G2311-1175</v>
          </cell>
          <cell r="D219" t="str">
            <v>000042944288002496</v>
          </cell>
          <cell r="E219" t="str">
            <v>十角自锁螺母</v>
          </cell>
          <cell r="F219" t="str">
            <v>S10.4.1210</v>
          </cell>
          <cell r="G219" t="str">
            <v>-</v>
          </cell>
        </row>
        <row r="220">
          <cell r="B220" t="str">
            <v>7101088960</v>
          </cell>
          <cell r="C220" t="str">
            <v>G2508-2365</v>
          </cell>
          <cell r="D220" t="str">
            <v>000042944288002018</v>
          </cell>
          <cell r="E220" t="str">
            <v>薄自锁螺母,六角,MJ螺纹,螺纹公差带4H5H,镀银,材料G</v>
          </cell>
          <cell r="F220" t="str">
            <v>Q/S15.1082-2016</v>
          </cell>
          <cell r="G220" t="str">
            <v>6</v>
          </cell>
        </row>
        <row r="221">
          <cell r="B221" t="str">
            <v>7101088959</v>
          </cell>
          <cell r="C221" t="str">
            <v>G2509-1691</v>
          </cell>
          <cell r="D221" t="str">
            <v>000042944288002018</v>
          </cell>
          <cell r="E221" t="str">
            <v>薄自锁螺母,六角,MJ螺纹,螺纹公差带4H5H,镀银,材料G</v>
          </cell>
          <cell r="F221" t="str">
            <v>Q/S15.1082-2016</v>
          </cell>
          <cell r="G221" t="str">
            <v>6</v>
          </cell>
        </row>
        <row r="222">
          <cell r="B222" t="str">
            <v>7101088956</v>
          </cell>
          <cell r="C222" t="str">
            <v>G2501-0821</v>
          </cell>
          <cell r="D222" t="str">
            <v>000042944239011749</v>
          </cell>
          <cell r="E222" t="str">
            <v>盘后螺栓</v>
          </cell>
          <cell r="F222" t="str">
            <v>S10.1.1402</v>
          </cell>
          <cell r="G222" t="str">
            <v>-</v>
          </cell>
        </row>
        <row r="223">
          <cell r="B223" t="str">
            <v>7101088950</v>
          </cell>
          <cell r="C223" t="str">
            <v>G2502-0545</v>
          </cell>
          <cell r="D223" t="str">
            <v>000042944239011703</v>
          </cell>
          <cell r="E223" t="str">
            <v>十二角头螺栓</v>
          </cell>
          <cell r="F223" t="str">
            <v>S10.1.1204</v>
          </cell>
          <cell r="G223" t="str">
            <v>-</v>
          </cell>
        </row>
        <row r="224">
          <cell r="B224" t="str">
            <v>7101088945</v>
          </cell>
          <cell r="C224" t="str">
            <v>G2502-0545</v>
          </cell>
          <cell r="D224" t="str">
            <v>000042944239011703</v>
          </cell>
          <cell r="E224" t="str">
            <v>十二角头螺栓</v>
          </cell>
          <cell r="F224" t="str">
            <v>S10.1.1204</v>
          </cell>
          <cell r="G224" t="str">
            <v>-</v>
          </cell>
        </row>
        <row r="225">
          <cell r="B225" t="str">
            <v>7101088933</v>
          </cell>
          <cell r="C225" t="str">
            <v>G2502-0559</v>
          </cell>
          <cell r="D225" t="str">
            <v>000042944239011749</v>
          </cell>
          <cell r="E225" t="str">
            <v>盘后螺栓</v>
          </cell>
          <cell r="F225" t="str">
            <v>S10.1.1402</v>
          </cell>
          <cell r="G225" t="str">
            <v>-</v>
          </cell>
        </row>
        <row r="226">
          <cell r="B226" t="str">
            <v>7101088922</v>
          </cell>
          <cell r="C226" t="str">
            <v>G2501-1932</v>
          </cell>
          <cell r="D226" t="str">
            <v>000042944239011703</v>
          </cell>
          <cell r="E226" t="str">
            <v>十二角头螺栓</v>
          </cell>
          <cell r="F226" t="str">
            <v>S10.1.1204</v>
          </cell>
          <cell r="G226" t="str">
            <v>-</v>
          </cell>
        </row>
        <row r="227">
          <cell r="B227" t="str">
            <v>7101088921</v>
          </cell>
          <cell r="C227" t="str">
            <v>G2511-0114</v>
          </cell>
          <cell r="D227" t="str">
            <v>000042944239011703</v>
          </cell>
          <cell r="E227" t="str">
            <v>十二角头螺栓</v>
          </cell>
          <cell r="F227" t="str">
            <v>S10.1.1204</v>
          </cell>
          <cell r="G227" t="str">
            <v>-</v>
          </cell>
        </row>
        <row r="228">
          <cell r="B228" t="str">
            <v>7101088884</v>
          </cell>
          <cell r="C228" t="str">
            <v>G2502-0544</v>
          </cell>
          <cell r="D228" t="str">
            <v>000042944239011701</v>
          </cell>
          <cell r="E228" t="str">
            <v>十二角头螺栓</v>
          </cell>
          <cell r="F228" t="str">
            <v>S10.1.1203</v>
          </cell>
          <cell r="G228" t="str">
            <v>-</v>
          </cell>
        </row>
        <row r="229">
          <cell r="B229" t="str">
            <v>7101088882</v>
          </cell>
          <cell r="C229" t="str">
            <v>G2512-1496</v>
          </cell>
          <cell r="D229" t="str">
            <v>000042944239011701</v>
          </cell>
          <cell r="E229" t="str">
            <v>十二角头螺栓</v>
          </cell>
          <cell r="F229" t="str">
            <v>S10.1.1203</v>
          </cell>
          <cell r="G229" t="str">
            <v>-</v>
          </cell>
        </row>
        <row r="230">
          <cell r="B230" t="str">
            <v>7101088881</v>
          </cell>
          <cell r="C230" t="str">
            <v>G2502-0544</v>
          </cell>
          <cell r="D230" t="str">
            <v>000042944239011701</v>
          </cell>
          <cell r="E230" t="str">
            <v>十二角头螺栓</v>
          </cell>
          <cell r="F230" t="str">
            <v>S10.1.1203</v>
          </cell>
          <cell r="G230" t="str">
            <v>-</v>
          </cell>
        </row>
        <row r="231">
          <cell r="B231" t="str">
            <v>7101088878</v>
          </cell>
          <cell r="C231" t="str">
            <v>G2502-0544</v>
          </cell>
          <cell r="D231" t="str">
            <v>000042944239011701</v>
          </cell>
          <cell r="E231" t="str">
            <v>十二角头螺栓</v>
          </cell>
          <cell r="F231" t="str">
            <v>S10.1.1203</v>
          </cell>
          <cell r="G231" t="str">
            <v>-</v>
          </cell>
        </row>
        <row r="232">
          <cell r="B232" t="str">
            <v>7101088877</v>
          </cell>
          <cell r="C232" t="str">
            <v>G2502-0274</v>
          </cell>
          <cell r="D232" t="str">
            <v>000042944239011701</v>
          </cell>
          <cell r="E232" t="str">
            <v>十二角头螺栓</v>
          </cell>
          <cell r="F232" t="str">
            <v>S10.1.1203</v>
          </cell>
          <cell r="G232" t="str">
            <v>-</v>
          </cell>
        </row>
        <row r="233">
          <cell r="B233" t="str">
            <v>7101088875</v>
          </cell>
          <cell r="C233" t="str">
            <v>G2502-0543</v>
          </cell>
          <cell r="D233" t="str">
            <v>000042944239011701</v>
          </cell>
          <cell r="E233" t="str">
            <v>十二角头螺栓</v>
          </cell>
          <cell r="F233" t="str">
            <v>S10.1.1203</v>
          </cell>
          <cell r="G233" t="str">
            <v>-</v>
          </cell>
        </row>
        <row r="234">
          <cell r="B234" t="str">
            <v>7101088873</v>
          </cell>
          <cell r="C234" t="str">
            <v>G2502-0543</v>
          </cell>
          <cell r="D234" t="str">
            <v>000042944239011701</v>
          </cell>
          <cell r="E234" t="str">
            <v>十二角头螺栓</v>
          </cell>
          <cell r="F234" t="str">
            <v>S10.1.1203</v>
          </cell>
          <cell r="G234" t="str">
            <v>-</v>
          </cell>
        </row>
        <row r="235">
          <cell r="B235" t="str">
            <v>7101088872</v>
          </cell>
          <cell r="C235" t="str">
            <v>G2512-1496</v>
          </cell>
          <cell r="D235" t="str">
            <v>000042944239011701</v>
          </cell>
          <cell r="E235" t="str">
            <v>十二角头螺栓</v>
          </cell>
          <cell r="F235" t="str">
            <v>S10.1.1203</v>
          </cell>
          <cell r="G235" t="str">
            <v>-</v>
          </cell>
        </row>
        <row r="236">
          <cell r="B236" t="str">
            <v>7101088871</v>
          </cell>
          <cell r="C236" t="str">
            <v>G2509-2753</v>
          </cell>
          <cell r="D236" t="str">
            <v>000042944239011701</v>
          </cell>
          <cell r="E236" t="str">
            <v>十二角头螺栓</v>
          </cell>
          <cell r="F236" t="str">
            <v>S10.1.1203</v>
          </cell>
          <cell r="G236" t="str">
            <v>-</v>
          </cell>
        </row>
        <row r="237">
          <cell r="B237" t="str">
            <v>7101088870</v>
          </cell>
          <cell r="C237" t="str">
            <v>G2509-2753</v>
          </cell>
          <cell r="D237" t="str">
            <v>000042944239011701</v>
          </cell>
          <cell r="E237" t="str">
            <v>十二角头螺栓</v>
          </cell>
          <cell r="F237" t="str">
            <v>S10.1.1203</v>
          </cell>
          <cell r="G237" t="str">
            <v>-</v>
          </cell>
        </row>
        <row r="238">
          <cell r="B238" t="str">
            <v>7101088869</v>
          </cell>
          <cell r="C238" t="str">
            <v>G2502-0275</v>
          </cell>
          <cell r="D238" t="str">
            <v>000042944239011701</v>
          </cell>
          <cell r="E238" t="str">
            <v>十二角头螺栓</v>
          </cell>
          <cell r="F238" t="str">
            <v>S10.1.1203</v>
          </cell>
          <cell r="G238" t="str">
            <v>-</v>
          </cell>
        </row>
        <row r="239">
          <cell r="B239" t="str">
            <v>7101088868</v>
          </cell>
          <cell r="C239" t="str">
            <v>G2502-0194</v>
          </cell>
          <cell r="D239" t="str">
            <v>000042944239002614</v>
          </cell>
          <cell r="E239" t="str">
            <v>螺栓</v>
          </cell>
          <cell r="F239" t="str">
            <v>S10.1.1409</v>
          </cell>
          <cell r="G239" t="str">
            <v>-</v>
          </cell>
        </row>
        <row r="240">
          <cell r="B240" t="str">
            <v>7101088867</v>
          </cell>
          <cell r="C240" t="str">
            <v>G2504-1595</v>
          </cell>
          <cell r="D240" t="str">
            <v>000042944239002614</v>
          </cell>
          <cell r="E240" t="str">
            <v>螺栓</v>
          </cell>
          <cell r="F240" t="str">
            <v>S10.1.1409</v>
          </cell>
          <cell r="G240" t="str">
            <v>-</v>
          </cell>
        </row>
        <row r="241">
          <cell r="B241" t="str">
            <v>7101088866</v>
          </cell>
          <cell r="C241" t="str">
            <v>G2509-2504</v>
          </cell>
          <cell r="D241" t="str">
            <v>000042944239002614</v>
          </cell>
          <cell r="E241" t="str">
            <v>螺栓</v>
          </cell>
          <cell r="F241" t="str">
            <v>S10.1.1409</v>
          </cell>
          <cell r="G241" t="str">
            <v>-</v>
          </cell>
        </row>
        <row r="242">
          <cell r="B242" t="str">
            <v>7101088865</v>
          </cell>
          <cell r="C242" t="str">
            <v>G2507-0131</v>
          </cell>
          <cell r="D242" t="str">
            <v>000042944239002614</v>
          </cell>
          <cell r="E242" t="str">
            <v>螺栓</v>
          </cell>
          <cell r="F242" t="str">
            <v>S10.1.1409</v>
          </cell>
          <cell r="G242" t="str">
            <v>-</v>
          </cell>
        </row>
        <row r="243">
          <cell r="B243" t="str">
            <v>7101088864</v>
          </cell>
          <cell r="C243" t="str">
            <v>G2502-0296</v>
          </cell>
          <cell r="D243" t="str">
            <v>000042944239002614</v>
          </cell>
          <cell r="E243" t="str">
            <v>螺栓</v>
          </cell>
          <cell r="F243" t="str">
            <v>S10.1.1409</v>
          </cell>
          <cell r="G243" t="str">
            <v>-</v>
          </cell>
        </row>
        <row r="244">
          <cell r="B244" t="str">
            <v>7101088863</v>
          </cell>
          <cell r="C244" t="str">
            <v>G2502-0171</v>
          </cell>
          <cell r="D244" t="str">
            <v>000042944239002614</v>
          </cell>
          <cell r="E244" t="str">
            <v>螺栓</v>
          </cell>
          <cell r="F244" t="str">
            <v>S10.1.1409</v>
          </cell>
          <cell r="G244" t="str">
            <v>-</v>
          </cell>
        </row>
        <row r="245">
          <cell r="B245" t="str">
            <v>7101088846</v>
          </cell>
          <cell r="C245" t="str">
            <v>G2504-0375</v>
          </cell>
          <cell r="D245" t="str">
            <v>000042944040002775</v>
          </cell>
          <cell r="E245" t="str">
            <v>TC4钛合金六角头螺钉</v>
          </cell>
          <cell r="F245" t="str">
            <v>HB6566-1992</v>
          </cell>
          <cell r="G245" t="str">
            <v>MJ6×1×22Y</v>
          </cell>
        </row>
        <row r="246">
          <cell r="B246" t="str">
            <v>7101088845</v>
          </cell>
          <cell r="C246" t="str">
            <v>G2501-1790</v>
          </cell>
          <cell r="D246" t="str">
            <v>000042944040002770</v>
          </cell>
          <cell r="E246" t="str">
            <v>TC4钛合金六角头螺钉</v>
          </cell>
          <cell r="F246" t="str">
            <v>HB6566-1992</v>
          </cell>
          <cell r="G246" t="str">
            <v>MJ6×1×16Y</v>
          </cell>
        </row>
        <row r="247">
          <cell r="B247" t="str">
            <v>7101088844</v>
          </cell>
          <cell r="C247" t="str">
            <v>G2511-0112</v>
          </cell>
          <cell r="D247" t="str">
            <v>000042944040002770</v>
          </cell>
          <cell r="E247" t="str">
            <v>TC4钛合金六角头螺钉</v>
          </cell>
          <cell r="F247" t="str">
            <v>HB6566-1992</v>
          </cell>
          <cell r="G247" t="str">
            <v>MJ6×1×16Y</v>
          </cell>
        </row>
        <row r="248">
          <cell r="B248" t="str">
            <v>7101088843</v>
          </cell>
          <cell r="C248" t="str">
            <v>G2504-0375</v>
          </cell>
          <cell r="D248" t="str">
            <v>000042944040002775</v>
          </cell>
          <cell r="E248" t="str">
            <v>TC4钛合金六角头螺钉</v>
          </cell>
          <cell r="F248" t="str">
            <v>HB6566-1992</v>
          </cell>
          <cell r="G248" t="str">
            <v>MJ6×1×22Y</v>
          </cell>
        </row>
        <row r="249">
          <cell r="B249" t="str">
            <v>7101088842</v>
          </cell>
          <cell r="C249" t="str">
            <v>G2511-0112</v>
          </cell>
          <cell r="D249" t="str">
            <v>000042944040002770</v>
          </cell>
          <cell r="E249" t="str">
            <v>TC4钛合金六角头螺钉</v>
          </cell>
          <cell r="F249" t="str">
            <v>HB6566-1992</v>
          </cell>
          <cell r="G249" t="str">
            <v>MJ6×1×16Y</v>
          </cell>
        </row>
        <row r="250">
          <cell r="B250" t="str">
            <v>7101088841</v>
          </cell>
          <cell r="C250" t="str">
            <v>G2501-0046</v>
          </cell>
          <cell r="D250" t="str">
            <v>000042944040002767</v>
          </cell>
          <cell r="E250" t="str">
            <v>TC4钛合金六角头螺钉</v>
          </cell>
          <cell r="F250" t="str">
            <v>HB6566-1992</v>
          </cell>
          <cell r="G250" t="str">
            <v>MJ6×1×14Y</v>
          </cell>
        </row>
        <row r="251">
          <cell r="B251" t="str">
            <v>7101088840</v>
          </cell>
          <cell r="C251" t="str">
            <v>G2411-0215</v>
          </cell>
          <cell r="D251" t="str">
            <v>000042944040002767</v>
          </cell>
          <cell r="E251" t="str">
            <v>TC4钛合金六角头螺钉</v>
          </cell>
          <cell r="F251" t="str">
            <v>HB6566-1992</v>
          </cell>
          <cell r="G251" t="str">
            <v>MJ6×1×14Y</v>
          </cell>
        </row>
        <row r="252">
          <cell r="B252" t="str">
            <v>7101088747</v>
          </cell>
          <cell r="C252" t="str">
            <v>G2510-0812</v>
          </cell>
          <cell r="D252" t="str">
            <v>000042944160011391</v>
          </cell>
          <cell r="E252" t="str">
            <v>沉头螺钉</v>
          </cell>
          <cell r="F252" t="str">
            <v>S10.2.1157</v>
          </cell>
          <cell r="G252" t="str">
            <v>-</v>
          </cell>
        </row>
        <row r="253">
          <cell r="B253" t="str">
            <v>7101088249</v>
          </cell>
          <cell r="C253" t="str">
            <v>G2502-2276</v>
          </cell>
          <cell r="D253" t="str">
            <v>000042944000148054</v>
          </cell>
          <cell r="E253" t="str">
            <v>铜衬套32</v>
          </cell>
          <cell r="F253" t="str">
            <v>SH40.04.642</v>
          </cell>
          <cell r="G253" t="str">
            <v>-</v>
          </cell>
        </row>
        <row r="254">
          <cell r="B254" t="str">
            <v>7101088146</v>
          </cell>
          <cell r="C254" t="str">
            <v>G2509-2180</v>
          </cell>
          <cell r="D254" t="str">
            <v>000042944201017697</v>
          </cell>
          <cell r="E254" t="str">
            <v>六角头螺栓</v>
          </cell>
          <cell r="F254" t="str">
            <v>ΦBLT1982</v>
          </cell>
          <cell r="G254" t="str">
            <v>-</v>
          </cell>
        </row>
        <row r="255">
          <cell r="B255" t="str">
            <v>7101087797</v>
          </cell>
          <cell r="C255" t="str">
            <v>G2503-0742</v>
          </cell>
          <cell r="D255" t="str">
            <v>000042944000149152</v>
          </cell>
          <cell r="E255" t="str">
            <v>四孔密封铜垫(L=46)</v>
          </cell>
          <cell r="F255" t="str">
            <v>SH40.04.464</v>
          </cell>
          <cell r="G255" t="str">
            <v>-</v>
          </cell>
        </row>
        <row r="256">
          <cell r="B256" t="str">
            <v>7101087794</v>
          </cell>
          <cell r="C256" t="str">
            <v>G2503-0742</v>
          </cell>
          <cell r="D256" t="str">
            <v>000042944000149152</v>
          </cell>
          <cell r="E256" t="str">
            <v>四孔密封铜垫(L=46)</v>
          </cell>
          <cell r="F256" t="str">
            <v>SH40.04.464</v>
          </cell>
          <cell r="G256" t="str">
            <v>-</v>
          </cell>
        </row>
        <row r="257">
          <cell r="B257" t="str">
            <v>7101087152</v>
          </cell>
          <cell r="C257" t="str">
            <v>G2601-1897</v>
          </cell>
          <cell r="D257" t="str">
            <v>000042944360113297</v>
          </cell>
          <cell r="E257" t="str">
            <v>止动销</v>
          </cell>
          <cell r="F257" t="str">
            <v>11S70157</v>
          </cell>
          <cell r="G257" t="str">
            <v>-</v>
          </cell>
        </row>
        <row r="258">
          <cell r="B258" t="str">
            <v>7101087150</v>
          </cell>
          <cell r="C258" t="str">
            <v>G2512-0472</v>
          </cell>
          <cell r="D258" t="str">
            <v>000042944240083737</v>
          </cell>
          <cell r="E258" t="str">
            <v>螺柱</v>
          </cell>
          <cell r="F258" t="str">
            <v>S15.30.1084PE</v>
          </cell>
          <cell r="G258" t="str">
            <v>-</v>
          </cell>
        </row>
        <row r="259">
          <cell r="B259" t="str">
            <v>7101087149</v>
          </cell>
          <cell r="C259" t="str">
            <v>G2512-0472</v>
          </cell>
          <cell r="D259" t="str">
            <v>000042944240083737</v>
          </cell>
          <cell r="E259" t="str">
            <v>螺柱</v>
          </cell>
          <cell r="F259" t="str">
            <v>S15.30.1084PE</v>
          </cell>
          <cell r="G259" t="str">
            <v>-</v>
          </cell>
        </row>
        <row r="260">
          <cell r="B260" t="str">
            <v>7101087145</v>
          </cell>
          <cell r="C260" t="str">
            <v>G2512-0283</v>
          </cell>
          <cell r="D260" t="str">
            <v>000042944239087736</v>
          </cell>
          <cell r="E260" t="str">
            <v>螺栓,小十二角头,带减轻孔,MJ螺纹,螺纹公差带4h6h,材</v>
          </cell>
          <cell r="F260" t="str">
            <v>Q/S15.1036-2020</v>
          </cell>
          <cell r="G260" t="str">
            <v>10-26</v>
          </cell>
        </row>
        <row r="261">
          <cell r="B261" t="str">
            <v>7101087144</v>
          </cell>
          <cell r="C261" t="str">
            <v>G2512-0283</v>
          </cell>
          <cell r="D261" t="str">
            <v>000042944239087736</v>
          </cell>
          <cell r="E261" t="str">
            <v>螺栓,小十二角头,带减轻孔,MJ螺纹,螺纹公差带4h6h,材</v>
          </cell>
          <cell r="F261" t="str">
            <v>Q/S15.1036-2020</v>
          </cell>
          <cell r="G261" t="str">
            <v>10-26</v>
          </cell>
        </row>
        <row r="262">
          <cell r="B262" t="str">
            <v>7101087143</v>
          </cell>
          <cell r="C262" t="str">
            <v>G2512-0283</v>
          </cell>
          <cell r="D262" t="str">
            <v>000042944239087736</v>
          </cell>
          <cell r="E262" t="str">
            <v>螺栓,小十二角头,带减轻孔,MJ螺纹,螺纹公差带4h6h,材</v>
          </cell>
          <cell r="F262" t="str">
            <v>Q/S15.1036-2020</v>
          </cell>
          <cell r="G262" t="str">
            <v>10-26</v>
          </cell>
        </row>
        <row r="263">
          <cell r="B263" t="str">
            <v>7101087142</v>
          </cell>
          <cell r="C263" t="str">
            <v>G2512-0283</v>
          </cell>
          <cell r="D263" t="str">
            <v>000042944239087736</v>
          </cell>
          <cell r="E263" t="str">
            <v>螺栓,小十二角头,带减轻孔,MJ螺纹,螺纹公差带4h6h,材</v>
          </cell>
          <cell r="F263" t="str">
            <v>Q/S15.1036-2020</v>
          </cell>
          <cell r="G263" t="str">
            <v>10-26</v>
          </cell>
        </row>
        <row r="264">
          <cell r="B264" t="str">
            <v>7101087140</v>
          </cell>
          <cell r="C264" t="str">
            <v>G2512-0283</v>
          </cell>
          <cell r="D264" t="str">
            <v>000042944239087736</v>
          </cell>
          <cell r="E264" t="str">
            <v>螺栓,小十二角头,带减轻孔,MJ螺纹,螺纹公差带4h6h,材</v>
          </cell>
          <cell r="F264" t="str">
            <v>Q/S15.1036-2020</v>
          </cell>
          <cell r="G264" t="str">
            <v>10-26</v>
          </cell>
        </row>
        <row r="265">
          <cell r="B265" t="str">
            <v>7101086964</v>
          </cell>
          <cell r="C265" t="str">
            <v>G2512-0312</v>
          </cell>
          <cell r="D265" t="str">
            <v>000042944288002018</v>
          </cell>
          <cell r="E265" t="str">
            <v>薄自锁螺母,六角,MJ螺纹,螺纹公差带4H5H,镀银,材料G</v>
          </cell>
          <cell r="F265" t="str">
            <v>Q/S15.1082-2016</v>
          </cell>
          <cell r="G265" t="str">
            <v>6</v>
          </cell>
        </row>
        <row r="266">
          <cell r="B266" t="str">
            <v>7101086469</v>
          </cell>
          <cell r="C266" t="str">
            <v>G2602-1464</v>
          </cell>
          <cell r="D266" t="str">
            <v>000042944201052964</v>
          </cell>
          <cell r="E266" t="str">
            <v>六角头螺栓</v>
          </cell>
          <cell r="F266" t="str">
            <v>Q/S15.1021A-2011</v>
          </cell>
          <cell r="G266" t="str">
            <v>6-16</v>
          </cell>
        </row>
        <row r="267">
          <cell r="B267" t="str">
            <v>7101086468</v>
          </cell>
          <cell r="C267" t="str">
            <v>G2602-1464</v>
          </cell>
          <cell r="D267" t="str">
            <v>000042944201052964</v>
          </cell>
          <cell r="E267" t="str">
            <v>六角头螺栓</v>
          </cell>
          <cell r="F267" t="str">
            <v>Q/S15.1021A-2011</v>
          </cell>
          <cell r="G267" t="str">
            <v>6-16</v>
          </cell>
        </row>
        <row r="268">
          <cell r="B268" t="str">
            <v>7101086456</v>
          </cell>
          <cell r="C268" t="str">
            <v>G2601-1948</v>
          </cell>
          <cell r="D268" t="str">
            <v>000042944360159446</v>
          </cell>
          <cell r="E268" t="str">
            <v>止动销</v>
          </cell>
          <cell r="F268" t="str">
            <v>11S70163</v>
          </cell>
          <cell r="G268" t="str">
            <v>Ⅱ</v>
          </cell>
        </row>
        <row r="269">
          <cell r="B269" t="str">
            <v>7101086443</v>
          </cell>
          <cell r="C269" t="str">
            <v>G2601-2232</v>
          </cell>
          <cell r="D269" t="str">
            <v>000042944360158726</v>
          </cell>
          <cell r="E269" t="str">
            <v>止动销</v>
          </cell>
          <cell r="F269" t="str">
            <v>11S70163</v>
          </cell>
          <cell r="G269" t="str">
            <v>Ⅰ</v>
          </cell>
        </row>
        <row r="270">
          <cell r="B270" t="str">
            <v>7101086156</v>
          </cell>
          <cell r="C270" t="str">
            <v>G2511-0100</v>
          </cell>
          <cell r="D270" t="str">
            <v>000042944319001900</v>
          </cell>
          <cell r="E270" t="str">
            <v>螺母</v>
          </cell>
          <cell r="F270" t="str">
            <v>S10.4.1407</v>
          </cell>
          <cell r="G270" t="str">
            <v>-</v>
          </cell>
        </row>
        <row r="271">
          <cell r="B271" t="str">
            <v>7101085479</v>
          </cell>
          <cell r="C271" t="str">
            <v>G2512-0298</v>
          </cell>
          <cell r="D271" t="str">
            <v>000042944319075213</v>
          </cell>
          <cell r="E271" t="str">
            <v>托板螺母</v>
          </cell>
          <cell r="F271" t="str">
            <v>S15.15.1155P</v>
          </cell>
          <cell r="G271" t="str">
            <v>-</v>
          </cell>
        </row>
        <row r="272">
          <cell r="B272" t="str">
            <v>7101085477</v>
          </cell>
          <cell r="C272" t="str">
            <v>G2512-0298</v>
          </cell>
          <cell r="D272" t="str">
            <v>000042944319075213</v>
          </cell>
          <cell r="E272" t="str">
            <v>托板螺母</v>
          </cell>
          <cell r="F272" t="str">
            <v>S15.15.1155P</v>
          </cell>
          <cell r="G272" t="str">
            <v>-</v>
          </cell>
        </row>
        <row r="273">
          <cell r="B273" t="str">
            <v>7101085476</v>
          </cell>
          <cell r="C273" t="str">
            <v>G2512-0298</v>
          </cell>
          <cell r="D273" t="str">
            <v>000042944319075213</v>
          </cell>
          <cell r="E273" t="str">
            <v>托板螺母</v>
          </cell>
          <cell r="F273" t="str">
            <v>S15.15.1155P</v>
          </cell>
          <cell r="G273" t="str">
            <v>-</v>
          </cell>
        </row>
        <row r="274">
          <cell r="B274" t="str">
            <v>7101085406</v>
          </cell>
          <cell r="C274" t="str">
            <v>G2511-0114</v>
          </cell>
          <cell r="D274" t="str">
            <v>000042944239011703</v>
          </cell>
          <cell r="E274" t="str">
            <v>十二角头螺栓</v>
          </cell>
          <cell r="F274" t="str">
            <v>S10.1.1204</v>
          </cell>
          <cell r="G274" t="str">
            <v>-</v>
          </cell>
        </row>
        <row r="275">
          <cell r="B275" t="str">
            <v>7101085400</v>
          </cell>
          <cell r="C275" t="str">
            <v>G2511-0114</v>
          </cell>
          <cell r="D275" t="str">
            <v>000042944239011703</v>
          </cell>
          <cell r="E275" t="str">
            <v>十二角头螺栓</v>
          </cell>
          <cell r="F275" t="str">
            <v>S10.1.1204</v>
          </cell>
          <cell r="G275" t="str">
            <v>-</v>
          </cell>
        </row>
        <row r="276">
          <cell r="B276" t="str">
            <v>7101085067</v>
          </cell>
          <cell r="C276" t="str">
            <v>G2504-1556</v>
          </cell>
          <cell r="D276" t="str">
            <v>000042944000107070</v>
          </cell>
          <cell r="E276" t="str">
            <v>衬套</v>
          </cell>
          <cell r="F276" t="str">
            <v>019155005101</v>
          </cell>
          <cell r="G276" t="str">
            <v>-</v>
          </cell>
        </row>
        <row r="277">
          <cell r="B277" t="str">
            <v>7101084990</v>
          </cell>
          <cell r="C277" t="str">
            <v>G02511-045</v>
          </cell>
          <cell r="D277" t="str">
            <v>000042944039037728</v>
          </cell>
          <cell r="E277" t="str">
            <v>锁紧型有折断槽钢丝螺套</v>
          </cell>
          <cell r="F277" t="str">
            <v>GJB5109-2002</v>
          </cell>
          <cell r="G277" t="str">
            <v>5×0.8×6</v>
          </cell>
        </row>
        <row r="278">
          <cell r="B278" t="str">
            <v>7101084578</v>
          </cell>
          <cell r="C278" t="str">
            <v>G2512-1894</v>
          </cell>
          <cell r="D278" t="str">
            <v>000042944000142061</v>
          </cell>
          <cell r="E278" t="str">
            <v>孔探座锁片</v>
          </cell>
          <cell r="F278" t="str">
            <v>STH.15.1203.A</v>
          </cell>
          <cell r="G278" t="str">
            <v>-</v>
          </cell>
        </row>
        <row r="279">
          <cell r="B279" t="str">
            <v>7101084385</v>
          </cell>
          <cell r="C279" t="str">
            <v>G2506-1921</v>
          </cell>
          <cell r="D279" t="str">
            <v>000042944239011744</v>
          </cell>
          <cell r="E279" t="str">
            <v>螺栓</v>
          </cell>
          <cell r="F279" t="str">
            <v>S10.1.1302</v>
          </cell>
          <cell r="G279" t="str">
            <v>-</v>
          </cell>
        </row>
        <row r="280">
          <cell r="B280" t="str">
            <v>7101084370</v>
          </cell>
          <cell r="C280" t="str">
            <v>G2512-0307</v>
          </cell>
          <cell r="D280" t="str">
            <v>000042944239075210</v>
          </cell>
          <cell r="E280" t="str">
            <v>D头螺栓</v>
          </cell>
          <cell r="F280" t="str">
            <v>S15.15.1108P</v>
          </cell>
          <cell r="G280" t="str">
            <v>-</v>
          </cell>
        </row>
        <row r="281">
          <cell r="B281" t="str">
            <v>7101083989</v>
          </cell>
          <cell r="C281" t="str">
            <v>G2602-0365</v>
          </cell>
          <cell r="D281" t="str">
            <v>000042944404000550</v>
          </cell>
          <cell r="E281" t="str">
            <v>角型垂直单耳止动垫圈</v>
          </cell>
          <cell r="F281" t="str">
            <v>Q/S15.1165-2011</v>
          </cell>
          <cell r="G281" t="str">
            <v>6-12</v>
          </cell>
        </row>
        <row r="282">
          <cell r="B282" t="str">
            <v>7101083987</v>
          </cell>
          <cell r="C282" t="str">
            <v>G2602-0365</v>
          </cell>
          <cell r="D282" t="str">
            <v>000042944404000550</v>
          </cell>
          <cell r="E282" t="str">
            <v>角型垂直单耳止动垫圈</v>
          </cell>
          <cell r="F282" t="str">
            <v>Q/S15.1165-2011</v>
          </cell>
          <cell r="G282" t="str">
            <v>6-12</v>
          </cell>
        </row>
        <row r="283">
          <cell r="B283" t="str">
            <v>7101083983</v>
          </cell>
          <cell r="C283" t="str">
            <v>G2601-0347</v>
          </cell>
          <cell r="D283" t="str">
            <v>000042944360113297</v>
          </cell>
          <cell r="E283" t="str">
            <v>止动销</v>
          </cell>
          <cell r="F283" t="str">
            <v>11S70157</v>
          </cell>
          <cell r="G283" t="str">
            <v>-</v>
          </cell>
        </row>
        <row r="284">
          <cell r="B284" t="str">
            <v>7101083973</v>
          </cell>
          <cell r="C284" t="str">
            <v>G2601-0347</v>
          </cell>
          <cell r="D284" t="str">
            <v>000042944360113297</v>
          </cell>
          <cell r="E284" t="str">
            <v>止动销</v>
          </cell>
          <cell r="F284" t="str">
            <v>11S70157</v>
          </cell>
          <cell r="G284" t="str">
            <v>-</v>
          </cell>
        </row>
        <row r="285">
          <cell r="B285" t="str">
            <v>7101083213</v>
          </cell>
          <cell r="C285" t="str">
            <v>G2512-0168</v>
          </cell>
          <cell r="D285" t="str">
            <v>000042944288002018</v>
          </cell>
          <cell r="E285" t="str">
            <v>薄自锁螺母,六角,MJ螺纹,螺纹公差带4H5H,镀银,材料G</v>
          </cell>
          <cell r="F285" t="str">
            <v>Q/S15.1082-2016</v>
          </cell>
          <cell r="G285" t="str">
            <v>6</v>
          </cell>
        </row>
        <row r="286">
          <cell r="B286" t="str">
            <v>7101083210</v>
          </cell>
          <cell r="C286" t="str">
            <v>G2512-0168</v>
          </cell>
          <cell r="D286" t="str">
            <v>000042944288002018</v>
          </cell>
          <cell r="E286" t="str">
            <v>薄自锁螺母,六角,MJ螺纹,螺纹公差带4H5H,镀银,材料G</v>
          </cell>
          <cell r="F286" t="str">
            <v>Q/S15.1082-2016</v>
          </cell>
          <cell r="G286" t="str">
            <v>6</v>
          </cell>
        </row>
        <row r="287">
          <cell r="B287" t="str">
            <v>7101083197</v>
          </cell>
          <cell r="C287" t="str">
            <v>G2512-0296</v>
          </cell>
          <cell r="D287" t="str">
            <v>000042944288002020</v>
          </cell>
          <cell r="E287" t="str">
            <v>开槽自锁螺母,十二角,MJ螺纹,螺纹公差带4H6H,镀银,材</v>
          </cell>
          <cell r="F287" t="str">
            <v>Q/S15.1084-2016</v>
          </cell>
          <cell r="G287" t="str">
            <v>5</v>
          </cell>
        </row>
        <row r="288">
          <cell r="B288" t="str">
            <v>7101082983</v>
          </cell>
          <cell r="C288" t="str">
            <v>G2512-0866</v>
          </cell>
          <cell r="D288" t="str">
            <v>000042944000124887</v>
          </cell>
          <cell r="E288" t="str">
            <v>锁片</v>
          </cell>
          <cell r="F288" t="str">
            <v>11S50425</v>
          </cell>
          <cell r="G288" t="str">
            <v>-</v>
          </cell>
        </row>
        <row r="289">
          <cell r="B289" t="str">
            <v>7101082977</v>
          </cell>
          <cell r="C289" t="str">
            <v>G2512-0866</v>
          </cell>
          <cell r="D289" t="str">
            <v>000042944000124887</v>
          </cell>
          <cell r="E289" t="str">
            <v>锁片</v>
          </cell>
          <cell r="F289" t="str">
            <v>11S50425</v>
          </cell>
          <cell r="G289" t="str">
            <v>-</v>
          </cell>
        </row>
        <row r="290">
          <cell r="B290" t="str">
            <v>7101082935</v>
          </cell>
          <cell r="C290" t="str">
            <v>G2501-0432</v>
          </cell>
          <cell r="D290" t="str">
            <v>000042944288002486</v>
          </cell>
          <cell r="E290" t="str">
            <v>六角自锁螺母</v>
          </cell>
          <cell r="F290" t="str">
            <v>S10.4.1202</v>
          </cell>
          <cell r="G290" t="str">
            <v>-</v>
          </cell>
        </row>
        <row r="291">
          <cell r="B291" t="str">
            <v>7101082549</v>
          </cell>
          <cell r="C291" t="str">
            <v>G2511-0120</v>
          </cell>
          <cell r="D291" t="str">
            <v>000042944239011753</v>
          </cell>
          <cell r="E291" t="str">
            <v>螺栓</v>
          </cell>
          <cell r="F291" t="str">
            <v>S10.1.1407</v>
          </cell>
          <cell r="G291" t="str">
            <v>-</v>
          </cell>
        </row>
        <row r="292">
          <cell r="B292" t="str">
            <v>7101082537</v>
          </cell>
          <cell r="C292" t="str">
            <v>G2510-0227</v>
          </cell>
          <cell r="D292" t="str">
            <v>000042944239087363</v>
          </cell>
          <cell r="E292" t="str">
            <v>高压转子间螺栓组件</v>
          </cell>
          <cell r="F292" t="str">
            <v>S15.44.1827PE</v>
          </cell>
          <cell r="G292" t="str">
            <v>-</v>
          </cell>
        </row>
        <row r="293">
          <cell r="B293" t="str">
            <v>7101082441</v>
          </cell>
          <cell r="C293" t="str">
            <v>G2512-0311</v>
          </cell>
          <cell r="D293" t="str">
            <v>000042944240084472</v>
          </cell>
          <cell r="E293" t="str">
            <v>螺柱</v>
          </cell>
          <cell r="F293" t="str">
            <v>11S30071</v>
          </cell>
          <cell r="G293" t="str">
            <v>Ⅱ</v>
          </cell>
        </row>
        <row r="294">
          <cell r="B294" t="str">
            <v>7101082439</v>
          </cell>
          <cell r="C294" t="str">
            <v>G2512-0311</v>
          </cell>
          <cell r="D294" t="str">
            <v>000042944240084472</v>
          </cell>
          <cell r="E294" t="str">
            <v>螺柱</v>
          </cell>
          <cell r="F294" t="str">
            <v>11S30071</v>
          </cell>
          <cell r="G294" t="str">
            <v>Ⅱ</v>
          </cell>
        </row>
        <row r="295">
          <cell r="B295" t="str">
            <v>7101082437</v>
          </cell>
          <cell r="C295" t="str">
            <v>G2512-0295</v>
          </cell>
          <cell r="D295" t="str">
            <v>000042944288002020</v>
          </cell>
          <cell r="E295" t="str">
            <v>开槽自锁螺母,十二角,MJ螺纹,螺纹公差带4H6H,镀银,材</v>
          </cell>
          <cell r="F295" t="str">
            <v>Q/S15.1084-2016</v>
          </cell>
          <cell r="G295" t="str">
            <v>5</v>
          </cell>
        </row>
        <row r="296">
          <cell r="B296" t="str">
            <v>7101082436</v>
          </cell>
          <cell r="C296" t="str">
            <v>G2512-0295</v>
          </cell>
          <cell r="D296" t="str">
            <v>000042944288002020</v>
          </cell>
          <cell r="E296" t="str">
            <v>开槽自锁螺母,十二角,MJ螺纹,螺纹公差带4H6H,镀银,材</v>
          </cell>
          <cell r="F296" t="str">
            <v>Q/S15.1084-2016</v>
          </cell>
          <cell r="G296" t="str">
            <v>5</v>
          </cell>
        </row>
        <row r="297">
          <cell r="B297" t="str">
            <v>7101082433</v>
          </cell>
          <cell r="C297" t="str">
            <v>G2512-0295</v>
          </cell>
          <cell r="D297" t="str">
            <v>000042944288002020</v>
          </cell>
          <cell r="E297" t="str">
            <v>开槽自锁螺母,十二角,MJ螺纹,螺纹公差带4H6H,镀银,材</v>
          </cell>
          <cell r="F297" t="str">
            <v>Q/S15.1084-2016</v>
          </cell>
          <cell r="G297" t="str">
            <v>5</v>
          </cell>
        </row>
        <row r="298">
          <cell r="B298" t="str">
            <v>7101082429</v>
          </cell>
          <cell r="C298" t="str">
            <v>G2512-1892</v>
          </cell>
          <cell r="D298" t="str">
            <v>000042944440122844</v>
          </cell>
          <cell r="E298" t="str">
            <v>挡圈</v>
          </cell>
          <cell r="F298" t="str">
            <v>S15.34.1063UA</v>
          </cell>
          <cell r="G298" t="str">
            <v>-</v>
          </cell>
        </row>
        <row r="299">
          <cell r="B299" t="str">
            <v>7101082406</v>
          </cell>
          <cell r="C299" t="str">
            <v>G2511-0186</v>
          </cell>
          <cell r="D299" t="str">
            <v>000042944288002504</v>
          </cell>
          <cell r="E299" t="str">
            <v>十二角自锁螺母</v>
          </cell>
          <cell r="F299" t="str">
            <v>S10.4.1215</v>
          </cell>
          <cell r="G299" t="str">
            <v>-</v>
          </cell>
        </row>
        <row r="300">
          <cell r="B300" t="str">
            <v>7101082399</v>
          </cell>
          <cell r="C300" t="str">
            <v>G2512-0284</v>
          </cell>
          <cell r="D300" t="str">
            <v>000042944288162768</v>
          </cell>
          <cell r="E300" t="str">
            <v>托板自锁螺母</v>
          </cell>
          <cell r="F300" t="str">
            <v>S15.33.1042</v>
          </cell>
          <cell r="G300" t="str">
            <v>-</v>
          </cell>
        </row>
        <row r="301">
          <cell r="B301" t="str">
            <v>7101082397</v>
          </cell>
          <cell r="C301" t="str">
            <v>G2512-0284</v>
          </cell>
          <cell r="D301" t="str">
            <v>000042944288162768</v>
          </cell>
          <cell r="E301" t="str">
            <v>托板自锁螺母</v>
          </cell>
          <cell r="F301" t="str">
            <v>S15.33.1042</v>
          </cell>
          <cell r="G301" t="str">
            <v>-</v>
          </cell>
        </row>
        <row r="302">
          <cell r="B302" t="str">
            <v>7101082396</v>
          </cell>
          <cell r="C302" t="str">
            <v>G2512-0284</v>
          </cell>
          <cell r="D302" t="str">
            <v>000042944288162768</v>
          </cell>
          <cell r="E302" t="str">
            <v>托板自锁螺母</v>
          </cell>
          <cell r="F302" t="str">
            <v>S15.33.1042</v>
          </cell>
          <cell r="G302" t="str">
            <v>-</v>
          </cell>
        </row>
        <row r="303">
          <cell r="B303" t="str">
            <v>7101082166</v>
          </cell>
          <cell r="C303" t="str">
            <v>G2512-0323</v>
          </cell>
          <cell r="D303" t="str">
            <v>000042944360084304</v>
          </cell>
          <cell r="E303" t="str">
            <v>导叶上定位销</v>
          </cell>
          <cell r="F303" t="str">
            <v>S15.44.1034PE</v>
          </cell>
          <cell r="G303" t="str">
            <v>-</v>
          </cell>
        </row>
        <row r="304">
          <cell r="B304" t="str">
            <v>7101082164</v>
          </cell>
          <cell r="C304" t="str">
            <v>G2512-0323</v>
          </cell>
          <cell r="D304" t="str">
            <v>000042944360084304</v>
          </cell>
          <cell r="E304" t="str">
            <v>导叶上定位销</v>
          </cell>
          <cell r="F304" t="str">
            <v>S15.44.1034PE</v>
          </cell>
          <cell r="G304" t="str">
            <v>-</v>
          </cell>
        </row>
        <row r="305">
          <cell r="B305" t="str">
            <v>7101082111</v>
          </cell>
          <cell r="C305" t="str">
            <v>G2511-0178</v>
          </cell>
          <cell r="D305" t="str">
            <v>000042944239011744</v>
          </cell>
          <cell r="E305" t="str">
            <v>螺栓</v>
          </cell>
          <cell r="F305" t="str">
            <v>S10.1.1302</v>
          </cell>
          <cell r="G305" t="str">
            <v>-</v>
          </cell>
        </row>
        <row r="306">
          <cell r="B306" t="str">
            <v>7101082107</v>
          </cell>
          <cell r="C306" t="str">
            <v>G2512-0293</v>
          </cell>
          <cell r="D306" t="str">
            <v>000042944240084473</v>
          </cell>
          <cell r="E306" t="str">
            <v>螺柱</v>
          </cell>
          <cell r="F306" t="str">
            <v>11S30071</v>
          </cell>
          <cell r="G306" t="str">
            <v>Ⅲ</v>
          </cell>
        </row>
        <row r="307">
          <cell r="B307" t="str">
            <v>7101082106</v>
          </cell>
          <cell r="C307" t="str">
            <v>G2512-0293</v>
          </cell>
          <cell r="D307" t="str">
            <v>000042944240084473</v>
          </cell>
          <cell r="E307" t="str">
            <v>螺柱</v>
          </cell>
          <cell r="F307" t="str">
            <v>11S30071</v>
          </cell>
          <cell r="G307" t="str">
            <v>Ⅲ</v>
          </cell>
        </row>
        <row r="308">
          <cell r="B308" t="str">
            <v>7101082104</v>
          </cell>
          <cell r="C308" t="str">
            <v>G2512-0293</v>
          </cell>
          <cell r="D308" t="str">
            <v>000042944240084473</v>
          </cell>
          <cell r="E308" t="str">
            <v>螺柱</v>
          </cell>
          <cell r="F308" t="str">
            <v>11S30071</v>
          </cell>
          <cell r="G308" t="str">
            <v>Ⅲ</v>
          </cell>
        </row>
        <row r="309">
          <cell r="B309" t="str">
            <v>7101081940</v>
          </cell>
          <cell r="C309" t="str">
            <v>G2512-0771</v>
          </cell>
          <cell r="D309" t="str">
            <v>000042944319001897</v>
          </cell>
          <cell r="E309" t="str">
            <v>托板螺母</v>
          </cell>
          <cell r="F309" t="str">
            <v>S10.4.1405</v>
          </cell>
          <cell r="G309" t="str">
            <v>-</v>
          </cell>
        </row>
        <row r="310">
          <cell r="B310" t="str">
            <v>7101081917</v>
          </cell>
          <cell r="C310" t="str">
            <v>G2508-2341</v>
          </cell>
          <cell r="D310" t="str">
            <v>000042944239011729</v>
          </cell>
          <cell r="E310" t="str">
            <v>十二角头螺栓</v>
          </cell>
          <cell r="F310" t="str">
            <v>S10.1.1246</v>
          </cell>
          <cell r="G310" t="str">
            <v>-</v>
          </cell>
        </row>
        <row r="311">
          <cell r="B311" t="str">
            <v>7101081901</v>
          </cell>
          <cell r="C311" t="str">
            <v>G2511-0185</v>
          </cell>
          <cell r="D311" t="str">
            <v>000042944288002504</v>
          </cell>
          <cell r="E311" t="str">
            <v>十二角自锁螺母</v>
          </cell>
          <cell r="F311" t="str">
            <v>S10.4.1215</v>
          </cell>
          <cell r="G311" t="str">
            <v>-</v>
          </cell>
        </row>
        <row r="312">
          <cell r="B312" t="str">
            <v>7101081752</v>
          </cell>
          <cell r="C312" t="str">
            <v>G2512-0477</v>
          </cell>
          <cell r="D312" t="str">
            <v>000042944439070157</v>
          </cell>
          <cell r="E312" t="str">
            <v>榫底垫片</v>
          </cell>
          <cell r="F312" t="str">
            <v>S15.44.1072P</v>
          </cell>
          <cell r="G312" t="str">
            <v>-</v>
          </cell>
        </row>
        <row r="313">
          <cell r="B313" t="str">
            <v>7101081736</v>
          </cell>
          <cell r="C313" t="str">
            <v>G2504-1501</v>
          </cell>
          <cell r="D313" t="str">
            <v>000042944000106862</v>
          </cell>
          <cell r="E313" t="str">
            <v>密封座</v>
          </cell>
          <cell r="F313" t="str">
            <v>S15.15.1241N</v>
          </cell>
          <cell r="G313" t="str">
            <v>-</v>
          </cell>
        </row>
        <row r="314">
          <cell r="B314" t="str">
            <v>7101080634</v>
          </cell>
          <cell r="C314" t="str">
            <v>G2601-1002</v>
          </cell>
          <cell r="D314" t="str">
            <v>000042944360159127</v>
          </cell>
          <cell r="E314" t="str">
            <v>Φ8扩口销</v>
          </cell>
          <cell r="F314" t="str">
            <v>STHF.52.1019</v>
          </cell>
          <cell r="G314" t="str">
            <v>-</v>
          </cell>
        </row>
        <row r="315">
          <cell r="B315" t="str">
            <v>7101080063</v>
          </cell>
          <cell r="C315" t="str">
            <v>G2511-0184</v>
          </cell>
          <cell r="D315" t="str">
            <v>000042944288002498</v>
          </cell>
          <cell r="E315" t="str">
            <v>十角自锁螺母</v>
          </cell>
          <cell r="F315" t="str">
            <v>S10.4.1212</v>
          </cell>
          <cell r="G315" t="str">
            <v>-</v>
          </cell>
        </row>
        <row r="316">
          <cell r="B316" t="str">
            <v>7101080062</v>
          </cell>
          <cell r="C316" t="str">
            <v>G2511-0184</v>
          </cell>
          <cell r="D316" t="str">
            <v>000042944288002498</v>
          </cell>
          <cell r="E316" t="str">
            <v>十角自锁螺母</v>
          </cell>
          <cell r="F316" t="str">
            <v>S10.4.1212</v>
          </cell>
          <cell r="G316" t="str">
            <v>-</v>
          </cell>
        </row>
        <row r="317">
          <cell r="B317" t="str">
            <v>7101079666</v>
          </cell>
          <cell r="C317" t="str">
            <v>G2506-1204</v>
          </cell>
          <cell r="D317" t="str">
            <v>000042944440000307</v>
          </cell>
          <cell r="E317" t="str">
            <v>轴用钢丝挡圈</v>
          </cell>
          <cell r="F317" t="str">
            <v>GB895.2-1986</v>
          </cell>
          <cell r="G317" t="str">
            <v>14</v>
          </cell>
        </row>
        <row r="318">
          <cell r="B318" t="str">
            <v>7101079404</v>
          </cell>
          <cell r="C318" t="str">
            <v>G2502-2800</v>
          </cell>
          <cell r="D318" t="str">
            <v>000042944288002874</v>
          </cell>
          <cell r="E318" t="str">
            <v>铆轴开槽自锁螺母</v>
          </cell>
          <cell r="F318" t="str">
            <v>ΦU146132</v>
          </cell>
          <cell r="G318" t="str">
            <v>(不开槽)</v>
          </cell>
        </row>
        <row r="319">
          <cell r="B319" t="str">
            <v>7101079403</v>
          </cell>
          <cell r="C319" t="str">
            <v>G2105-3338</v>
          </cell>
          <cell r="D319" t="str">
            <v>000042944288002874</v>
          </cell>
          <cell r="E319" t="str">
            <v>铆轴开槽自锁螺母</v>
          </cell>
          <cell r="F319" t="str">
            <v>ΦU146132</v>
          </cell>
          <cell r="G319" t="str">
            <v>(不开槽)</v>
          </cell>
        </row>
        <row r="320">
          <cell r="B320" t="str">
            <v>7101079401</v>
          </cell>
          <cell r="C320" t="str">
            <v>G2508-0815</v>
          </cell>
          <cell r="D320" t="str">
            <v>000042944288002874</v>
          </cell>
          <cell r="E320" t="str">
            <v>铆轴开槽自锁螺母</v>
          </cell>
          <cell r="F320" t="str">
            <v>ΦU146132</v>
          </cell>
          <cell r="G320" t="str">
            <v>(不开槽)</v>
          </cell>
        </row>
        <row r="321">
          <cell r="B321" t="str">
            <v>7101077780</v>
          </cell>
          <cell r="C321" t="str">
            <v>G2511-2001</v>
          </cell>
          <cell r="D321" t="str">
            <v>000042944366118578</v>
          </cell>
          <cell r="E321" t="str">
            <v>反馈摇臂前销轴</v>
          </cell>
          <cell r="F321" t="str">
            <v>019155003501</v>
          </cell>
          <cell r="G321" t="str">
            <v>-</v>
          </cell>
        </row>
        <row r="322">
          <cell r="B322" t="str">
            <v>7101077195</v>
          </cell>
          <cell r="C322" t="str">
            <v>G2504-2607</v>
          </cell>
          <cell r="D322" t="str">
            <v>000036900000040572</v>
          </cell>
          <cell r="E322" t="str">
            <v>密封圈</v>
          </cell>
          <cell r="F322" t="str">
            <v>11S00016</v>
          </cell>
          <cell r="G322" t="str">
            <v>-</v>
          </cell>
        </row>
        <row r="323">
          <cell r="B323" t="str">
            <v>7101077179</v>
          </cell>
          <cell r="C323" t="str">
            <v>G2509-0624</v>
          </cell>
          <cell r="D323" t="str">
            <v>000042944319125317</v>
          </cell>
          <cell r="E323" t="str">
            <v>螺母</v>
          </cell>
          <cell r="F323" t="str">
            <v>11S40193</v>
          </cell>
          <cell r="G323" t="str">
            <v>-</v>
          </cell>
        </row>
        <row r="324">
          <cell r="B324" t="str">
            <v>7101077169</v>
          </cell>
          <cell r="C324" t="str">
            <v>G2509-0624</v>
          </cell>
          <cell r="D324" t="str">
            <v>000042944319125317</v>
          </cell>
          <cell r="E324" t="str">
            <v>螺母</v>
          </cell>
          <cell r="F324" t="str">
            <v>11S40193</v>
          </cell>
          <cell r="G324" t="str">
            <v>-</v>
          </cell>
        </row>
        <row r="325">
          <cell r="B325" t="str">
            <v>7101076706</v>
          </cell>
          <cell r="C325" t="str">
            <v>G2504-0120</v>
          </cell>
          <cell r="D325" t="str">
            <v>000042944240110895</v>
          </cell>
          <cell r="E325" t="str">
            <v>螺桩</v>
          </cell>
          <cell r="F325" t="str">
            <v>11S30122</v>
          </cell>
          <cell r="G325" t="str">
            <v>2</v>
          </cell>
        </row>
        <row r="326">
          <cell r="B326" t="str">
            <v>7101076657</v>
          </cell>
          <cell r="C326" t="str">
            <v>G2511-0111</v>
          </cell>
          <cell r="D326" t="str">
            <v>000042944000100891</v>
          </cell>
          <cell r="E326" t="str">
            <v>球头止动板</v>
          </cell>
          <cell r="F326" t="str">
            <v>S20.00.2006</v>
          </cell>
          <cell r="G326" t="str">
            <v>-</v>
          </cell>
        </row>
        <row r="327">
          <cell r="B327" t="str">
            <v>7101076629</v>
          </cell>
          <cell r="C327" t="str">
            <v>G2509-0413</v>
          </cell>
          <cell r="D327" t="str">
            <v>000042944239023113</v>
          </cell>
          <cell r="E327" t="str">
            <v>十二角头精密螺栓</v>
          </cell>
          <cell r="F327" t="str">
            <v>11S10261</v>
          </cell>
          <cell r="G327" t="str">
            <v>-</v>
          </cell>
        </row>
        <row r="328">
          <cell r="B328" t="str">
            <v>7101076624</v>
          </cell>
          <cell r="C328" t="str">
            <v>G2509-0413</v>
          </cell>
          <cell r="D328" t="str">
            <v>000042944239023113</v>
          </cell>
          <cell r="E328" t="str">
            <v>十二角头精密螺栓</v>
          </cell>
          <cell r="F328" t="str">
            <v>11S10261</v>
          </cell>
          <cell r="G328" t="str">
            <v>-</v>
          </cell>
        </row>
        <row r="329">
          <cell r="B329" t="str">
            <v>7101076024</v>
          </cell>
          <cell r="C329" t="str">
            <v>G2511-0103</v>
          </cell>
          <cell r="D329" t="str">
            <v>000042944360100892</v>
          </cell>
          <cell r="E329" t="str">
            <v>连接销</v>
          </cell>
          <cell r="F329" t="str">
            <v>S20.00.2008</v>
          </cell>
          <cell r="G329" t="str">
            <v>-</v>
          </cell>
        </row>
        <row r="330">
          <cell r="B330" t="str">
            <v>7101075871</v>
          </cell>
          <cell r="C330" t="str">
            <v>G2508-1096</v>
          </cell>
          <cell r="D330" t="str">
            <v>000042944239092285</v>
          </cell>
          <cell r="E330" t="str">
            <v>上支撑环螺栓</v>
          </cell>
          <cell r="F330" t="str">
            <v>S15.44.1049P</v>
          </cell>
          <cell r="G330" t="str">
            <v>-</v>
          </cell>
        </row>
        <row r="331">
          <cell r="B331" t="str">
            <v>7101075871</v>
          </cell>
          <cell r="C331" t="str">
            <v>G2507-1673</v>
          </cell>
          <cell r="D331" t="str">
            <v>000042944239092285</v>
          </cell>
          <cell r="E331" t="str">
            <v>上支撑环螺栓</v>
          </cell>
          <cell r="F331" t="str">
            <v>S15.44.1049P</v>
          </cell>
          <cell r="G331" t="str">
            <v>-</v>
          </cell>
        </row>
        <row r="332">
          <cell r="B332" t="str">
            <v>7101075869</v>
          </cell>
          <cell r="C332" t="str">
            <v>G2508-1096</v>
          </cell>
          <cell r="D332" t="str">
            <v>000042944239092285</v>
          </cell>
          <cell r="E332" t="str">
            <v>上支撑环螺栓</v>
          </cell>
          <cell r="F332" t="str">
            <v>S15.44.1049P</v>
          </cell>
          <cell r="G332" t="str">
            <v>-</v>
          </cell>
        </row>
        <row r="333">
          <cell r="B333" t="str">
            <v>7101075435</v>
          </cell>
          <cell r="C333" t="str">
            <v>G2506-1937</v>
          </cell>
          <cell r="D333" t="str">
            <v>000042944288002869</v>
          </cell>
          <cell r="E333" t="str">
            <v>加长十二角自锁螺母</v>
          </cell>
          <cell r="F333" t="str">
            <v>ΦU129174</v>
          </cell>
          <cell r="G333" t="str">
            <v>-</v>
          </cell>
        </row>
        <row r="334">
          <cell r="B334" t="str">
            <v>7101075363</v>
          </cell>
          <cell r="C334" t="str">
            <v>G2507-2129</v>
          </cell>
          <cell r="D334" t="str">
            <v>000042944288002025</v>
          </cell>
          <cell r="E334" t="str">
            <v>厚自锁螺母,十角,MJ螺纹,材料GH738</v>
          </cell>
          <cell r="F334" t="str">
            <v>Q/S15.1089-2011</v>
          </cell>
          <cell r="G334" t="str">
            <v>8</v>
          </cell>
        </row>
        <row r="335">
          <cell r="B335" t="str">
            <v>7101074336</v>
          </cell>
          <cell r="C335" t="str">
            <v>G2504-1464</v>
          </cell>
          <cell r="D335" t="str">
            <v>000042944239014332</v>
          </cell>
          <cell r="E335" t="str">
            <v>螺栓</v>
          </cell>
          <cell r="F335" t="str">
            <v>ΦBLT4843</v>
          </cell>
          <cell r="G335" t="str">
            <v>-</v>
          </cell>
        </row>
        <row r="336">
          <cell r="B336" t="str">
            <v>7101073930</v>
          </cell>
          <cell r="C336" t="str">
            <v>G2509-1691</v>
          </cell>
          <cell r="D336" t="str">
            <v>000042944288002018</v>
          </cell>
          <cell r="E336" t="str">
            <v>薄自锁螺母,六角,MJ螺纹,螺纹公差带4H5H,镀银,材料G</v>
          </cell>
          <cell r="F336" t="str">
            <v>Q/S15.1082-2016</v>
          </cell>
          <cell r="G336" t="str">
            <v>6</v>
          </cell>
        </row>
        <row r="337">
          <cell r="B337" t="str">
            <v>7101073929</v>
          </cell>
          <cell r="C337" t="str">
            <v>G2508-2329</v>
          </cell>
          <cell r="D337" t="str">
            <v>000042944160011146</v>
          </cell>
          <cell r="E337" t="str">
            <v>螺钉,六角头,螺纹公差带6e</v>
          </cell>
          <cell r="F337" t="str">
            <v>Q/S15.1025-2011</v>
          </cell>
          <cell r="G337" t="str">
            <v>6-11</v>
          </cell>
        </row>
        <row r="338">
          <cell r="B338" t="str">
            <v>7101073928</v>
          </cell>
          <cell r="C338" t="str">
            <v>G2411-2546</v>
          </cell>
          <cell r="D338" t="str">
            <v>000042944239050227</v>
          </cell>
          <cell r="E338" t="str">
            <v>连杆螺栓</v>
          </cell>
          <cell r="F338" t="str">
            <v>S15.15.1260N</v>
          </cell>
          <cell r="G338" t="str">
            <v>-</v>
          </cell>
        </row>
        <row r="339">
          <cell r="B339" t="str">
            <v>7101073879</v>
          </cell>
          <cell r="C339" t="str">
            <v>G2512-0294</v>
          </cell>
          <cell r="D339" t="str">
            <v>000042944240084497</v>
          </cell>
          <cell r="E339" t="str">
            <v>螺柱</v>
          </cell>
          <cell r="F339" t="str">
            <v>11S30071</v>
          </cell>
          <cell r="G339" t="str">
            <v>Ⅳ</v>
          </cell>
        </row>
        <row r="340">
          <cell r="B340" t="str">
            <v>7101073876</v>
          </cell>
          <cell r="C340" t="str">
            <v>G2512-0294</v>
          </cell>
          <cell r="D340" t="str">
            <v>000042944240084497</v>
          </cell>
          <cell r="E340" t="str">
            <v>螺柱</v>
          </cell>
          <cell r="F340" t="str">
            <v>11S30071</v>
          </cell>
          <cell r="G340" t="str">
            <v>Ⅳ</v>
          </cell>
        </row>
        <row r="341">
          <cell r="B341" t="str">
            <v>7101073875</v>
          </cell>
          <cell r="C341" t="str">
            <v>G2512-0294</v>
          </cell>
          <cell r="D341" t="str">
            <v>000042944240084497</v>
          </cell>
          <cell r="E341" t="str">
            <v>螺柱</v>
          </cell>
          <cell r="F341" t="str">
            <v>11S30071</v>
          </cell>
          <cell r="G341" t="str">
            <v>Ⅳ</v>
          </cell>
        </row>
        <row r="342">
          <cell r="B342" t="str">
            <v>7101073874</v>
          </cell>
          <cell r="C342" t="str">
            <v>G2512-0294</v>
          </cell>
          <cell r="D342" t="str">
            <v>000042944240084497</v>
          </cell>
          <cell r="E342" t="str">
            <v>螺柱</v>
          </cell>
          <cell r="F342" t="str">
            <v>11S30071</v>
          </cell>
          <cell r="G342" t="str">
            <v>Ⅳ</v>
          </cell>
        </row>
        <row r="343">
          <cell r="B343" t="str">
            <v>7101073540</v>
          </cell>
          <cell r="C343" t="str">
            <v>G2511-0117</v>
          </cell>
          <cell r="D343" t="str">
            <v>000042944239011749</v>
          </cell>
          <cell r="E343" t="str">
            <v>盘后螺栓</v>
          </cell>
          <cell r="F343" t="str">
            <v>S10.1.1402</v>
          </cell>
          <cell r="G343" t="str">
            <v>-</v>
          </cell>
        </row>
        <row r="344">
          <cell r="B344" t="str">
            <v>7101073286</v>
          </cell>
          <cell r="C344" t="str">
            <v>G2509-1419</v>
          </cell>
          <cell r="D344" t="str">
            <v>000042944360100892</v>
          </cell>
          <cell r="E344" t="str">
            <v>连接销</v>
          </cell>
          <cell r="F344" t="str">
            <v>S20.00.2008</v>
          </cell>
          <cell r="G344" t="str">
            <v>-</v>
          </cell>
        </row>
        <row r="345">
          <cell r="B345" t="str">
            <v>7101073249</v>
          </cell>
          <cell r="C345" t="str">
            <v>G2307-0726</v>
          </cell>
          <cell r="D345" t="str">
            <v>000042944288002036</v>
          </cell>
          <cell r="E345" t="str">
            <v>厚自锁螺母,十角,MJ螺纹,材料GH738</v>
          </cell>
          <cell r="F345" t="str">
            <v>Q/S15.1101-2011</v>
          </cell>
          <cell r="G345" t="str">
            <v>6</v>
          </cell>
        </row>
        <row r="346">
          <cell r="B346" t="str">
            <v>7101073247</v>
          </cell>
          <cell r="C346" t="str">
            <v>G2508-2304</v>
          </cell>
          <cell r="D346" t="str">
            <v>000042944239056622</v>
          </cell>
          <cell r="E346" t="str">
            <v>小十二角头螺钉</v>
          </cell>
          <cell r="F346" t="str">
            <v>Q/S15.1072-2016</v>
          </cell>
          <cell r="G346" t="str">
            <v>8-14d</v>
          </cell>
        </row>
        <row r="347">
          <cell r="B347" t="str">
            <v>7101072998</v>
          </cell>
          <cell r="C347" t="str">
            <v>G2506-0241</v>
          </cell>
          <cell r="D347" t="str">
            <v>000042944319001900</v>
          </cell>
          <cell r="E347" t="str">
            <v>螺母</v>
          </cell>
          <cell r="F347" t="str">
            <v>S10.4.1407</v>
          </cell>
          <cell r="G347" t="str">
            <v>-</v>
          </cell>
        </row>
        <row r="348">
          <cell r="B348" t="str">
            <v>7101072794</v>
          </cell>
          <cell r="C348" t="str">
            <v>G2512-0301</v>
          </cell>
          <cell r="D348" t="str">
            <v>000042944404000554</v>
          </cell>
          <cell r="E348" t="str">
            <v>角形垂直单耳止动垫圈</v>
          </cell>
          <cell r="F348" t="str">
            <v>Q/S15.1165-2011</v>
          </cell>
          <cell r="G348" t="str">
            <v>A-6-12</v>
          </cell>
        </row>
        <row r="349">
          <cell r="B349" t="str">
            <v>7101072793</v>
          </cell>
          <cell r="C349" t="str">
            <v>G2512-0301</v>
          </cell>
          <cell r="D349" t="str">
            <v>000042944404000554</v>
          </cell>
          <cell r="E349" t="str">
            <v>角形垂直单耳止动垫圈</v>
          </cell>
          <cell r="F349" t="str">
            <v>Q/S15.1165-2011</v>
          </cell>
          <cell r="G349" t="str">
            <v>A-6-12</v>
          </cell>
        </row>
        <row r="350">
          <cell r="B350" t="str">
            <v>7101072737</v>
          </cell>
          <cell r="C350" t="str">
            <v>G2502-0212</v>
          </cell>
          <cell r="D350" t="str">
            <v>000042944288002486</v>
          </cell>
          <cell r="E350" t="str">
            <v>六角自锁螺母</v>
          </cell>
          <cell r="F350" t="str">
            <v>S10.4.1202</v>
          </cell>
          <cell r="G350" t="str">
            <v>-</v>
          </cell>
        </row>
        <row r="351">
          <cell r="B351" t="str">
            <v>7101072735</v>
          </cell>
          <cell r="C351" t="str">
            <v>G2502-0758</v>
          </cell>
          <cell r="D351" t="str">
            <v>000042944288002496</v>
          </cell>
          <cell r="E351" t="str">
            <v>十角自锁螺母</v>
          </cell>
          <cell r="F351" t="str">
            <v>S10.4.1210</v>
          </cell>
          <cell r="G351" t="str">
            <v>-</v>
          </cell>
        </row>
        <row r="352">
          <cell r="B352" t="str">
            <v>7101072662</v>
          </cell>
          <cell r="C352" t="str">
            <v>G2508-2365</v>
          </cell>
          <cell r="D352" t="str">
            <v>000042944288002018</v>
          </cell>
          <cell r="E352" t="str">
            <v>薄自锁螺母,六角,MJ螺纹,螺纹公差带4H5H,镀银,材料G</v>
          </cell>
          <cell r="F352" t="str">
            <v>Q/S15.1082-2016</v>
          </cell>
          <cell r="G352" t="str">
            <v>6</v>
          </cell>
        </row>
        <row r="353">
          <cell r="B353" t="str">
            <v>7101072659</v>
          </cell>
          <cell r="C353" t="str">
            <v>G2508-2365</v>
          </cell>
          <cell r="D353" t="str">
            <v>000042944288002018</v>
          </cell>
          <cell r="E353" t="str">
            <v>六角薄自锁螺母,MJ螺纹镀银GH738</v>
          </cell>
          <cell r="F353" t="str">
            <v>Q/S15.1082-2016</v>
          </cell>
          <cell r="G353" t="str">
            <v>6</v>
          </cell>
        </row>
        <row r="354">
          <cell r="B354" t="str">
            <v>7101072647</v>
          </cell>
          <cell r="C354" t="str">
            <v>G2508-2329</v>
          </cell>
          <cell r="D354" t="str">
            <v>000042944160011146</v>
          </cell>
          <cell r="E354" t="str">
            <v>螺钉,六角头,螺纹公差带6e</v>
          </cell>
          <cell r="F354" t="str">
            <v>Q/S15.1025-2011</v>
          </cell>
          <cell r="G354" t="str">
            <v>6-11</v>
          </cell>
        </row>
        <row r="355">
          <cell r="B355" t="str">
            <v>7101072643</v>
          </cell>
          <cell r="C355" t="str">
            <v>G2507-1673</v>
          </cell>
          <cell r="D355" t="str">
            <v>000042944239092285</v>
          </cell>
          <cell r="E355" t="str">
            <v>上支撑环螺栓</v>
          </cell>
          <cell r="F355" t="str">
            <v>S15.44.1049P</v>
          </cell>
          <cell r="G355" t="str">
            <v>-</v>
          </cell>
        </row>
        <row r="356">
          <cell r="B356" t="str">
            <v>7101072639</v>
          </cell>
          <cell r="C356" t="str">
            <v>G2502-0571</v>
          </cell>
          <cell r="D356" t="str">
            <v>000042944239050227</v>
          </cell>
          <cell r="E356" t="str">
            <v>连杆螺栓</v>
          </cell>
          <cell r="F356" t="str">
            <v>S15.15.1260N</v>
          </cell>
          <cell r="G356" t="str">
            <v>-</v>
          </cell>
        </row>
        <row r="357">
          <cell r="B357" t="str">
            <v>7101072074</v>
          </cell>
          <cell r="C357" t="str">
            <v>G2511-2002</v>
          </cell>
          <cell r="D357" t="str">
            <v>000042944319001897</v>
          </cell>
          <cell r="E357" t="str">
            <v>托板螺母</v>
          </cell>
          <cell r="F357" t="str">
            <v>S10.4.1405</v>
          </cell>
          <cell r="G357" t="str">
            <v>-</v>
          </cell>
        </row>
        <row r="358">
          <cell r="B358" t="str">
            <v>7101072063</v>
          </cell>
          <cell r="C358" t="str">
            <v>G2511-2002</v>
          </cell>
          <cell r="D358" t="str">
            <v>000042944319001897</v>
          </cell>
          <cell r="E358" t="str">
            <v>托板螺母</v>
          </cell>
          <cell r="F358" t="str">
            <v>S10.4.1405</v>
          </cell>
          <cell r="G358" t="str">
            <v>-</v>
          </cell>
        </row>
        <row r="359">
          <cell r="B359" t="str">
            <v>7101072062</v>
          </cell>
          <cell r="C359" t="str">
            <v>G2511-2002</v>
          </cell>
          <cell r="D359" t="str">
            <v>000042944319001897</v>
          </cell>
          <cell r="E359" t="str">
            <v>托板螺母</v>
          </cell>
          <cell r="F359" t="str">
            <v>S10.4.1405</v>
          </cell>
          <cell r="G359" t="str">
            <v>-</v>
          </cell>
        </row>
        <row r="360">
          <cell r="B360" t="str">
            <v>7101072049</v>
          </cell>
          <cell r="C360" t="str">
            <v>G2502-0150</v>
          </cell>
          <cell r="D360" t="str">
            <v>000042944288002025</v>
          </cell>
          <cell r="E360" t="str">
            <v>厚自锁螺母十角MJ螺纹材料GH738</v>
          </cell>
          <cell r="F360" t="str">
            <v>Q/S15.1089-2011</v>
          </cell>
          <cell r="G360" t="str">
            <v>8</v>
          </cell>
        </row>
        <row r="361">
          <cell r="B361" t="str">
            <v>7101072048</v>
          </cell>
          <cell r="C361" t="str">
            <v>G2502-0150</v>
          </cell>
          <cell r="D361" t="str">
            <v>000042944288002025</v>
          </cell>
          <cell r="E361" t="str">
            <v>厚自锁螺母十角MJ螺纹材料GH738</v>
          </cell>
          <cell r="F361" t="str">
            <v>Q/S15.1089-2011</v>
          </cell>
          <cell r="G361" t="str">
            <v>8</v>
          </cell>
        </row>
        <row r="362">
          <cell r="B362" t="str">
            <v>7101072039</v>
          </cell>
          <cell r="C362" t="str">
            <v>G2509-2598</v>
          </cell>
          <cell r="D362" t="str">
            <v>000042944160011147</v>
          </cell>
          <cell r="E362" t="str">
            <v>螺钉,六角头,螺纹公差带6e</v>
          </cell>
          <cell r="F362" t="str">
            <v>Q/S15.1025-2011</v>
          </cell>
          <cell r="G362" t="str">
            <v>6-12</v>
          </cell>
        </row>
        <row r="363">
          <cell r="B363" t="str">
            <v>7101072001</v>
          </cell>
          <cell r="C363" t="str">
            <v>G2510-1439</v>
          </cell>
          <cell r="D363" t="str">
            <v>000042944288002504</v>
          </cell>
          <cell r="E363" t="str">
            <v>十二角自锁螺母</v>
          </cell>
          <cell r="F363" t="str">
            <v>S10.4.1215</v>
          </cell>
          <cell r="G363" t="str">
            <v>-</v>
          </cell>
        </row>
        <row r="364">
          <cell r="B364" t="str">
            <v>7101071987</v>
          </cell>
          <cell r="C364" t="str">
            <v>G2512-0299</v>
          </cell>
          <cell r="D364" t="str">
            <v>000042944404000550</v>
          </cell>
          <cell r="E364" t="str">
            <v>角型垂直单耳止动垫圈</v>
          </cell>
          <cell r="F364" t="str">
            <v>Q/S15.1165-2011</v>
          </cell>
          <cell r="G364" t="str">
            <v>6-12</v>
          </cell>
        </row>
        <row r="365">
          <cell r="B365" t="str">
            <v>7101071985</v>
          </cell>
          <cell r="C365" t="str">
            <v>G2512-0299</v>
          </cell>
          <cell r="D365" t="str">
            <v>000042944404000550</v>
          </cell>
          <cell r="E365" t="str">
            <v>角型垂直单耳止动垫圈</v>
          </cell>
          <cell r="F365" t="str">
            <v>Q/S15.1165-2011</v>
          </cell>
          <cell r="G365" t="str">
            <v>6-12</v>
          </cell>
        </row>
        <row r="366">
          <cell r="B366" t="str">
            <v>7101071983</v>
          </cell>
          <cell r="C366" t="str">
            <v>G2512-0299</v>
          </cell>
          <cell r="D366" t="str">
            <v>000042944404000550</v>
          </cell>
          <cell r="E366" t="str">
            <v>角型垂直单耳止动垫圈</v>
          </cell>
          <cell r="F366" t="str">
            <v>Q/S15.1165-2011</v>
          </cell>
          <cell r="G366" t="str">
            <v>6-12</v>
          </cell>
        </row>
        <row r="367">
          <cell r="B367" t="str">
            <v>7101071982</v>
          </cell>
          <cell r="C367" t="str">
            <v>G2512-0299</v>
          </cell>
          <cell r="D367" t="str">
            <v>000042944404000550</v>
          </cell>
          <cell r="E367" t="str">
            <v>角型垂直单耳止动垫圈</v>
          </cell>
          <cell r="F367" t="str">
            <v>Q/S15.1165-2011</v>
          </cell>
          <cell r="G367" t="str">
            <v>6-12</v>
          </cell>
        </row>
        <row r="368">
          <cell r="B368" t="str">
            <v>7101071981</v>
          </cell>
          <cell r="C368" t="str">
            <v>G2512-0299</v>
          </cell>
          <cell r="D368" t="str">
            <v>000042944404000550</v>
          </cell>
          <cell r="E368" t="str">
            <v>角型垂直单耳止动垫圈</v>
          </cell>
          <cell r="F368" t="str">
            <v>Q/S15.1165-2011</v>
          </cell>
          <cell r="G368" t="str">
            <v>6-12</v>
          </cell>
        </row>
        <row r="369">
          <cell r="B369" t="str">
            <v>7101071980</v>
          </cell>
          <cell r="C369" t="str">
            <v>G2512-0299</v>
          </cell>
          <cell r="D369" t="str">
            <v>000042944404000550</v>
          </cell>
          <cell r="E369" t="str">
            <v>角型垂直单耳止动垫圈</v>
          </cell>
          <cell r="F369" t="str">
            <v>Q/S15.1165-2011</v>
          </cell>
          <cell r="G369" t="str">
            <v>6-12</v>
          </cell>
        </row>
        <row r="370">
          <cell r="B370" t="str">
            <v>7101071979</v>
          </cell>
          <cell r="C370" t="str">
            <v>G2512-0299</v>
          </cell>
          <cell r="D370" t="str">
            <v>000042944404000550</v>
          </cell>
          <cell r="E370" t="str">
            <v>角型垂直单耳止动垫圈</v>
          </cell>
          <cell r="F370" t="str">
            <v>Q/S15.1165-2011</v>
          </cell>
          <cell r="G370" t="str">
            <v>6-12</v>
          </cell>
        </row>
        <row r="371">
          <cell r="B371" t="str">
            <v>7101071972</v>
          </cell>
          <cell r="C371" t="str">
            <v>G2502-2796</v>
          </cell>
          <cell r="D371" t="str">
            <v>000042944239014206</v>
          </cell>
          <cell r="E371" t="str">
            <v>十二角头螺栓</v>
          </cell>
          <cell r="F371" t="str">
            <v>ΦAS13007</v>
          </cell>
          <cell r="G371" t="str">
            <v>-</v>
          </cell>
        </row>
        <row r="372">
          <cell r="B372" t="str">
            <v>7101071969</v>
          </cell>
          <cell r="C372" t="str">
            <v>G2502-2796</v>
          </cell>
          <cell r="D372" t="str">
            <v>000042944239014206</v>
          </cell>
          <cell r="E372" t="str">
            <v>十二角头螺栓</v>
          </cell>
          <cell r="F372" t="str">
            <v>ΦAS13007</v>
          </cell>
          <cell r="G372" t="str">
            <v>-</v>
          </cell>
        </row>
        <row r="373">
          <cell r="B373" t="str">
            <v>7101071339</v>
          </cell>
          <cell r="C373" t="str">
            <v>G2509-2569</v>
          </cell>
          <cell r="D373" t="str">
            <v>000042944240084473</v>
          </cell>
          <cell r="E373" t="str">
            <v>螺柱</v>
          </cell>
          <cell r="F373" t="str">
            <v>11S30071</v>
          </cell>
          <cell r="G373" t="str">
            <v>Ⅲ</v>
          </cell>
        </row>
        <row r="374">
          <cell r="B374" t="str">
            <v>7101071306</v>
          </cell>
          <cell r="C374" t="str">
            <v>G2511-0097</v>
          </cell>
          <cell r="D374" t="str">
            <v>000042944319001895</v>
          </cell>
          <cell r="E374" t="str">
            <v>鼓筒前连接螺母</v>
          </cell>
          <cell r="F374" t="str">
            <v>S10.4.1404</v>
          </cell>
          <cell r="G374" t="str">
            <v>-</v>
          </cell>
        </row>
        <row r="375">
          <cell r="B375" t="str">
            <v>7101071298</v>
          </cell>
          <cell r="C375" t="str">
            <v>G2511-1145</v>
          </cell>
          <cell r="D375" t="str">
            <v>000042944000099077</v>
          </cell>
          <cell r="E375" t="str">
            <v>孔探仪堵头组件</v>
          </cell>
          <cell r="F375" t="str">
            <v>S15.15.1890U</v>
          </cell>
          <cell r="G375" t="str">
            <v>-</v>
          </cell>
        </row>
        <row r="376">
          <cell r="B376" t="str">
            <v>7101071288</v>
          </cell>
          <cell r="C376" t="str">
            <v>G2508-2355</v>
          </cell>
          <cell r="D376" t="str">
            <v>000042944239157225</v>
          </cell>
          <cell r="E376" t="str">
            <v>螺栓</v>
          </cell>
          <cell r="F376" t="str">
            <v>S15.15.1119P</v>
          </cell>
          <cell r="G376" t="str">
            <v>-</v>
          </cell>
        </row>
        <row r="377">
          <cell r="B377" t="str">
            <v>7101071136</v>
          </cell>
          <cell r="C377" t="str">
            <v>G2509-0520</v>
          </cell>
          <cell r="D377" t="str">
            <v>000042944366118588</v>
          </cell>
          <cell r="E377" t="str">
            <v>销轴</v>
          </cell>
          <cell r="F377" t="str">
            <v>019155006801</v>
          </cell>
          <cell r="G377" t="str">
            <v>-</v>
          </cell>
        </row>
        <row r="378">
          <cell r="B378" t="str">
            <v>7101071132</v>
          </cell>
          <cell r="C378" t="str">
            <v>G2512-0461</v>
          </cell>
          <cell r="D378" t="str">
            <v>000042944288002036</v>
          </cell>
          <cell r="E378" t="str">
            <v>厚自锁螺母,十角,MJ螺纹,材料GH738</v>
          </cell>
          <cell r="F378" t="str">
            <v>Q/S15.1101-2011</v>
          </cell>
          <cell r="G378" t="str">
            <v>6</v>
          </cell>
        </row>
        <row r="379">
          <cell r="B379" t="str">
            <v>7101071119</v>
          </cell>
          <cell r="C379" t="str">
            <v>G2506-1923</v>
          </cell>
          <cell r="D379" t="str">
            <v>000042944239011744</v>
          </cell>
          <cell r="E379" t="str">
            <v>螺栓</v>
          </cell>
          <cell r="F379" t="str">
            <v>S10.1.1302</v>
          </cell>
          <cell r="G379" t="str">
            <v>-</v>
          </cell>
        </row>
        <row r="380">
          <cell r="B380" t="str">
            <v>7101071116</v>
          </cell>
          <cell r="C380" t="str">
            <v>G2506-1923</v>
          </cell>
          <cell r="D380" t="str">
            <v>000042944239011744</v>
          </cell>
          <cell r="E380" t="str">
            <v>螺栓</v>
          </cell>
          <cell r="F380" t="str">
            <v>S10.1.1302</v>
          </cell>
          <cell r="G380" t="str">
            <v>-</v>
          </cell>
        </row>
        <row r="381">
          <cell r="B381" t="str">
            <v>7101071041</v>
          </cell>
          <cell r="C381" t="str">
            <v>G2502-2897</v>
          </cell>
          <cell r="D381" t="str">
            <v>000042944360100892</v>
          </cell>
          <cell r="E381" t="str">
            <v>连接销</v>
          </cell>
          <cell r="F381" t="str">
            <v>S20.00.2008</v>
          </cell>
          <cell r="G381" t="str">
            <v>-</v>
          </cell>
        </row>
        <row r="382">
          <cell r="B382" t="str">
            <v>7101070779</v>
          </cell>
          <cell r="C382" t="str">
            <v>G2504-1035</v>
          </cell>
          <cell r="D382" t="str">
            <v>000042944366118582</v>
          </cell>
          <cell r="E382" t="str">
            <v>销轴</v>
          </cell>
          <cell r="F382" t="str">
            <v>019155003201</v>
          </cell>
          <cell r="G382" t="str">
            <v>-</v>
          </cell>
        </row>
        <row r="383">
          <cell r="B383" t="str">
            <v>7101070343</v>
          </cell>
          <cell r="C383" t="str">
            <v>G2504-0756</v>
          </cell>
          <cell r="D383" t="str">
            <v>000042944000131920</v>
          </cell>
          <cell r="E383" t="str">
            <v>导叶衬垫</v>
          </cell>
          <cell r="F383" t="str">
            <v>019111009701</v>
          </cell>
          <cell r="G383" t="str">
            <v>Ⅱ</v>
          </cell>
        </row>
        <row r="384">
          <cell r="B384" t="str">
            <v>7101069776</v>
          </cell>
          <cell r="C384" t="str">
            <v>G2504-1814</v>
          </cell>
          <cell r="D384" t="str">
            <v>000042944000114546</v>
          </cell>
          <cell r="E384" t="str">
            <v>盘前平衡块</v>
          </cell>
          <cell r="F384" t="str">
            <v>S15.44.1076U</v>
          </cell>
          <cell r="G384" t="str">
            <v>Ⅰ</v>
          </cell>
        </row>
        <row r="385">
          <cell r="B385" t="str">
            <v>7101069775</v>
          </cell>
          <cell r="C385" t="str">
            <v>G2504-1814</v>
          </cell>
          <cell r="D385" t="str">
            <v>000042944000114546</v>
          </cell>
          <cell r="E385" t="str">
            <v>盘前平衡块</v>
          </cell>
          <cell r="F385" t="str">
            <v>S15.44.1076U</v>
          </cell>
          <cell r="G385" t="str">
            <v>Ⅰ</v>
          </cell>
        </row>
        <row r="386">
          <cell r="B386" t="str">
            <v>7101069773</v>
          </cell>
          <cell r="C386" t="str">
            <v>G2504-1814</v>
          </cell>
          <cell r="D386" t="str">
            <v>000042944000114546</v>
          </cell>
          <cell r="E386" t="str">
            <v>盘前平衡块</v>
          </cell>
          <cell r="F386" t="str">
            <v>S15.44.1076U</v>
          </cell>
          <cell r="G386" t="str">
            <v>Ⅰ</v>
          </cell>
        </row>
        <row r="387">
          <cell r="B387" t="str">
            <v>7101069309</v>
          </cell>
          <cell r="C387" t="str">
            <v>G2509-2521</v>
          </cell>
          <cell r="D387" t="str">
            <v>000042944319001900</v>
          </cell>
          <cell r="E387" t="str">
            <v>螺母</v>
          </cell>
          <cell r="F387" t="str">
            <v>S10.4.1407</v>
          </cell>
          <cell r="G387" t="str">
            <v>-</v>
          </cell>
        </row>
        <row r="388">
          <cell r="B388" t="str">
            <v>7101067816</v>
          </cell>
          <cell r="C388" t="str">
            <v>G2504-1804</v>
          </cell>
          <cell r="D388" t="str">
            <v>000042944240084497</v>
          </cell>
          <cell r="E388" t="str">
            <v>螺柱</v>
          </cell>
          <cell r="F388" t="str">
            <v>11S30071</v>
          </cell>
          <cell r="G388" t="str">
            <v>Ⅳ</v>
          </cell>
        </row>
        <row r="389">
          <cell r="B389" t="str">
            <v>7101067815</v>
          </cell>
          <cell r="C389" t="str">
            <v>G2504-1804</v>
          </cell>
          <cell r="D389" t="str">
            <v>000042944240084497</v>
          </cell>
          <cell r="E389" t="str">
            <v>螺柱</v>
          </cell>
          <cell r="F389" t="str">
            <v>11S30071</v>
          </cell>
          <cell r="G389" t="str">
            <v>Ⅳ</v>
          </cell>
        </row>
        <row r="390">
          <cell r="B390" t="str">
            <v>7101067748</v>
          </cell>
          <cell r="C390" t="str">
            <v>G2106-0546</v>
          </cell>
          <cell r="D390" t="str">
            <v>000042944000052366</v>
          </cell>
          <cell r="E390" t="str">
            <v>联动环衬垫</v>
          </cell>
          <cell r="F390" t="str">
            <v>S15.15.1255N</v>
          </cell>
          <cell r="G390" t="str">
            <v>-</v>
          </cell>
        </row>
        <row r="391">
          <cell r="B391" t="str">
            <v>7101067740</v>
          </cell>
          <cell r="C391" t="str">
            <v>G2411-0712</v>
          </cell>
          <cell r="D391" t="str">
            <v>000042944000052366</v>
          </cell>
          <cell r="E391" t="str">
            <v>联动环衬垫</v>
          </cell>
          <cell r="F391" t="str">
            <v>S15.15.1255N</v>
          </cell>
          <cell r="G391" t="str">
            <v>-</v>
          </cell>
        </row>
        <row r="392">
          <cell r="B392" t="str">
            <v>7101067699</v>
          </cell>
          <cell r="C392" t="str">
            <v>G2508-0269</v>
          </cell>
          <cell r="D392" t="str">
            <v>000042944360100408</v>
          </cell>
          <cell r="E392" t="str">
            <v>联动环摇臂销</v>
          </cell>
          <cell r="F392" t="str">
            <v>S15.15.1006U</v>
          </cell>
          <cell r="G392" t="str">
            <v>-</v>
          </cell>
        </row>
        <row r="393">
          <cell r="B393" t="str">
            <v>7101067695</v>
          </cell>
          <cell r="C393" t="str">
            <v>G2508-0474</v>
          </cell>
          <cell r="D393" t="str">
            <v>000042944360100408</v>
          </cell>
          <cell r="E393" t="str">
            <v>联动环摇臂销</v>
          </cell>
          <cell r="F393" t="str">
            <v>S15.15.1006U</v>
          </cell>
          <cell r="G393" t="str">
            <v>-</v>
          </cell>
        </row>
        <row r="394">
          <cell r="B394" t="str">
            <v>7101067691</v>
          </cell>
          <cell r="C394" t="str">
            <v>G2412-2856</v>
          </cell>
          <cell r="D394" t="str">
            <v>000042944360100408</v>
          </cell>
          <cell r="E394" t="str">
            <v>联动环摇臂销</v>
          </cell>
          <cell r="F394" t="str">
            <v>S15.15.1006U</v>
          </cell>
          <cell r="G394" t="str">
            <v>-</v>
          </cell>
        </row>
        <row r="395">
          <cell r="B395" t="str">
            <v>7101067686</v>
          </cell>
          <cell r="C395" t="str">
            <v>G2507-0911</v>
          </cell>
          <cell r="D395" t="str">
            <v>000042944360100408</v>
          </cell>
          <cell r="E395" t="str">
            <v>联动环摇臂销</v>
          </cell>
          <cell r="F395" t="str">
            <v>S15.15.1006U</v>
          </cell>
          <cell r="G395" t="str">
            <v>-</v>
          </cell>
        </row>
        <row r="396">
          <cell r="B396" t="str">
            <v>7101067685</v>
          </cell>
          <cell r="C396" t="str">
            <v>G2506-1056</v>
          </cell>
          <cell r="D396" t="str">
            <v>000042944360100408</v>
          </cell>
          <cell r="E396" t="str">
            <v>联动环摇臂销</v>
          </cell>
          <cell r="F396" t="str">
            <v>S15.15.1006U</v>
          </cell>
          <cell r="G396" t="str">
            <v>-</v>
          </cell>
        </row>
        <row r="397">
          <cell r="B397" t="str">
            <v>7101067684</v>
          </cell>
          <cell r="C397" t="str">
            <v>G2508-0269</v>
          </cell>
          <cell r="D397" t="str">
            <v>000042944360100408</v>
          </cell>
          <cell r="E397" t="str">
            <v>联动环摇臂销</v>
          </cell>
          <cell r="F397" t="str">
            <v>S15.15.1006U</v>
          </cell>
          <cell r="G397" t="str">
            <v>-</v>
          </cell>
        </row>
        <row r="398">
          <cell r="B398" t="str">
            <v>7101067620</v>
          </cell>
          <cell r="C398" t="str">
            <v>G2508-0814</v>
          </cell>
          <cell r="D398" t="str">
            <v>000042944288002020</v>
          </cell>
          <cell r="E398" t="str">
            <v>开槽自锁螺母,十二角,MJ螺纹,螺纹公差带4H6H,镀银,材</v>
          </cell>
          <cell r="F398" t="str">
            <v>Q/S15.1084-2016</v>
          </cell>
          <cell r="G398" t="str">
            <v>5</v>
          </cell>
        </row>
        <row r="399">
          <cell r="B399" t="str">
            <v>7101067526</v>
          </cell>
          <cell r="C399" t="str">
            <v>G2512-0314</v>
          </cell>
          <cell r="D399" t="str">
            <v>000042944000116570</v>
          </cell>
          <cell r="E399" t="str">
            <v>油滤壳体</v>
          </cell>
          <cell r="F399" t="str">
            <v>S15.34.1053U</v>
          </cell>
          <cell r="G399" t="str">
            <v>-</v>
          </cell>
        </row>
        <row r="400">
          <cell r="B400" t="str">
            <v>7101067525</v>
          </cell>
          <cell r="C400" t="str">
            <v>G2512-0314</v>
          </cell>
          <cell r="D400" t="str">
            <v>000042944000116570</v>
          </cell>
          <cell r="E400" t="str">
            <v>油滤壳体</v>
          </cell>
          <cell r="F400" t="str">
            <v>S15.34.1053U</v>
          </cell>
          <cell r="G400" t="str">
            <v>-</v>
          </cell>
        </row>
        <row r="401">
          <cell r="B401" t="str">
            <v>7101067524</v>
          </cell>
          <cell r="C401" t="str">
            <v>G2512-0314</v>
          </cell>
          <cell r="D401" t="str">
            <v>000042944000116570</v>
          </cell>
          <cell r="E401" t="str">
            <v>油滤壳体</v>
          </cell>
          <cell r="F401" t="str">
            <v>S15.34.1053U</v>
          </cell>
          <cell r="G401" t="str">
            <v>-</v>
          </cell>
        </row>
        <row r="402">
          <cell r="B402" t="str">
            <v>7101067151</v>
          </cell>
          <cell r="C402" t="str">
            <v>G02509-072</v>
          </cell>
          <cell r="D402" t="str">
            <v>000042944039037722</v>
          </cell>
          <cell r="E402" t="str">
            <v>锁紧型有折断槽钢丝螺套</v>
          </cell>
          <cell r="F402" t="str">
            <v>GJB5109-2002</v>
          </cell>
          <cell r="G402" t="str">
            <v>6×1×6</v>
          </cell>
        </row>
        <row r="403">
          <cell r="B403" t="str">
            <v>7101067146</v>
          </cell>
          <cell r="C403" t="str">
            <v>G02512-072</v>
          </cell>
          <cell r="D403" t="str">
            <v>000042944360161324</v>
          </cell>
          <cell r="E403" t="str">
            <v>开口销</v>
          </cell>
          <cell r="F403" t="str">
            <v>GB/T91-2000(ST)</v>
          </cell>
          <cell r="G403" t="str">
            <v>2×24</v>
          </cell>
        </row>
        <row r="404">
          <cell r="B404" t="str">
            <v>7101066607</v>
          </cell>
          <cell r="C404" t="str">
            <v>G2508-2296</v>
          </cell>
          <cell r="D404" t="str">
            <v>000042944239056621</v>
          </cell>
          <cell r="E404" t="str">
            <v>小十二角头螺钉</v>
          </cell>
          <cell r="F404" t="str">
            <v>Q/S15.1072-2016</v>
          </cell>
          <cell r="G404" t="str">
            <v>6-14d</v>
          </cell>
        </row>
        <row r="405">
          <cell r="B405" t="str">
            <v>7101066606</v>
          </cell>
          <cell r="C405" t="str">
            <v>G2508-2296</v>
          </cell>
          <cell r="D405" t="str">
            <v>000042944239056621</v>
          </cell>
          <cell r="E405" t="str">
            <v>小十二角头螺钉</v>
          </cell>
          <cell r="F405" t="str">
            <v>Q/S15.1072-2016</v>
          </cell>
          <cell r="G405" t="str">
            <v>6-14d</v>
          </cell>
        </row>
        <row r="406">
          <cell r="B406" t="str">
            <v>7101066605</v>
          </cell>
          <cell r="C406" t="str">
            <v>G2508-2296</v>
          </cell>
          <cell r="D406" t="str">
            <v>000042944239056621</v>
          </cell>
          <cell r="E406" t="str">
            <v>小十二角头螺钉</v>
          </cell>
          <cell r="F406" t="str">
            <v>Q/S15.1072-2016</v>
          </cell>
          <cell r="G406" t="str">
            <v>6-14d</v>
          </cell>
        </row>
        <row r="407">
          <cell r="B407" t="str">
            <v>7101066604</v>
          </cell>
          <cell r="C407" t="str">
            <v>G2508-2296</v>
          </cell>
          <cell r="D407" t="str">
            <v>000042944239056621</v>
          </cell>
          <cell r="E407" t="str">
            <v>小十二角头螺钉</v>
          </cell>
          <cell r="F407" t="str">
            <v>Q/S15.1072-2016</v>
          </cell>
          <cell r="G407" t="str">
            <v>6-14d</v>
          </cell>
        </row>
        <row r="408">
          <cell r="B408" t="str">
            <v>7101066404</v>
          </cell>
          <cell r="C408" t="str">
            <v>G2512-0847</v>
          </cell>
          <cell r="D408" t="str">
            <v>000042944000052366</v>
          </cell>
          <cell r="E408" t="str">
            <v>联动环衬垫</v>
          </cell>
          <cell r="F408" t="str">
            <v>S15.15.1255N</v>
          </cell>
          <cell r="G408" t="str">
            <v>-</v>
          </cell>
        </row>
        <row r="409">
          <cell r="B409" t="str">
            <v>7101066403</v>
          </cell>
          <cell r="C409" t="str">
            <v>G2512-0847</v>
          </cell>
          <cell r="D409" t="str">
            <v>000042944000052366</v>
          </cell>
          <cell r="E409" t="str">
            <v>联动环衬垫</v>
          </cell>
          <cell r="F409" t="str">
            <v>S15.15.1255N</v>
          </cell>
          <cell r="G409" t="str">
            <v>-</v>
          </cell>
        </row>
        <row r="410">
          <cell r="B410" t="str">
            <v>7101066402</v>
          </cell>
          <cell r="C410" t="str">
            <v>G2512-0465</v>
          </cell>
          <cell r="D410" t="str">
            <v>000042944360100408</v>
          </cell>
          <cell r="E410" t="str">
            <v>联动环摇臂销</v>
          </cell>
          <cell r="F410" t="str">
            <v>S15.15.1006U</v>
          </cell>
          <cell r="G410" t="str">
            <v>-</v>
          </cell>
        </row>
        <row r="411">
          <cell r="B411" t="str">
            <v>7101066286</v>
          </cell>
          <cell r="C411" t="str">
            <v>G2509-2750</v>
          </cell>
          <cell r="D411" t="str">
            <v>000042944288002863</v>
          </cell>
          <cell r="E411" t="str">
            <v>十二角自锁螺母</v>
          </cell>
          <cell r="F411" t="str">
            <v>ΦU125947</v>
          </cell>
          <cell r="G411" t="str">
            <v>-</v>
          </cell>
        </row>
        <row r="412">
          <cell r="B412" t="str">
            <v>7101066097</v>
          </cell>
          <cell r="C412" t="str">
            <v>G2508-2366</v>
          </cell>
          <cell r="D412" t="str">
            <v>000042944288002020</v>
          </cell>
          <cell r="E412" t="str">
            <v>开槽自锁螺母,十二角,MJ螺纹,螺纹公差带4H6H,镀银,材</v>
          </cell>
          <cell r="F412" t="str">
            <v>Q/S15.1084-2016</v>
          </cell>
          <cell r="G412" t="str">
            <v>5</v>
          </cell>
        </row>
        <row r="413">
          <cell r="B413" t="str">
            <v>7101066096</v>
          </cell>
          <cell r="C413" t="str">
            <v>G2508-2366</v>
          </cell>
          <cell r="D413" t="str">
            <v>000042944288002020</v>
          </cell>
          <cell r="E413" t="str">
            <v>开槽自锁螺母,十二角,MJ螺纹,螺纹公差带4H6H,镀银,材</v>
          </cell>
          <cell r="F413" t="str">
            <v>Q/S15.1084-2016</v>
          </cell>
          <cell r="G413" t="str">
            <v>5</v>
          </cell>
        </row>
        <row r="414">
          <cell r="B414" t="str">
            <v>7101066095</v>
          </cell>
          <cell r="C414" t="str">
            <v>G2508-2366</v>
          </cell>
          <cell r="D414" t="str">
            <v>000042944288002020</v>
          </cell>
          <cell r="E414" t="str">
            <v>开槽自锁螺母,十二角,MJ螺纹,螺纹公差带4H6H,镀银,材</v>
          </cell>
          <cell r="F414" t="str">
            <v>Q/S15.1084-2016</v>
          </cell>
          <cell r="G414" t="str">
            <v>5</v>
          </cell>
        </row>
        <row r="415">
          <cell r="B415" t="str">
            <v>7101066094</v>
          </cell>
          <cell r="C415" t="str">
            <v>G2508-2366</v>
          </cell>
          <cell r="D415" t="str">
            <v>000042944288002020</v>
          </cell>
          <cell r="E415" t="str">
            <v>开槽自锁螺母,十二角,MJ螺纹,螺纹公差带4H6H,镀银,材</v>
          </cell>
          <cell r="F415" t="str">
            <v>Q/S15.1084-2016</v>
          </cell>
          <cell r="G415" t="str">
            <v>5</v>
          </cell>
        </row>
        <row r="416">
          <cell r="B416" t="str">
            <v>7101066065</v>
          </cell>
          <cell r="C416" t="str">
            <v>G2509-1574</v>
          </cell>
          <cell r="D416" t="str">
            <v>000042944360158726</v>
          </cell>
          <cell r="E416" t="str">
            <v>止动销</v>
          </cell>
          <cell r="F416" t="str">
            <v>11S70163</v>
          </cell>
          <cell r="G416" t="str">
            <v>Ⅰ</v>
          </cell>
        </row>
        <row r="417">
          <cell r="B417" t="str">
            <v>7101066064</v>
          </cell>
          <cell r="C417" t="str">
            <v>G2508-1145</v>
          </cell>
          <cell r="D417" t="str">
            <v>000042944360158726</v>
          </cell>
          <cell r="E417" t="str">
            <v>止动销</v>
          </cell>
          <cell r="F417" t="str">
            <v>11S70163</v>
          </cell>
          <cell r="G417" t="str">
            <v>Ⅰ</v>
          </cell>
        </row>
        <row r="418">
          <cell r="B418" t="str">
            <v>7101066063</v>
          </cell>
          <cell r="C418" t="str">
            <v>G2509-1859</v>
          </cell>
          <cell r="D418" t="str">
            <v>000042944160113876</v>
          </cell>
          <cell r="E418" t="str">
            <v>限位螺钉</v>
          </cell>
          <cell r="F418" t="str">
            <v>019111002501</v>
          </cell>
          <cell r="G418" t="str">
            <v>-</v>
          </cell>
        </row>
        <row r="419">
          <cell r="B419" t="str">
            <v>7101066061</v>
          </cell>
          <cell r="C419" t="str">
            <v>G2509-1858</v>
          </cell>
          <cell r="D419" t="str">
            <v>000042944160113876</v>
          </cell>
          <cell r="E419" t="str">
            <v>限位螺钉</v>
          </cell>
          <cell r="F419" t="str">
            <v>019111002501</v>
          </cell>
          <cell r="G419" t="str">
            <v>-</v>
          </cell>
        </row>
        <row r="420">
          <cell r="B420" t="str">
            <v>7101066057</v>
          </cell>
          <cell r="C420" t="str">
            <v>G2508-1011</v>
          </cell>
          <cell r="D420" t="str">
            <v>000042944000113877</v>
          </cell>
          <cell r="E420" t="str">
            <v>联动环衬垫</v>
          </cell>
          <cell r="F420" t="str">
            <v>019111002701</v>
          </cell>
          <cell r="G420" t="str">
            <v>-</v>
          </cell>
        </row>
        <row r="421">
          <cell r="B421" t="str">
            <v>7101066057</v>
          </cell>
          <cell r="C421" t="str">
            <v>G2508-1011</v>
          </cell>
          <cell r="D421" t="str">
            <v>000042944000113877</v>
          </cell>
          <cell r="E421" t="str">
            <v>联动环衬垫</v>
          </cell>
          <cell r="F421" t="str">
            <v>019111002701</v>
          </cell>
          <cell r="G421" t="str">
            <v>-</v>
          </cell>
        </row>
        <row r="422">
          <cell r="B422" t="str">
            <v>7101066012</v>
          </cell>
          <cell r="C422" t="str">
            <v>G2504-0212</v>
          </cell>
          <cell r="D422" t="str">
            <v>000042944320125329</v>
          </cell>
          <cell r="E422" t="str">
            <v>铆钉</v>
          </cell>
          <cell r="F422" t="str">
            <v>019152107202</v>
          </cell>
          <cell r="G422" t="str">
            <v>-</v>
          </cell>
        </row>
        <row r="423">
          <cell r="B423" t="str">
            <v>7101066011</v>
          </cell>
          <cell r="C423" t="str">
            <v>G2504-1324</v>
          </cell>
          <cell r="D423" t="str">
            <v>000042944320126701</v>
          </cell>
          <cell r="E423" t="str">
            <v>铆钉</v>
          </cell>
          <cell r="F423" t="str">
            <v>11S70201</v>
          </cell>
          <cell r="G423" t="str">
            <v>Ⅲ</v>
          </cell>
        </row>
        <row r="424">
          <cell r="B424" t="str">
            <v>7101066011</v>
          </cell>
          <cell r="C424" t="str">
            <v>G2510-0208</v>
          </cell>
          <cell r="D424" t="str">
            <v>000042944320126701</v>
          </cell>
          <cell r="E424" t="str">
            <v>铆钉</v>
          </cell>
          <cell r="F424" t="str">
            <v>11S70201</v>
          </cell>
          <cell r="G424" t="str">
            <v>Ⅲ</v>
          </cell>
        </row>
        <row r="425">
          <cell r="B425" t="str">
            <v>7101065912</v>
          </cell>
          <cell r="C425" t="str">
            <v>G2509-2568</v>
          </cell>
          <cell r="D425" t="str">
            <v>000042944240084472</v>
          </cell>
          <cell r="E425" t="str">
            <v>螺柱</v>
          </cell>
          <cell r="F425" t="str">
            <v>11S30071</v>
          </cell>
          <cell r="G425" t="str">
            <v>Ⅱ</v>
          </cell>
        </row>
        <row r="426">
          <cell r="B426" t="str">
            <v>7101065912</v>
          </cell>
          <cell r="C426" t="str">
            <v>G2302-1464</v>
          </cell>
          <cell r="D426" t="str">
            <v>000042944240084472</v>
          </cell>
          <cell r="E426" t="str">
            <v>螺柱</v>
          </cell>
          <cell r="F426" t="str">
            <v>11S30071</v>
          </cell>
          <cell r="G426" t="str">
            <v>Ⅱ</v>
          </cell>
        </row>
        <row r="427">
          <cell r="B427" t="str">
            <v>7101065912</v>
          </cell>
          <cell r="C427" t="str">
            <v>G2504-1867</v>
          </cell>
          <cell r="D427" t="str">
            <v>000042944240084472</v>
          </cell>
          <cell r="E427" t="str">
            <v>螺柱</v>
          </cell>
          <cell r="F427" t="str">
            <v>11S30071</v>
          </cell>
          <cell r="G427" t="str">
            <v>Ⅱ</v>
          </cell>
        </row>
        <row r="428">
          <cell r="B428" t="str">
            <v>7101065911</v>
          </cell>
          <cell r="C428" t="str">
            <v>G2509-2568</v>
          </cell>
          <cell r="D428" t="str">
            <v>000042944240084472</v>
          </cell>
          <cell r="E428" t="str">
            <v>螺柱</v>
          </cell>
          <cell r="F428" t="str">
            <v>11S30071</v>
          </cell>
          <cell r="G428" t="str">
            <v>CG2</v>
          </cell>
        </row>
        <row r="429">
          <cell r="B429" t="str">
            <v>7101065545</v>
          </cell>
          <cell r="C429" t="str">
            <v>G2512-0315</v>
          </cell>
          <cell r="D429" t="str">
            <v>000042944000075204</v>
          </cell>
          <cell r="E429" t="str">
            <v>锁片</v>
          </cell>
          <cell r="F429" t="str">
            <v>S15.15.1023P</v>
          </cell>
          <cell r="G429" t="str">
            <v>-</v>
          </cell>
        </row>
        <row r="430">
          <cell r="B430" t="str">
            <v>7101065545</v>
          </cell>
          <cell r="C430" t="str">
            <v>G2504-3724</v>
          </cell>
          <cell r="D430" t="str">
            <v>000042944000075204</v>
          </cell>
          <cell r="E430" t="str">
            <v>锁片</v>
          </cell>
          <cell r="F430" t="str">
            <v>S15.15.1023P</v>
          </cell>
          <cell r="G430" t="str">
            <v>-</v>
          </cell>
        </row>
        <row r="431">
          <cell r="B431" t="str">
            <v>7101065544</v>
          </cell>
          <cell r="C431" t="str">
            <v>G2512-0315</v>
          </cell>
          <cell r="D431" t="str">
            <v>000042944000075204</v>
          </cell>
          <cell r="E431" t="str">
            <v>锁片</v>
          </cell>
          <cell r="F431" t="str">
            <v>S15.15.1023P</v>
          </cell>
          <cell r="G431" t="str">
            <v>-</v>
          </cell>
        </row>
        <row r="432">
          <cell r="B432" t="str">
            <v>7101064579</v>
          </cell>
          <cell r="C432" t="str">
            <v>G2509-2598</v>
          </cell>
          <cell r="D432" t="str">
            <v>000042944160011147</v>
          </cell>
          <cell r="E432" t="str">
            <v>螺钉,六角头,螺纹公差带6e</v>
          </cell>
          <cell r="F432" t="str">
            <v>Q/S15.1025-2011</v>
          </cell>
          <cell r="G432" t="str">
            <v>6-12</v>
          </cell>
        </row>
        <row r="433">
          <cell r="B433" t="str">
            <v>7101063699</v>
          </cell>
          <cell r="C433" t="str">
            <v>G2512-0464</v>
          </cell>
          <cell r="D433" t="str">
            <v>000042944360075211</v>
          </cell>
          <cell r="E433" t="str">
            <v>台阶销</v>
          </cell>
          <cell r="F433" t="str">
            <v>S15.15.1109P</v>
          </cell>
          <cell r="G433" t="str">
            <v>-</v>
          </cell>
        </row>
        <row r="434">
          <cell r="B434" t="str">
            <v>7101063699</v>
          </cell>
          <cell r="C434" t="str">
            <v>G2502-0867</v>
          </cell>
          <cell r="D434" t="str">
            <v>000042944360075211</v>
          </cell>
          <cell r="E434" t="str">
            <v>台阶销</v>
          </cell>
          <cell r="F434" t="str">
            <v>S15.15.1109P</v>
          </cell>
          <cell r="G434" t="str">
            <v>-</v>
          </cell>
        </row>
        <row r="435">
          <cell r="B435" t="str">
            <v>7101063698</v>
          </cell>
          <cell r="C435" t="str">
            <v>G2504-0162</v>
          </cell>
          <cell r="D435" t="str">
            <v>000042944360113861</v>
          </cell>
          <cell r="E435" t="str">
            <v>回油销</v>
          </cell>
          <cell r="F435" t="str">
            <v>019111001601</v>
          </cell>
          <cell r="G435" t="str">
            <v>-</v>
          </cell>
        </row>
        <row r="436">
          <cell r="B436" t="str">
            <v>7101063696</v>
          </cell>
          <cell r="C436" t="str">
            <v>G2512-0302</v>
          </cell>
          <cell r="D436" t="str">
            <v>000042944404000556</v>
          </cell>
          <cell r="E436" t="str">
            <v>角形垂直单耳止动垫圈</v>
          </cell>
          <cell r="F436" t="str">
            <v>Q/S15.1165-2011</v>
          </cell>
          <cell r="G436" t="str">
            <v>A-6-9.5</v>
          </cell>
        </row>
        <row r="437">
          <cell r="B437" t="str">
            <v>7101063695</v>
          </cell>
          <cell r="C437" t="str">
            <v>G2512-0302</v>
          </cell>
          <cell r="D437" t="str">
            <v>000042944404000556</v>
          </cell>
          <cell r="E437" t="str">
            <v>角形垂直单耳止动垫圈</v>
          </cell>
          <cell r="F437" t="str">
            <v>Q/S15.1165-2011</v>
          </cell>
          <cell r="G437" t="str">
            <v>A-6-9.5</v>
          </cell>
        </row>
        <row r="438">
          <cell r="B438" t="str">
            <v>7101063164</v>
          </cell>
          <cell r="C438" t="str">
            <v>G2504-1812</v>
          </cell>
          <cell r="D438" t="str">
            <v>000042944000126743</v>
          </cell>
          <cell r="E438" t="str">
            <v>连杆</v>
          </cell>
          <cell r="F438" t="str">
            <v>019155040201</v>
          </cell>
          <cell r="G438" t="str">
            <v>-</v>
          </cell>
        </row>
        <row r="439">
          <cell r="B439" t="str">
            <v>7101063163</v>
          </cell>
          <cell r="C439" t="str">
            <v>G2504-1812</v>
          </cell>
          <cell r="D439" t="str">
            <v>000042944000126743</v>
          </cell>
          <cell r="E439" t="str">
            <v>连杆</v>
          </cell>
          <cell r="F439" t="str">
            <v>019155040201</v>
          </cell>
          <cell r="G439" t="str">
            <v>-</v>
          </cell>
        </row>
        <row r="440">
          <cell r="B440" t="str">
            <v>7101062731</v>
          </cell>
          <cell r="C440" t="str">
            <v>G2301-3217</v>
          </cell>
          <cell r="D440" t="str">
            <v>000042944240110900</v>
          </cell>
          <cell r="E440" t="str">
            <v>螺桩</v>
          </cell>
          <cell r="F440" t="str">
            <v>11S30121</v>
          </cell>
          <cell r="G440" t="str">
            <v>4</v>
          </cell>
        </row>
        <row r="441">
          <cell r="B441" t="str">
            <v>7101062729</v>
          </cell>
          <cell r="C441" t="str">
            <v>G2403-2977</v>
          </cell>
          <cell r="D441" t="str">
            <v>000042944240110900</v>
          </cell>
          <cell r="E441" t="str">
            <v>螺桩</v>
          </cell>
          <cell r="F441" t="str">
            <v>11S30121</v>
          </cell>
          <cell r="G441" t="str">
            <v>4</v>
          </cell>
        </row>
        <row r="442">
          <cell r="B442" t="str">
            <v>7101062727</v>
          </cell>
          <cell r="C442" t="str">
            <v>G2302-3347</v>
          </cell>
          <cell r="D442" t="str">
            <v>000042944240110900</v>
          </cell>
          <cell r="E442" t="str">
            <v>螺桩</v>
          </cell>
          <cell r="F442" t="str">
            <v>11S30121</v>
          </cell>
          <cell r="G442" t="str">
            <v>4</v>
          </cell>
        </row>
        <row r="443">
          <cell r="B443" t="str">
            <v>7101062672</v>
          </cell>
          <cell r="C443" t="str">
            <v>G2502-1032</v>
          </cell>
          <cell r="D443" t="str">
            <v>000042944999000130</v>
          </cell>
          <cell r="E443" t="str">
            <v>轴用钢丝卡圈</v>
          </cell>
          <cell r="F443" t="str">
            <v>11S50214</v>
          </cell>
          <cell r="G443" t="str">
            <v>-</v>
          </cell>
        </row>
        <row r="444">
          <cell r="B444" t="str">
            <v>7101062069</v>
          </cell>
          <cell r="C444" t="str">
            <v>G2511-0102</v>
          </cell>
          <cell r="D444" t="str">
            <v>000042944319002116</v>
          </cell>
          <cell r="E444" t="str">
            <v>螺母</v>
          </cell>
          <cell r="F444" t="str">
            <v>S20.00.2063</v>
          </cell>
          <cell r="G444" t="str">
            <v>-</v>
          </cell>
        </row>
        <row r="445">
          <cell r="B445" t="str">
            <v>7101061899</v>
          </cell>
          <cell r="C445" t="str">
            <v>G2508-2331</v>
          </cell>
          <cell r="D445" t="str">
            <v>000042944160050115</v>
          </cell>
          <cell r="E445" t="str">
            <v>联动环限位螺钉</v>
          </cell>
          <cell r="F445" t="str">
            <v>S15.15.1063N</v>
          </cell>
          <cell r="G445" t="str">
            <v>-</v>
          </cell>
        </row>
        <row r="446">
          <cell r="B446" t="str">
            <v>7101061897</v>
          </cell>
          <cell r="C446" t="str">
            <v>G2508-2331</v>
          </cell>
          <cell r="D446" t="str">
            <v>000042944160050115</v>
          </cell>
          <cell r="E446" t="str">
            <v>联动环限位螺钉</v>
          </cell>
          <cell r="F446" t="str">
            <v>S15.15.1063N</v>
          </cell>
          <cell r="G446" t="str">
            <v>-</v>
          </cell>
        </row>
        <row r="447">
          <cell r="B447" t="str">
            <v>7101061894</v>
          </cell>
          <cell r="C447" t="str">
            <v>G2508-2331</v>
          </cell>
          <cell r="D447" t="str">
            <v>000042944160050115</v>
          </cell>
          <cell r="E447" t="str">
            <v>联动环限位螺钉</v>
          </cell>
          <cell r="F447" t="str">
            <v>S15.15.1063N</v>
          </cell>
          <cell r="G447" t="str">
            <v>-</v>
          </cell>
        </row>
        <row r="448">
          <cell r="B448" t="str">
            <v>7101061893</v>
          </cell>
          <cell r="C448" t="str">
            <v>G2508-2331</v>
          </cell>
          <cell r="D448" t="str">
            <v>000042944160050115</v>
          </cell>
          <cell r="E448" t="str">
            <v>联动环限位螺钉</v>
          </cell>
          <cell r="F448" t="str">
            <v>S15.15.1063N</v>
          </cell>
          <cell r="G448" t="str">
            <v>-</v>
          </cell>
        </row>
        <row r="449">
          <cell r="B449" t="str">
            <v>7101061892</v>
          </cell>
          <cell r="C449" t="str">
            <v>G2508-2331</v>
          </cell>
          <cell r="D449" t="str">
            <v>000042944160050115</v>
          </cell>
          <cell r="E449" t="str">
            <v>联动环限位螺钉</v>
          </cell>
          <cell r="F449" t="str">
            <v>S15.15.1063N</v>
          </cell>
          <cell r="G449" t="str">
            <v>-</v>
          </cell>
        </row>
        <row r="450">
          <cell r="B450" t="str">
            <v>7101061625</v>
          </cell>
          <cell r="C450" t="str">
            <v>G2205-0783</v>
          </cell>
          <cell r="D450" t="str">
            <v>000042944401001330</v>
          </cell>
          <cell r="E450" t="str">
            <v>平垫圈</v>
          </cell>
          <cell r="F450" t="str">
            <v>Q/S15.1157-2011</v>
          </cell>
          <cell r="G450" t="str">
            <v>D-5.5-12-1</v>
          </cell>
        </row>
        <row r="451">
          <cell r="B451" t="str">
            <v>7101061624</v>
          </cell>
          <cell r="C451" t="str">
            <v>G2112-0933</v>
          </cell>
          <cell r="D451" t="str">
            <v>000042944401001330</v>
          </cell>
          <cell r="E451" t="str">
            <v>平垫圈</v>
          </cell>
          <cell r="F451" t="str">
            <v>Q/S15.1157-2011</v>
          </cell>
          <cell r="G451" t="str">
            <v>D-5.5-12-1</v>
          </cell>
        </row>
        <row r="452">
          <cell r="B452" t="str">
            <v>7101061537</v>
          </cell>
          <cell r="C452" t="str">
            <v>G2508-1047</v>
          </cell>
          <cell r="D452" t="str">
            <v>000042944999000130</v>
          </cell>
          <cell r="E452" t="str">
            <v>轴用钢丝卡圈</v>
          </cell>
          <cell r="F452" t="str">
            <v>11S50214</v>
          </cell>
          <cell r="G452" t="str">
            <v>-</v>
          </cell>
        </row>
        <row r="453">
          <cell r="B453" t="str">
            <v>7101061536</v>
          </cell>
          <cell r="C453" t="str">
            <v>G2504-0226</v>
          </cell>
          <cell r="D453" t="str">
            <v>000042944999000130</v>
          </cell>
          <cell r="E453" t="str">
            <v>轴用钢丝卡圈</v>
          </cell>
          <cell r="F453" t="str">
            <v>11S50214</v>
          </cell>
          <cell r="G453" t="str">
            <v>-</v>
          </cell>
        </row>
        <row r="454">
          <cell r="B454" t="str">
            <v>7101061535</v>
          </cell>
          <cell r="C454" t="str">
            <v>G2511-0722</v>
          </cell>
          <cell r="D454" t="str">
            <v>000042944404000556</v>
          </cell>
          <cell r="E454" t="str">
            <v>角形垂直单耳止动垫圈</v>
          </cell>
          <cell r="F454" t="str">
            <v>Q/S15.1165-2011</v>
          </cell>
          <cell r="G454" t="str">
            <v>A-6-9.5</v>
          </cell>
        </row>
        <row r="455">
          <cell r="B455" t="str">
            <v>7101061534</v>
          </cell>
          <cell r="C455" t="str">
            <v>G2512-0476</v>
          </cell>
          <cell r="D455" t="str">
            <v>000042944404000553</v>
          </cell>
          <cell r="E455" t="str">
            <v>角形垂直单耳止动垫圈</v>
          </cell>
          <cell r="F455" t="str">
            <v>Q/S15.1165-2011</v>
          </cell>
          <cell r="G455" t="str">
            <v>A-6-10</v>
          </cell>
        </row>
        <row r="456">
          <cell r="B456" t="str">
            <v>7101061533</v>
          </cell>
          <cell r="C456" t="str">
            <v>G2509-0283</v>
          </cell>
          <cell r="D456" t="str">
            <v>000042944320014394</v>
          </cell>
          <cell r="E456" t="str">
            <v>圆头铆钉</v>
          </cell>
          <cell r="F456" t="str">
            <v>ΦEU48880</v>
          </cell>
          <cell r="G456" t="str">
            <v>-</v>
          </cell>
        </row>
        <row r="457">
          <cell r="B457" t="str">
            <v>7101061532</v>
          </cell>
          <cell r="C457" t="str">
            <v>G2508-0838</v>
          </cell>
          <cell r="D457" t="str">
            <v>000042944319002116</v>
          </cell>
          <cell r="E457" t="str">
            <v>螺母</v>
          </cell>
          <cell r="F457" t="str">
            <v>S20.00.2063</v>
          </cell>
          <cell r="G457" t="str">
            <v>-</v>
          </cell>
        </row>
        <row r="458">
          <cell r="B458" t="str">
            <v>7101061189</v>
          </cell>
          <cell r="C458" t="str">
            <v>G2509-2235</v>
          </cell>
          <cell r="D458" t="str">
            <v>000042944239075210</v>
          </cell>
          <cell r="E458" t="str">
            <v>D头螺栓</v>
          </cell>
          <cell r="F458" t="str">
            <v>S15.15.1108P</v>
          </cell>
          <cell r="G458" t="str">
            <v>-</v>
          </cell>
        </row>
        <row r="459">
          <cell r="B459" t="str">
            <v>7101061189</v>
          </cell>
          <cell r="C459" t="str">
            <v>G2508-0479</v>
          </cell>
          <cell r="D459" t="str">
            <v>000042944239075210</v>
          </cell>
          <cell r="E459" t="str">
            <v>D头螺栓</v>
          </cell>
          <cell r="F459" t="str">
            <v>S15.15.1108P</v>
          </cell>
          <cell r="G459" t="str">
            <v>-</v>
          </cell>
        </row>
        <row r="460">
          <cell r="B460" t="str">
            <v>7101061188</v>
          </cell>
          <cell r="C460" t="str">
            <v>G2509-2235</v>
          </cell>
          <cell r="D460" t="str">
            <v>000042944239075210</v>
          </cell>
          <cell r="E460" t="str">
            <v>D头螺栓</v>
          </cell>
          <cell r="F460" t="str">
            <v>S15.15.1108P</v>
          </cell>
          <cell r="G460" t="str">
            <v>-</v>
          </cell>
        </row>
        <row r="461">
          <cell r="B461" t="str">
            <v>7101061187</v>
          </cell>
          <cell r="C461" t="str">
            <v>G2507-1507</v>
          </cell>
          <cell r="D461" t="str">
            <v>000042944288002867</v>
          </cell>
          <cell r="E461" t="str">
            <v>加长十二角自锁螺母</v>
          </cell>
          <cell r="F461" t="str">
            <v>ΦU129172</v>
          </cell>
          <cell r="G461" t="str">
            <v>-</v>
          </cell>
        </row>
        <row r="462">
          <cell r="B462" t="str">
            <v>7101060996</v>
          </cell>
          <cell r="C462" t="str">
            <v>G2512-1421</v>
          </cell>
          <cell r="D462" t="str">
            <v>000042944401001328</v>
          </cell>
          <cell r="E462" t="str">
            <v>平垫圈</v>
          </cell>
          <cell r="F462" t="str">
            <v>Q/S15.1157-2011</v>
          </cell>
          <cell r="G462" t="str">
            <v>C-8.5-15-1</v>
          </cell>
        </row>
        <row r="463">
          <cell r="B463" t="str">
            <v>7101060995</v>
          </cell>
          <cell r="C463" t="str">
            <v>G2512-1421</v>
          </cell>
          <cell r="D463" t="str">
            <v>000042944401001328</v>
          </cell>
          <cell r="E463" t="str">
            <v>平垫圈</v>
          </cell>
          <cell r="F463" t="str">
            <v>Q/S15.1157-2011</v>
          </cell>
          <cell r="G463" t="str">
            <v>C-8.5-15-1</v>
          </cell>
        </row>
        <row r="464">
          <cell r="B464" t="str">
            <v>7101060993</v>
          </cell>
          <cell r="C464" t="str">
            <v>G2508-1373</v>
          </cell>
          <cell r="D464" t="str">
            <v>000042944360127104</v>
          </cell>
          <cell r="E464" t="str">
            <v>销子</v>
          </cell>
          <cell r="F464" t="str">
            <v>019155019001</v>
          </cell>
          <cell r="G464" t="str">
            <v>-</v>
          </cell>
        </row>
        <row r="465">
          <cell r="B465" t="str">
            <v>7101060987</v>
          </cell>
          <cell r="C465" t="str">
            <v>G2508-1974</v>
          </cell>
          <cell r="D465" t="str">
            <v>000042944320014383</v>
          </cell>
          <cell r="E465" t="str">
            <v>100°沉头铆钉</v>
          </cell>
          <cell r="F465" t="str">
            <v>ΦAS16692</v>
          </cell>
          <cell r="G465" t="str">
            <v>-</v>
          </cell>
        </row>
        <row r="466">
          <cell r="B466" t="str">
            <v>7101060985</v>
          </cell>
          <cell r="C466" t="str">
            <v>G2504-0349</v>
          </cell>
          <cell r="D466" t="str">
            <v>000042944319002116</v>
          </cell>
          <cell r="E466" t="str">
            <v>螺母</v>
          </cell>
          <cell r="F466" t="str">
            <v>S20.00.2063</v>
          </cell>
          <cell r="G466" t="str">
            <v>-</v>
          </cell>
        </row>
        <row r="467">
          <cell r="B467" t="str">
            <v>7101060968</v>
          </cell>
          <cell r="C467" t="str">
            <v>G2504-0123</v>
          </cell>
          <cell r="D467" t="str">
            <v>000042944240110900</v>
          </cell>
          <cell r="E467" t="str">
            <v>螺桩</v>
          </cell>
          <cell r="F467" t="str">
            <v>11S30121</v>
          </cell>
          <cell r="G467" t="str">
            <v>4</v>
          </cell>
        </row>
        <row r="468">
          <cell r="B468" t="str">
            <v>7101060965</v>
          </cell>
          <cell r="C468" t="str">
            <v>G2504-0123</v>
          </cell>
          <cell r="D468" t="str">
            <v>000042944240110900</v>
          </cell>
          <cell r="E468" t="str">
            <v>螺桩</v>
          </cell>
          <cell r="F468" t="str">
            <v>11S30121</v>
          </cell>
          <cell r="G468" t="str">
            <v>4</v>
          </cell>
        </row>
        <row r="469">
          <cell r="B469" t="str">
            <v>7101060962</v>
          </cell>
          <cell r="C469" t="str">
            <v>G2508-2344</v>
          </cell>
          <cell r="D469" t="str">
            <v>000042944239070159</v>
          </cell>
          <cell r="E469" t="str">
            <v>盘后平衡螺栓</v>
          </cell>
          <cell r="F469" t="str">
            <v>S15.44.1081P</v>
          </cell>
          <cell r="G469" t="str">
            <v>-</v>
          </cell>
        </row>
        <row r="470">
          <cell r="B470" t="str">
            <v>7101060961</v>
          </cell>
          <cell r="C470" t="str">
            <v>G2508-2344</v>
          </cell>
          <cell r="D470" t="str">
            <v>000042944239070159</v>
          </cell>
          <cell r="E470" t="str">
            <v>盘后平衡螺栓</v>
          </cell>
          <cell r="F470" t="str">
            <v>S15.44.1081P</v>
          </cell>
          <cell r="G470" t="str">
            <v>-</v>
          </cell>
        </row>
        <row r="471">
          <cell r="B471" t="str">
            <v>7101060959</v>
          </cell>
          <cell r="C471" t="str">
            <v>G2508-2344</v>
          </cell>
          <cell r="D471" t="str">
            <v>000042944239070159</v>
          </cell>
          <cell r="E471" t="str">
            <v>盘后平衡螺栓</v>
          </cell>
          <cell r="F471" t="str">
            <v>S15.44.1081P</v>
          </cell>
          <cell r="G471" t="str">
            <v>-</v>
          </cell>
        </row>
        <row r="472">
          <cell r="B472" t="str">
            <v>7101060957</v>
          </cell>
          <cell r="C472" t="str">
            <v>G2508-2344</v>
          </cell>
          <cell r="D472" t="str">
            <v>000042944239070159</v>
          </cell>
          <cell r="E472" t="str">
            <v>盘后平衡螺栓</v>
          </cell>
          <cell r="F472" t="str">
            <v>S15.44.1081P</v>
          </cell>
          <cell r="G472" t="str">
            <v>-</v>
          </cell>
        </row>
        <row r="473">
          <cell r="B473" t="str">
            <v>7101060828</v>
          </cell>
          <cell r="C473" t="str">
            <v>G2510-0523</v>
          </cell>
          <cell r="D473" t="str">
            <v>000042944360006172</v>
          </cell>
          <cell r="E473" t="str">
            <v>锥形销</v>
          </cell>
          <cell r="F473" t="str">
            <v>ΦKB3859</v>
          </cell>
          <cell r="G473" t="str">
            <v>-</v>
          </cell>
        </row>
        <row r="474">
          <cell r="B474" t="str">
            <v>7101060795</v>
          </cell>
          <cell r="C474" t="str">
            <v>G2504-1025</v>
          </cell>
          <cell r="D474" t="str">
            <v>000042944000131923</v>
          </cell>
          <cell r="E474" t="str">
            <v>驱动臂衬套</v>
          </cell>
          <cell r="F474" t="str">
            <v>019111009801</v>
          </cell>
          <cell r="G474" t="str">
            <v>-</v>
          </cell>
        </row>
        <row r="475">
          <cell r="B475" t="str">
            <v>7101060705</v>
          </cell>
          <cell r="C475" t="str">
            <v>G02511-045</v>
          </cell>
          <cell r="D475" t="str">
            <v>000042944039037728</v>
          </cell>
          <cell r="E475" t="str">
            <v>锁紧型有折断槽钢丝螺套</v>
          </cell>
          <cell r="F475" t="str">
            <v>GJB5109-2002</v>
          </cell>
          <cell r="G475" t="str">
            <v>5×0.8×6</v>
          </cell>
        </row>
        <row r="476">
          <cell r="B476" t="str">
            <v>7101060688</v>
          </cell>
          <cell r="C476" t="str">
            <v>G2501-2966</v>
          </cell>
          <cell r="D476" t="str">
            <v>000036900000040581</v>
          </cell>
          <cell r="E476" t="str">
            <v>密封圈</v>
          </cell>
          <cell r="F476" t="str">
            <v>11S00225</v>
          </cell>
          <cell r="G476" t="str">
            <v>-</v>
          </cell>
        </row>
        <row r="477">
          <cell r="B477" t="str">
            <v>7101060688</v>
          </cell>
          <cell r="C477" t="str">
            <v>G2503-0607</v>
          </cell>
          <cell r="D477" t="str">
            <v>000036900000040581</v>
          </cell>
          <cell r="E477" t="str">
            <v>密封圈</v>
          </cell>
          <cell r="F477" t="str">
            <v>11S00225</v>
          </cell>
          <cell r="G477" t="str">
            <v>-</v>
          </cell>
        </row>
        <row r="478">
          <cell r="B478" t="str">
            <v>7101060688</v>
          </cell>
          <cell r="C478" t="str">
            <v>G2508-0881</v>
          </cell>
          <cell r="D478" t="str">
            <v>000036900000040581</v>
          </cell>
          <cell r="E478" t="str">
            <v>密封圈</v>
          </cell>
          <cell r="F478" t="str">
            <v>11S00225</v>
          </cell>
          <cell r="G478" t="str">
            <v>-</v>
          </cell>
        </row>
        <row r="479">
          <cell r="B479" t="str">
            <v>7101060678</v>
          </cell>
          <cell r="C479" t="str">
            <v>G2504-2612</v>
          </cell>
          <cell r="D479" t="str">
            <v>000036900000040578</v>
          </cell>
          <cell r="E479" t="str">
            <v>密封圈</v>
          </cell>
          <cell r="F479" t="str">
            <v>11S00178</v>
          </cell>
          <cell r="G479" t="str">
            <v>-</v>
          </cell>
        </row>
        <row r="480">
          <cell r="B480" t="str">
            <v>7101060677</v>
          </cell>
          <cell r="C480" t="str">
            <v>G2504-2612</v>
          </cell>
          <cell r="D480" t="str">
            <v>000036900000040578</v>
          </cell>
          <cell r="E480" t="str">
            <v>密封圈</v>
          </cell>
          <cell r="F480" t="str">
            <v>11S00178</v>
          </cell>
          <cell r="G480" t="str">
            <v>-</v>
          </cell>
        </row>
        <row r="481">
          <cell r="B481" t="str">
            <v>7101060066</v>
          </cell>
          <cell r="C481" t="str">
            <v>G2504-1472</v>
          </cell>
          <cell r="D481" t="str">
            <v>000042944288002863</v>
          </cell>
          <cell r="E481" t="str">
            <v>十二角自锁螺母</v>
          </cell>
          <cell r="F481" t="str">
            <v>ΦU125947</v>
          </cell>
          <cell r="G481" t="str">
            <v>-</v>
          </cell>
        </row>
        <row r="482">
          <cell r="B482" t="str">
            <v>7101060053</v>
          </cell>
          <cell r="C482" t="str">
            <v>G2508-2129</v>
          </cell>
          <cell r="D482" t="str">
            <v>000042944044009164</v>
          </cell>
          <cell r="E482" t="str">
            <v>高扭矩十字槽螺钉</v>
          </cell>
          <cell r="F482" t="str">
            <v>S10.2.1204</v>
          </cell>
          <cell r="G482" t="str">
            <v>-</v>
          </cell>
        </row>
        <row r="483">
          <cell r="B483" t="str">
            <v>7101059665</v>
          </cell>
          <cell r="C483" t="str">
            <v>G2508-0551</v>
          </cell>
          <cell r="D483" t="str">
            <v>000036900000040571</v>
          </cell>
          <cell r="E483" t="str">
            <v>密封圈</v>
          </cell>
          <cell r="F483" t="str">
            <v>11S00015</v>
          </cell>
          <cell r="G483" t="str">
            <v>-</v>
          </cell>
        </row>
        <row r="484">
          <cell r="B484" t="str">
            <v>7101059665</v>
          </cell>
          <cell r="C484" t="str">
            <v>G2508-0896</v>
          </cell>
          <cell r="D484" t="str">
            <v>000036900000040571</v>
          </cell>
          <cell r="E484" t="str">
            <v>密封圈</v>
          </cell>
          <cell r="F484" t="str">
            <v>11S00015</v>
          </cell>
          <cell r="G484" t="str">
            <v>-</v>
          </cell>
        </row>
        <row r="485">
          <cell r="B485" t="str">
            <v>7101059583</v>
          </cell>
          <cell r="C485" t="str">
            <v>G2509-2054</v>
          </cell>
          <cell r="D485" t="str">
            <v>000042944239070158</v>
          </cell>
          <cell r="E485" t="str">
            <v>盘后螺栓</v>
          </cell>
          <cell r="F485" t="str">
            <v>S15.44.1080P</v>
          </cell>
          <cell r="G485" t="str">
            <v>-</v>
          </cell>
        </row>
        <row r="486">
          <cell r="B486" t="str">
            <v>7101059580</v>
          </cell>
          <cell r="C486" t="str">
            <v>G2402-1239</v>
          </cell>
          <cell r="D486" t="str">
            <v>000042944000114546</v>
          </cell>
          <cell r="E486" t="str">
            <v>盘前平衡块</v>
          </cell>
          <cell r="F486" t="str">
            <v>S15.44.1076U</v>
          </cell>
          <cell r="G486" t="str">
            <v>Ⅰ</v>
          </cell>
        </row>
        <row r="487">
          <cell r="B487" t="str">
            <v>7101059578</v>
          </cell>
          <cell r="C487" t="str">
            <v>G2508-1777</v>
          </cell>
          <cell r="D487" t="str">
            <v>000042944239157225</v>
          </cell>
          <cell r="E487" t="str">
            <v>螺栓</v>
          </cell>
          <cell r="F487" t="str">
            <v>S15.15.1119P</v>
          </cell>
          <cell r="G487" t="str">
            <v>-</v>
          </cell>
        </row>
        <row r="488">
          <cell r="B488" t="str">
            <v>7101059576</v>
          </cell>
          <cell r="C488" t="str">
            <v>G2508-1777</v>
          </cell>
          <cell r="D488" t="str">
            <v>000042944239157225</v>
          </cell>
          <cell r="E488" t="str">
            <v>螺栓</v>
          </cell>
          <cell r="F488" t="str">
            <v>S15.15.1119P</v>
          </cell>
          <cell r="G488" t="str">
            <v>-</v>
          </cell>
        </row>
        <row r="489">
          <cell r="B489" t="str">
            <v>7101059572</v>
          </cell>
          <cell r="C489" t="str">
            <v>G2508-2344</v>
          </cell>
          <cell r="D489" t="str">
            <v>000042944239070159</v>
          </cell>
          <cell r="E489" t="str">
            <v>盘后平衡螺栓</v>
          </cell>
          <cell r="F489" t="str">
            <v>S15.44.1081P</v>
          </cell>
          <cell r="G489" t="str">
            <v>-</v>
          </cell>
        </row>
        <row r="490">
          <cell r="B490" t="str">
            <v>7101059570</v>
          </cell>
          <cell r="C490" t="str">
            <v>G2508-2344</v>
          </cell>
          <cell r="D490" t="str">
            <v>000042944239070159</v>
          </cell>
          <cell r="E490" t="str">
            <v>盘后平衡螺栓</v>
          </cell>
          <cell r="F490" t="str">
            <v>S15.44.1081P</v>
          </cell>
          <cell r="G490" t="str">
            <v>-</v>
          </cell>
        </row>
        <row r="491">
          <cell r="B491" t="str">
            <v>7101059486</v>
          </cell>
          <cell r="C491" t="str">
            <v>G2508-1373</v>
          </cell>
          <cell r="D491" t="str">
            <v>000042944360127104</v>
          </cell>
          <cell r="E491" t="str">
            <v>销子</v>
          </cell>
          <cell r="F491" t="str">
            <v>019155019001</v>
          </cell>
          <cell r="G491" t="str">
            <v>-</v>
          </cell>
        </row>
        <row r="492">
          <cell r="B492" t="str">
            <v>7101059300</v>
          </cell>
          <cell r="C492" t="str">
            <v>G2512-0325</v>
          </cell>
          <cell r="D492" t="str">
            <v>000042944401001328</v>
          </cell>
          <cell r="E492" t="str">
            <v>平垫圈</v>
          </cell>
          <cell r="F492" t="str">
            <v>Q/S15.1157-2011</v>
          </cell>
          <cell r="G492" t="str">
            <v>C-8.5-15-1</v>
          </cell>
        </row>
        <row r="493">
          <cell r="B493" t="str">
            <v>7101058496</v>
          </cell>
          <cell r="C493" t="str">
            <v>G2504-2608</v>
          </cell>
          <cell r="D493" t="str">
            <v>000036900000040573</v>
          </cell>
          <cell r="E493" t="str">
            <v>密封圈</v>
          </cell>
          <cell r="F493" t="str">
            <v>11S00037</v>
          </cell>
          <cell r="G493" t="str">
            <v>-</v>
          </cell>
        </row>
        <row r="494">
          <cell r="B494" t="str">
            <v>7101058494</v>
          </cell>
          <cell r="C494" t="str">
            <v>G2504-2608</v>
          </cell>
          <cell r="D494" t="str">
            <v>000036900000040573</v>
          </cell>
          <cell r="E494" t="str">
            <v>密封圈</v>
          </cell>
          <cell r="F494" t="str">
            <v>11S00037</v>
          </cell>
          <cell r="G494" t="str">
            <v>-</v>
          </cell>
        </row>
        <row r="495">
          <cell r="B495" t="str">
            <v>7101058280</v>
          </cell>
          <cell r="C495" t="str">
            <v>G2510-0354</v>
          </cell>
          <cell r="D495" t="str">
            <v>000042944000125319</v>
          </cell>
          <cell r="E495" t="str">
            <v>定距套F</v>
          </cell>
          <cell r="F495" t="str">
            <v>019154161502</v>
          </cell>
          <cell r="G495" t="str">
            <v>-</v>
          </cell>
        </row>
        <row r="496">
          <cell r="B496" t="str">
            <v>7101057786</v>
          </cell>
          <cell r="C496" t="str">
            <v>G2406-1765</v>
          </cell>
          <cell r="D496" t="str">
            <v>000036900000040572</v>
          </cell>
          <cell r="E496" t="str">
            <v>密封圈</v>
          </cell>
          <cell r="F496" t="str">
            <v>11S00016</v>
          </cell>
          <cell r="G496" t="str">
            <v>-</v>
          </cell>
        </row>
        <row r="497">
          <cell r="B497" t="str">
            <v>7101057764</v>
          </cell>
          <cell r="C497" t="str">
            <v>G2507-1183</v>
          </cell>
          <cell r="D497" t="str">
            <v>000042944439127335</v>
          </cell>
          <cell r="E497" t="str">
            <v>垫片</v>
          </cell>
          <cell r="F497" t="str">
            <v>D28.06.061387</v>
          </cell>
          <cell r="G497" t="str">
            <v>-</v>
          </cell>
        </row>
        <row r="498">
          <cell r="B498" t="str">
            <v>7101057762</v>
          </cell>
          <cell r="C498" t="str">
            <v>G2401-2414</v>
          </cell>
          <cell r="D498" t="str">
            <v>000042944439127333</v>
          </cell>
          <cell r="E498" t="str">
            <v>垫片</v>
          </cell>
          <cell r="F498" t="str">
            <v>D28.06.060071</v>
          </cell>
          <cell r="G498" t="str">
            <v>-</v>
          </cell>
        </row>
        <row r="499">
          <cell r="B499" t="str">
            <v>7101057706</v>
          </cell>
          <cell r="C499" t="str">
            <v>G2512-0466</v>
          </cell>
          <cell r="D499" t="str">
            <v>000042944404000548</v>
          </cell>
          <cell r="E499" t="str">
            <v>角形垂直单耳止动垫圈</v>
          </cell>
          <cell r="F499" t="str">
            <v>Q/S15.1165-2011</v>
          </cell>
          <cell r="G499" t="str">
            <v>5-10</v>
          </cell>
        </row>
        <row r="500">
          <cell r="B500" t="str">
            <v>7101057706</v>
          </cell>
          <cell r="C500" t="str">
            <v>G2509-1285</v>
          </cell>
          <cell r="D500" t="str">
            <v>000042944404000548</v>
          </cell>
          <cell r="E500" t="str">
            <v>角形垂直单耳止动垫圈</v>
          </cell>
          <cell r="F500" t="str">
            <v>Q/S15.1165-2011</v>
          </cell>
          <cell r="G500" t="str">
            <v>5-10</v>
          </cell>
        </row>
        <row r="501">
          <cell r="B501" t="str">
            <v>7101057065</v>
          </cell>
          <cell r="C501" t="str">
            <v>G2504-1682</v>
          </cell>
          <cell r="D501" t="str">
            <v>000042944401041117</v>
          </cell>
          <cell r="E501" t="str">
            <v>孔用弹性挡圈</v>
          </cell>
          <cell r="F501" t="str">
            <v>11S50188</v>
          </cell>
          <cell r="G501" t="str">
            <v>-</v>
          </cell>
        </row>
        <row r="502">
          <cell r="B502" t="str">
            <v>7101057065</v>
          </cell>
          <cell r="C502" t="str">
            <v>G2504-1682</v>
          </cell>
          <cell r="D502" t="str">
            <v>000042944401041117</v>
          </cell>
          <cell r="E502" t="str">
            <v>孔用弹性挡圈</v>
          </cell>
          <cell r="F502" t="str">
            <v>11S50188</v>
          </cell>
          <cell r="G502" t="str">
            <v>-</v>
          </cell>
        </row>
        <row r="503">
          <cell r="B503" t="str">
            <v>7101057063</v>
          </cell>
          <cell r="C503" t="str">
            <v>G2504-1682</v>
          </cell>
          <cell r="D503" t="str">
            <v>000042944401041117</v>
          </cell>
          <cell r="E503" t="str">
            <v>孔用弹性挡圈</v>
          </cell>
          <cell r="F503" t="str">
            <v>11S50188</v>
          </cell>
          <cell r="G503" t="str">
            <v>-</v>
          </cell>
        </row>
        <row r="504">
          <cell r="B504" t="str">
            <v>7101057063</v>
          </cell>
          <cell r="C504" t="str">
            <v>G2504-1682</v>
          </cell>
          <cell r="D504" t="str">
            <v>000042944401041117</v>
          </cell>
          <cell r="E504" t="str">
            <v>孔用弹性挡圈</v>
          </cell>
          <cell r="F504" t="str">
            <v>11S50188</v>
          </cell>
          <cell r="G504" t="str">
            <v>-</v>
          </cell>
        </row>
        <row r="505">
          <cell r="B505" t="str">
            <v>7101056972</v>
          </cell>
          <cell r="C505" t="str">
            <v>G2504-4399</v>
          </cell>
          <cell r="D505" t="str">
            <v>000042944288000017</v>
          </cell>
          <cell r="E505" t="str">
            <v>六角自锁螺母</v>
          </cell>
          <cell r="F505" t="str">
            <v>11S40100</v>
          </cell>
          <cell r="G505" t="str">
            <v>-</v>
          </cell>
        </row>
        <row r="506">
          <cell r="B506" t="str">
            <v>7101056972</v>
          </cell>
          <cell r="C506" t="str">
            <v>G2504-4399</v>
          </cell>
          <cell r="D506" t="str">
            <v>000042944288000017</v>
          </cell>
          <cell r="E506" t="str">
            <v>六角自锁螺母</v>
          </cell>
          <cell r="F506" t="str">
            <v>11S40100</v>
          </cell>
          <cell r="G506" t="str">
            <v>-</v>
          </cell>
        </row>
        <row r="507">
          <cell r="B507" t="str">
            <v>7101056905</v>
          </cell>
          <cell r="C507" t="str">
            <v>G2504-2613</v>
          </cell>
          <cell r="D507" t="str">
            <v>000036900000040580</v>
          </cell>
          <cell r="E507" t="str">
            <v>密封圈</v>
          </cell>
          <cell r="F507" t="str">
            <v>11S00222</v>
          </cell>
          <cell r="G507" t="str">
            <v>-</v>
          </cell>
        </row>
        <row r="508">
          <cell r="B508" t="str">
            <v>7101056901</v>
          </cell>
          <cell r="C508" t="str">
            <v>G2504-2611</v>
          </cell>
          <cell r="D508" t="str">
            <v>000036900000040577</v>
          </cell>
          <cell r="E508" t="str">
            <v>密封圈</v>
          </cell>
          <cell r="F508" t="str">
            <v>11S00177</v>
          </cell>
          <cell r="G508" t="str">
            <v>-</v>
          </cell>
        </row>
        <row r="509">
          <cell r="B509" t="str">
            <v>7101056900</v>
          </cell>
          <cell r="C509" t="str">
            <v>G2504-2610</v>
          </cell>
          <cell r="D509" t="str">
            <v>000036900000040576</v>
          </cell>
          <cell r="E509" t="str">
            <v>密封圈</v>
          </cell>
          <cell r="F509" t="str">
            <v>11S00125</v>
          </cell>
          <cell r="G509" t="str">
            <v>-</v>
          </cell>
        </row>
        <row r="510">
          <cell r="B510" t="str">
            <v>7101056898</v>
          </cell>
          <cell r="C510" t="str">
            <v>G2505-0335</v>
          </cell>
          <cell r="D510" t="str">
            <v>000036200000061556</v>
          </cell>
          <cell r="E510" t="str">
            <v>密封圈</v>
          </cell>
          <cell r="F510" t="str">
            <v>11S00166</v>
          </cell>
          <cell r="G510" t="str">
            <v>-</v>
          </cell>
        </row>
        <row r="511">
          <cell r="B511" t="str">
            <v>7101056892</v>
          </cell>
          <cell r="C511" t="str">
            <v>G2504-2563</v>
          </cell>
          <cell r="D511" t="str">
            <v>000036200000061554</v>
          </cell>
          <cell r="E511" t="str">
            <v>密封圈</v>
          </cell>
          <cell r="F511" t="str">
            <v>11S00030</v>
          </cell>
          <cell r="G511" t="str">
            <v>-</v>
          </cell>
        </row>
        <row r="512">
          <cell r="B512" t="str">
            <v>7101056421</v>
          </cell>
          <cell r="C512" t="str">
            <v>G2502-2779</v>
          </cell>
          <cell r="D512" t="str">
            <v>000042944319002496</v>
          </cell>
          <cell r="E512" t="str">
            <v>外套螺母</v>
          </cell>
          <cell r="F512" t="str">
            <v>ΦEU40090</v>
          </cell>
          <cell r="G512" t="str">
            <v>-</v>
          </cell>
        </row>
        <row r="513">
          <cell r="B513" t="str">
            <v>7101054596</v>
          </cell>
          <cell r="C513" t="str">
            <v>G2511-0721</v>
          </cell>
          <cell r="D513" t="str">
            <v>000042944404000550</v>
          </cell>
          <cell r="E513" t="str">
            <v>角型垂直单耳止动垫圈</v>
          </cell>
          <cell r="F513" t="str">
            <v>Q/S15.1165-2011</v>
          </cell>
          <cell r="G513" t="str">
            <v>6-12</v>
          </cell>
        </row>
        <row r="514">
          <cell r="B514" t="str">
            <v>7101054593</v>
          </cell>
          <cell r="C514" t="str">
            <v>G2509-2054</v>
          </cell>
          <cell r="D514" t="str">
            <v>000042944239070158</v>
          </cell>
          <cell r="E514" t="str">
            <v>盘后螺栓</v>
          </cell>
          <cell r="F514" t="str">
            <v>S15.44.1080P</v>
          </cell>
          <cell r="G514" t="str">
            <v>-</v>
          </cell>
        </row>
        <row r="515">
          <cell r="B515" t="str">
            <v>7101054578</v>
          </cell>
          <cell r="C515" t="str">
            <v>G2511-0709</v>
          </cell>
          <cell r="D515" t="str">
            <v>000042944440122844</v>
          </cell>
          <cell r="E515" t="str">
            <v>挡圈</v>
          </cell>
          <cell r="F515" t="str">
            <v>S15.34.1063UA</v>
          </cell>
          <cell r="G515" t="str">
            <v>-</v>
          </cell>
        </row>
        <row r="516">
          <cell r="B516" t="str">
            <v>7101054577</v>
          </cell>
          <cell r="C516" t="str">
            <v>G2511-0709</v>
          </cell>
          <cell r="D516" t="str">
            <v>000042944440122844</v>
          </cell>
          <cell r="E516" t="str">
            <v>挡圈</v>
          </cell>
          <cell r="F516" t="str">
            <v>S15.34.1063UA</v>
          </cell>
          <cell r="G516" t="str">
            <v>-</v>
          </cell>
        </row>
        <row r="517">
          <cell r="B517" t="str">
            <v>7101054576</v>
          </cell>
          <cell r="C517" t="str">
            <v>G2510-0176</v>
          </cell>
          <cell r="D517" t="str">
            <v>000042944239064371</v>
          </cell>
          <cell r="E517" t="str">
            <v>螺栓</v>
          </cell>
          <cell r="F517" t="str">
            <v>11S10413</v>
          </cell>
          <cell r="G517" t="str">
            <v>-</v>
          </cell>
        </row>
        <row r="518">
          <cell r="B518" t="str">
            <v>7101054575</v>
          </cell>
          <cell r="C518" t="str">
            <v>G2508-2355</v>
          </cell>
          <cell r="D518" t="str">
            <v>000042944239157225</v>
          </cell>
          <cell r="E518" t="str">
            <v>螺栓</v>
          </cell>
          <cell r="F518" t="str">
            <v>S15.15.1119P</v>
          </cell>
          <cell r="G518" t="str">
            <v>-</v>
          </cell>
        </row>
        <row r="519">
          <cell r="B519" t="str">
            <v>7101054574</v>
          </cell>
          <cell r="C519" t="str">
            <v>G2509-3107</v>
          </cell>
          <cell r="D519" t="str">
            <v>000042944288002044</v>
          </cell>
          <cell r="E519" t="str">
            <v>MJ螺纹十二角自锁螺母</v>
          </cell>
          <cell r="F519" t="str">
            <v>Q/S15.1103-2011</v>
          </cell>
          <cell r="G519" t="str">
            <v>8</v>
          </cell>
        </row>
        <row r="520">
          <cell r="B520" t="str">
            <v>7101054573</v>
          </cell>
          <cell r="C520" t="str">
            <v>G2504-0132</v>
          </cell>
          <cell r="D520" t="str">
            <v>000042944288002044</v>
          </cell>
          <cell r="E520" t="str">
            <v>MJ螺纹十二角自锁螺母</v>
          </cell>
          <cell r="F520" t="str">
            <v>Q/S15.1103-2011</v>
          </cell>
          <cell r="G520" t="str">
            <v>8</v>
          </cell>
        </row>
        <row r="521">
          <cell r="B521" t="str">
            <v>7101054570</v>
          </cell>
          <cell r="C521" t="str">
            <v>G2509-1469</v>
          </cell>
          <cell r="D521" t="str">
            <v>000042944000131919</v>
          </cell>
          <cell r="E521" t="str">
            <v>导叶衬垫</v>
          </cell>
          <cell r="F521" t="str">
            <v>019111009701</v>
          </cell>
          <cell r="G521" t="str">
            <v>Ⅰ</v>
          </cell>
        </row>
        <row r="522">
          <cell r="B522" t="str">
            <v>7101054567</v>
          </cell>
          <cell r="C522" t="str">
            <v>G2509-1469</v>
          </cell>
          <cell r="D522" t="str">
            <v>000042944000131919</v>
          </cell>
          <cell r="E522" t="str">
            <v>导叶衬垫</v>
          </cell>
          <cell r="F522" t="str">
            <v>019111009701</v>
          </cell>
          <cell r="G522" t="str">
            <v>Ⅰ</v>
          </cell>
        </row>
        <row r="523">
          <cell r="B523" t="str">
            <v>7101054566</v>
          </cell>
          <cell r="C523" t="str">
            <v>G2510-0195</v>
          </cell>
          <cell r="D523" t="str">
            <v>000042944000131922</v>
          </cell>
          <cell r="E523" t="str">
            <v>导叶衬垫</v>
          </cell>
          <cell r="F523" t="str">
            <v>019111009701</v>
          </cell>
          <cell r="G523" t="str">
            <v>Ⅴ</v>
          </cell>
        </row>
        <row r="524">
          <cell r="B524" t="str">
            <v>7101054560</v>
          </cell>
          <cell r="C524" t="str">
            <v>G2510-0176</v>
          </cell>
          <cell r="D524" t="str">
            <v>000042944239064371</v>
          </cell>
          <cell r="E524" t="str">
            <v>螺栓</v>
          </cell>
          <cell r="F524" t="str">
            <v>11S10413</v>
          </cell>
          <cell r="G524" t="str">
            <v>-</v>
          </cell>
        </row>
        <row r="525">
          <cell r="B525" t="str">
            <v>7101054540</v>
          </cell>
          <cell r="C525" t="str">
            <v>G2511-0709</v>
          </cell>
          <cell r="D525" t="str">
            <v>000042944440122844</v>
          </cell>
          <cell r="E525" t="str">
            <v>挡圈</v>
          </cell>
          <cell r="F525" t="str">
            <v>S15.34.1063UA</v>
          </cell>
          <cell r="G525" t="str">
            <v>-</v>
          </cell>
        </row>
        <row r="526">
          <cell r="B526" t="str">
            <v>7101054539</v>
          </cell>
          <cell r="C526" t="str">
            <v>G2511-0709</v>
          </cell>
          <cell r="D526" t="str">
            <v>000042944440122844</v>
          </cell>
          <cell r="E526" t="str">
            <v>挡圈</v>
          </cell>
          <cell r="F526" t="str">
            <v>S15.34.1063UA</v>
          </cell>
          <cell r="G526" t="str">
            <v>-</v>
          </cell>
        </row>
        <row r="527">
          <cell r="B527" t="str">
            <v>7101054537</v>
          </cell>
          <cell r="C527" t="str">
            <v>G2511-0709</v>
          </cell>
          <cell r="D527" t="str">
            <v>000042944440122844</v>
          </cell>
          <cell r="E527" t="str">
            <v>挡圈</v>
          </cell>
          <cell r="F527" t="str">
            <v>S15.34.1063UA</v>
          </cell>
          <cell r="G527" t="str">
            <v>-</v>
          </cell>
        </row>
        <row r="528">
          <cell r="B528" t="str">
            <v>7101054535</v>
          </cell>
          <cell r="C528" t="str">
            <v>G2511-0709</v>
          </cell>
          <cell r="D528" t="str">
            <v>000042944440122844</v>
          </cell>
          <cell r="E528" t="str">
            <v>挡圈</v>
          </cell>
          <cell r="F528" t="str">
            <v>S15.34.1063UA</v>
          </cell>
          <cell r="G528" t="str">
            <v>-</v>
          </cell>
        </row>
        <row r="529">
          <cell r="B529" t="str">
            <v>7101054534</v>
          </cell>
          <cell r="C529" t="str">
            <v>G2511-0709</v>
          </cell>
          <cell r="D529" t="str">
            <v>000042944440122844</v>
          </cell>
          <cell r="E529" t="str">
            <v>挡圈</v>
          </cell>
          <cell r="F529" t="str">
            <v>S15.34.1063UA</v>
          </cell>
          <cell r="G529" t="str">
            <v>-</v>
          </cell>
        </row>
        <row r="530">
          <cell r="B530" t="str">
            <v>7101054531</v>
          </cell>
          <cell r="C530" t="str">
            <v>G2511-0709</v>
          </cell>
          <cell r="D530" t="str">
            <v>000042944440122844</v>
          </cell>
          <cell r="E530" t="str">
            <v>挡圈</v>
          </cell>
          <cell r="F530" t="str">
            <v>S15.34.1063UA</v>
          </cell>
          <cell r="G530" t="str">
            <v>-</v>
          </cell>
        </row>
        <row r="531">
          <cell r="B531" t="str">
            <v>7101054530</v>
          </cell>
          <cell r="C531" t="str">
            <v>G2511-0709</v>
          </cell>
          <cell r="D531" t="str">
            <v>000042944440122844</v>
          </cell>
          <cell r="E531" t="str">
            <v>挡圈</v>
          </cell>
          <cell r="F531" t="str">
            <v>S15.34.1063UA</v>
          </cell>
          <cell r="G531" t="str">
            <v>-</v>
          </cell>
        </row>
        <row r="532">
          <cell r="B532" t="str">
            <v>7101054527</v>
          </cell>
          <cell r="C532" t="str">
            <v>G2505-0157</v>
          </cell>
          <cell r="D532" t="str">
            <v>000042944401001330</v>
          </cell>
          <cell r="E532" t="str">
            <v>平垫圈</v>
          </cell>
          <cell r="F532" t="str">
            <v>Q/S15.1157-2011</v>
          </cell>
          <cell r="G532" t="str">
            <v>D-5.5-12-1</v>
          </cell>
        </row>
        <row r="533">
          <cell r="B533" t="str">
            <v>7101054527</v>
          </cell>
          <cell r="C533" t="str">
            <v>G2510-0383</v>
          </cell>
          <cell r="D533" t="str">
            <v>000042944401001330</v>
          </cell>
          <cell r="E533" t="str">
            <v>平垫圈</v>
          </cell>
          <cell r="F533" t="str">
            <v>Q/S15.1157-2011</v>
          </cell>
          <cell r="G533" t="str">
            <v>D-5.5-12-1</v>
          </cell>
        </row>
        <row r="534">
          <cell r="B534" t="str">
            <v>7101054526</v>
          </cell>
          <cell r="C534" t="str">
            <v>G2302-1501</v>
          </cell>
          <cell r="D534" t="str">
            <v>000042944401001330</v>
          </cell>
          <cell r="E534" t="str">
            <v>平垫圈</v>
          </cell>
          <cell r="F534" t="str">
            <v>Q/S15.1157-2011</v>
          </cell>
          <cell r="G534" t="str">
            <v>D-5.5-12-1</v>
          </cell>
        </row>
        <row r="535">
          <cell r="B535" t="str">
            <v>7101054526</v>
          </cell>
          <cell r="C535" t="str">
            <v>G2507-0938</v>
          </cell>
          <cell r="D535" t="str">
            <v>000042944401001330</v>
          </cell>
          <cell r="E535" t="str">
            <v>平垫圈</v>
          </cell>
          <cell r="F535" t="str">
            <v>Q/S15.1157-2011</v>
          </cell>
          <cell r="G535" t="str">
            <v>D-5.5-12-1</v>
          </cell>
        </row>
        <row r="536">
          <cell r="B536" t="str">
            <v>7101054524</v>
          </cell>
          <cell r="C536" t="str">
            <v>G2512-0475</v>
          </cell>
          <cell r="D536" t="str">
            <v>000042944401001327</v>
          </cell>
          <cell r="E536" t="str">
            <v>平垫圈</v>
          </cell>
          <cell r="F536" t="str">
            <v>Q/S15.1157-2011</v>
          </cell>
          <cell r="G536" t="str">
            <v>C-6.5-12-1</v>
          </cell>
        </row>
        <row r="537">
          <cell r="B537" t="str">
            <v>7101054522</v>
          </cell>
          <cell r="C537" t="str">
            <v>G2508-2372</v>
          </cell>
          <cell r="D537" t="str">
            <v>000042944360070153</v>
          </cell>
          <cell r="E537" t="str">
            <v>涡轮外环销子</v>
          </cell>
          <cell r="F537" t="str">
            <v>S15.44.1036P</v>
          </cell>
          <cell r="G537" t="str">
            <v>-</v>
          </cell>
        </row>
        <row r="538">
          <cell r="B538" t="str">
            <v>7101053075</v>
          </cell>
          <cell r="C538" t="str">
            <v>G2502-0390</v>
          </cell>
          <cell r="D538" t="str">
            <v>000042944044009164</v>
          </cell>
          <cell r="E538" t="str">
            <v>高扭矩十字槽螺钉</v>
          </cell>
          <cell r="F538" t="str">
            <v>S10.2.1204</v>
          </cell>
          <cell r="G538" t="str">
            <v>-</v>
          </cell>
        </row>
        <row r="539">
          <cell r="B539" t="str">
            <v>7101053024</v>
          </cell>
          <cell r="C539" t="str">
            <v>G2502-0836</v>
          </cell>
          <cell r="D539" t="str">
            <v>000042944320126745</v>
          </cell>
          <cell r="E539" t="str">
            <v>A8调节片中铆钉</v>
          </cell>
          <cell r="F539" t="str">
            <v>019155039001</v>
          </cell>
          <cell r="G539" t="str">
            <v>-</v>
          </cell>
        </row>
        <row r="540">
          <cell r="B540" t="str">
            <v>7101053023</v>
          </cell>
          <cell r="C540" t="str">
            <v>G2512-0326</v>
          </cell>
          <cell r="D540" t="str">
            <v>000042944401001330</v>
          </cell>
          <cell r="E540" t="str">
            <v>平垫圈</v>
          </cell>
          <cell r="F540" t="str">
            <v>Q/S15.1157-2011</v>
          </cell>
          <cell r="G540" t="str">
            <v>D-5.5-12-1</v>
          </cell>
        </row>
        <row r="541">
          <cell r="B541" t="str">
            <v>7101053022</v>
          </cell>
          <cell r="C541" t="str">
            <v>G2512-0326</v>
          </cell>
          <cell r="D541" t="str">
            <v>000042944401001330</v>
          </cell>
          <cell r="E541" t="str">
            <v>平垫圈</v>
          </cell>
          <cell r="F541" t="str">
            <v>Q/S15.1157-2011</v>
          </cell>
          <cell r="G541" t="str">
            <v>D-5.5-12-1</v>
          </cell>
        </row>
        <row r="542">
          <cell r="B542" t="str">
            <v>7101050971</v>
          </cell>
          <cell r="C542" t="str">
            <v>G2508-1025</v>
          </cell>
          <cell r="D542" t="str">
            <v>000042944000113881</v>
          </cell>
          <cell r="E542" t="str">
            <v>支架调整垫</v>
          </cell>
          <cell r="F542" t="str">
            <v>019111003001</v>
          </cell>
          <cell r="G542" t="str">
            <v>Ⅳ</v>
          </cell>
        </row>
        <row r="543">
          <cell r="B543" t="str">
            <v>7101050963</v>
          </cell>
          <cell r="C543" t="str">
            <v>G2508-2491</v>
          </cell>
          <cell r="D543" t="str">
            <v>000042944239093127</v>
          </cell>
          <cell r="E543" t="str">
            <v>精密螺栓</v>
          </cell>
          <cell r="F543" t="str">
            <v>S15.15.1087N</v>
          </cell>
          <cell r="G543" t="str">
            <v>-</v>
          </cell>
        </row>
        <row r="544">
          <cell r="B544" t="str">
            <v>7101050961</v>
          </cell>
          <cell r="C544" t="str">
            <v>G2412-3278</v>
          </cell>
          <cell r="D544" t="str">
            <v>000042944000131918</v>
          </cell>
          <cell r="E544" t="str">
            <v>导叶衬垫</v>
          </cell>
          <cell r="F544" t="str">
            <v>019111009701</v>
          </cell>
          <cell r="G544" t="str">
            <v>Ⅳ</v>
          </cell>
        </row>
        <row r="545">
          <cell r="B545" t="str">
            <v>7101050957</v>
          </cell>
          <cell r="C545" t="str">
            <v>G2508-1025</v>
          </cell>
          <cell r="D545" t="str">
            <v>000042944000113881</v>
          </cell>
          <cell r="E545" t="str">
            <v>支架调整垫</v>
          </cell>
          <cell r="F545" t="str">
            <v>019111003001</v>
          </cell>
          <cell r="G545" t="str">
            <v>Ⅳ</v>
          </cell>
        </row>
        <row r="546">
          <cell r="B546" t="str">
            <v>7101050955</v>
          </cell>
          <cell r="C546" t="str">
            <v>G2508-1026</v>
          </cell>
          <cell r="D546" t="str">
            <v>000042944000113882</v>
          </cell>
          <cell r="E546" t="str">
            <v>支架调整垫</v>
          </cell>
          <cell r="F546" t="str">
            <v>019111003001</v>
          </cell>
          <cell r="G546" t="str">
            <v>Ⅴ</v>
          </cell>
        </row>
        <row r="547">
          <cell r="B547" t="str">
            <v>7101050951</v>
          </cell>
          <cell r="C547" t="str">
            <v>G2509-1407</v>
          </cell>
          <cell r="D547" t="str">
            <v>000042944281004787</v>
          </cell>
          <cell r="E547" t="str">
            <v>六角螺母</v>
          </cell>
          <cell r="F547" t="str">
            <v>S20.4.2003</v>
          </cell>
          <cell r="G547" t="str">
            <v>-</v>
          </cell>
        </row>
        <row r="548">
          <cell r="B548" t="str">
            <v>7101050949</v>
          </cell>
          <cell r="C548" t="str">
            <v>G2510-1584</v>
          </cell>
          <cell r="D548" t="str">
            <v>000042944319075213</v>
          </cell>
          <cell r="E548" t="str">
            <v>托板螺母</v>
          </cell>
          <cell r="F548" t="str">
            <v>S15.15.1155P</v>
          </cell>
          <cell r="G548" t="str">
            <v>-</v>
          </cell>
        </row>
        <row r="549">
          <cell r="B549" t="str">
            <v>7101050945</v>
          </cell>
          <cell r="C549" t="str">
            <v>G2511-0713</v>
          </cell>
          <cell r="D549" t="str">
            <v>000042944404000554</v>
          </cell>
          <cell r="E549" t="str">
            <v>角形垂直单耳止动垫圈</v>
          </cell>
          <cell r="F549" t="str">
            <v>Q/S15.1165-2011</v>
          </cell>
          <cell r="G549" t="str">
            <v>A-6-12</v>
          </cell>
        </row>
        <row r="550">
          <cell r="B550" t="str">
            <v>7101050941</v>
          </cell>
          <cell r="C550" t="str">
            <v>G2510-1584</v>
          </cell>
          <cell r="D550" t="str">
            <v>000042944319075213</v>
          </cell>
          <cell r="E550" t="str">
            <v>托板螺母</v>
          </cell>
          <cell r="F550" t="str">
            <v>S15.15.1155P</v>
          </cell>
          <cell r="G550" t="str">
            <v>-</v>
          </cell>
        </row>
        <row r="551">
          <cell r="B551" t="str">
            <v>7101050934</v>
          </cell>
          <cell r="C551" t="str">
            <v>G2511-0713</v>
          </cell>
          <cell r="D551" t="str">
            <v>000042944404000554</v>
          </cell>
          <cell r="E551" t="str">
            <v>角形垂直单耳止动垫圈</v>
          </cell>
          <cell r="F551" t="str">
            <v>Q/S15.1165-2011</v>
          </cell>
          <cell r="G551" t="str">
            <v>A-6-12</v>
          </cell>
        </row>
        <row r="552">
          <cell r="B552" t="str">
            <v>7101050563</v>
          </cell>
          <cell r="C552" t="str">
            <v>G2509-1782</v>
          </cell>
          <cell r="D552" t="str">
            <v>000042944320145485</v>
          </cell>
          <cell r="E552" t="str">
            <v>沉头铆钉</v>
          </cell>
          <cell r="F552" t="str">
            <v>019155038101</v>
          </cell>
          <cell r="G552" t="str">
            <v>-</v>
          </cell>
        </row>
        <row r="553">
          <cell r="B553" t="str">
            <v>7101050562</v>
          </cell>
          <cell r="C553" t="str">
            <v>G2509-1782</v>
          </cell>
          <cell r="D553" t="str">
            <v>000042944320145485</v>
          </cell>
          <cell r="E553" t="str">
            <v>沉头铆钉</v>
          </cell>
          <cell r="F553" t="str">
            <v>019155038101</v>
          </cell>
          <cell r="G553" t="str">
            <v>-</v>
          </cell>
        </row>
        <row r="554">
          <cell r="B554" t="str">
            <v>7101047213</v>
          </cell>
          <cell r="C554" t="str">
            <v>G2511-0721</v>
          </cell>
          <cell r="D554" t="str">
            <v>000042944404000550</v>
          </cell>
          <cell r="E554" t="str">
            <v>角型垂直单耳止动垫圈</v>
          </cell>
          <cell r="F554" t="str">
            <v>Q/S15.1165-2011</v>
          </cell>
          <cell r="G554" t="str">
            <v>6-12</v>
          </cell>
        </row>
        <row r="555">
          <cell r="B555" t="str">
            <v>7101047212</v>
          </cell>
          <cell r="C555" t="str">
            <v>G2511-0721</v>
          </cell>
          <cell r="D555" t="str">
            <v>000042944404000550</v>
          </cell>
          <cell r="E555" t="str">
            <v>角型垂直单耳止动垫圈</v>
          </cell>
          <cell r="F555" t="str">
            <v>Q/S15.1165-2011</v>
          </cell>
          <cell r="G555" t="str">
            <v>6-12</v>
          </cell>
        </row>
        <row r="556">
          <cell r="B556" t="str">
            <v>7101047210</v>
          </cell>
          <cell r="C556" t="str">
            <v>G2511-0721</v>
          </cell>
          <cell r="D556" t="str">
            <v>000042944404000550</v>
          </cell>
          <cell r="E556" t="str">
            <v>角型垂直单耳止动垫圈</v>
          </cell>
          <cell r="F556" t="str">
            <v>Q/S15.1165-2011</v>
          </cell>
          <cell r="G556" t="str">
            <v>6-12</v>
          </cell>
        </row>
        <row r="557">
          <cell r="B557" t="str">
            <v>7101047204</v>
          </cell>
          <cell r="C557" t="str">
            <v>G2502-0858</v>
          </cell>
          <cell r="D557" t="str">
            <v>000042944360070120</v>
          </cell>
          <cell r="E557" t="str">
            <v>内机匣销</v>
          </cell>
          <cell r="F557" t="str">
            <v>S15.15.1030P</v>
          </cell>
          <cell r="G557" t="str">
            <v>Ⅰ</v>
          </cell>
        </row>
        <row r="558">
          <cell r="B558" t="str">
            <v>7101047201</v>
          </cell>
          <cell r="C558" t="str">
            <v>G2502-2939</v>
          </cell>
          <cell r="D558" t="str">
            <v>000042944360005927</v>
          </cell>
          <cell r="E558" t="str">
            <v>连接销</v>
          </cell>
          <cell r="F558" t="str">
            <v>S20.00.2009</v>
          </cell>
          <cell r="G558" t="str">
            <v>-</v>
          </cell>
        </row>
        <row r="559">
          <cell r="B559" t="str">
            <v>7101047165</v>
          </cell>
          <cell r="C559" t="str">
            <v>G2504-1496</v>
          </cell>
          <cell r="D559" t="str">
            <v>000042944240110899</v>
          </cell>
          <cell r="E559" t="str">
            <v>螺桩</v>
          </cell>
          <cell r="F559" t="str">
            <v>11S30121</v>
          </cell>
          <cell r="G559" t="str">
            <v>3</v>
          </cell>
        </row>
        <row r="560">
          <cell r="B560" t="str">
            <v>7101047164</v>
          </cell>
          <cell r="C560" t="str">
            <v>G2504-1496</v>
          </cell>
          <cell r="D560" t="str">
            <v>000042944240110899</v>
          </cell>
          <cell r="E560" t="str">
            <v>螺桩</v>
          </cell>
          <cell r="F560" t="str">
            <v>11S30121</v>
          </cell>
          <cell r="G560" t="str">
            <v>3</v>
          </cell>
        </row>
        <row r="561">
          <cell r="B561" t="str">
            <v>7101047163</v>
          </cell>
          <cell r="C561" t="str">
            <v>G2508-2365</v>
          </cell>
          <cell r="D561" t="str">
            <v>000042944288002018</v>
          </cell>
          <cell r="E561" t="str">
            <v>六角薄自锁螺母,MJ螺纹镀银GH738</v>
          </cell>
          <cell r="F561" t="str">
            <v>Q/S15.1082-2016</v>
          </cell>
          <cell r="G561" t="str">
            <v>6</v>
          </cell>
        </row>
        <row r="562">
          <cell r="B562" t="str">
            <v>7101047162</v>
          </cell>
          <cell r="C562" t="str">
            <v>G2508-2304</v>
          </cell>
          <cell r="D562" t="str">
            <v>000042944239056622</v>
          </cell>
          <cell r="E562" t="str">
            <v>小十二角头螺钉</v>
          </cell>
          <cell r="F562" t="str">
            <v>Q/S15.1072-2016</v>
          </cell>
          <cell r="G562" t="str">
            <v>8-14d</v>
          </cell>
        </row>
        <row r="563">
          <cell r="B563" t="str">
            <v>7101047158</v>
          </cell>
          <cell r="C563" t="str">
            <v>G2504-1867</v>
          </cell>
          <cell r="D563" t="str">
            <v>000042944240084472</v>
          </cell>
          <cell r="E563" t="str">
            <v>螺柱</v>
          </cell>
          <cell r="F563" t="str">
            <v>11S30071</v>
          </cell>
          <cell r="G563" t="str">
            <v>Ⅱ</v>
          </cell>
        </row>
        <row r="564">
          <cell r="B564" t="str">
            <v>7101047157</v>
          </cell>
          <cell r="C564" t="str">
            <v>G2508-2357</v>
          </cell>
          <cell r="D564" t="str">
            <v>000042944240084471</v>
          </cell>
          <cell r="E564" t="str">
            <v>螺柱</v>
          </cell>
          <cell r="F564" t="str">
            <v>11S30071</v>
          </cell>
          <cell r="G564" t="str">
            <v>Ⅰ</v>
          </cell>
        </row>
        <row r="565">
          <cell r="B565" t="str">
            <v>7101047155</v>
          </cell>
          <cell r="C565" t="str">
            <v>G2503-2426</v>
          </cell>
          <cell r="D565" t="str">
            <v>000042944239100877</v>
          </cell>
          <cell r="E565" t="str">
            <v>定位螺栓</v>
          </cell>
          <cell r="F565" t="str">
            <v>S20.00.2018-GC</v>
          </cell>
          <cell r="G565" t="str">
            <v>-</v>
          </cell>
        </row>
        <row r="566">
          <cell r="B566" t="str">
            <v>7101047152</v>
          </cell>
          <cell r="C566" t="str">
            <v>G2502-0590</v>
          </cell>
          <cell r="D566" t="str">
            <v>000042944239092284</v>
          </cell>
          <cell r="E566" t="str">
            <v>预旋喷嘴螺栓</v>
          </cell>
          <cell r="F566" t="str">
            <v>S15.44.1042PE</v>
          </cell>
          <cell r="G566" t="str">
            <v>-</v>
          </cell>
        </row>
        <row r="567">
          <cell r="B567" t="str">
            <v>7101047152</v>
          </cell>
          <cell r="C567" t="str">
            <v>G2508-1522</v>
          </cell>
          <cell r="D567" t="str">
            <v>000042944239092284</v>
          </cell>
          <cell r="E567" t="str">
            <v>预旋喷嘴螺栓</v>
          </cell>
          <cell r="F567" t="str">
            <v>S15.44.1042PE</v>
          </cell>
          <cell r="G567" t="str">
            <v>-</v>
          </cell>
        </row>
        <row r="568">
          <cell r="B568" t="str">
            <v>7101047116</v>
          </cell>
          <cell r="C568" t="str">
            <v>G2106-0546</v>
          </cell>
          <cell r="D568" t="str">
            <v>000042944000052366</v>
          </cell>
          <cell r="E568" t="str">
            <v>联动环衬垫</v>
          </cell>
          <cell r="F568" t="str">
            <v>S15.15.1255N</v>
          </cell>
          <cell r="G568" t="str">
            <v>-</v>
          </cell>
        </row>
        <row r="569">
          <cell r="B569" t="str">
            <v>7101047083</v>
          </cell>
          <cell r="C569" t="str">
            <v>G2508-2328</v>
          </cell>
          <cell r="D569" t="str">
            <v>000042944160011146</v>
          </cell>
          <cell r="E569" t="str">
            <v>螺钉,六角头,螺纹公差带6e</v>
          </cell>
          <cell r="F569" t="str">
            <v>Q/S15.1025-2011</v>
          </cell>
          <cell r="G569" t="str">
            <v>6-11</v>
          </cell>
        </row>
        <row r="570">
          <cell r="B570" t="str">
            <v>7101047071</v>
          </cell>
          <cell r="C570" t="str">
            <v>G2509-1166</v>
          </cell>
          <cell r="D570" t="str">
            <v>000042944201016237</v>
          </cell>
          <cell r="E570" t="str">
            <v>六角头定位螺栓</v>
          </cell>
          <cell r="F570" t="str">
            <v>S20.00.2003</v>
          </cell>
          <cell r="G570" t="str">
            <v>-</v>
          </cell>
        </row>
        <row r="571">
          <cell r="B571" t="str">
            <v>7101047049</v>
          </cell>
          <cell r="C571" t="str">
            <v>G2508-2328</v>
          </cell>
          <cell r="D571" t="str">
            <v>000042944160011146</v>
          </cell>
          <cell r="E571" t="str">
            <v>螺钉,六角头,螺纹公差带6e</v>
          </cell>
          <cell r="F571" t="str">
            <v>Q/S15.1025-2011</v>
          </cell>
          <cell r="G571" t="str">
            <v>6-11</v>
          </cell>
        </row>
        <row r="572">
          <cell r="B572" t="str">
            <v>7101045225</v>
          </cell>
          <cell r="C572" t="str">
            <v>G2310-1206</v>
          </cell>
          <cell r="D572" t="str">
            <v>000042944360070122</v>
          </cell>
          <cell r="E572" t="str">
            <v>内机匣销</v>
          </cell>
          <cell r="F572" t="str">
            <v>S15.15.1030P</v>
          </cell>
          <cell r="G572" t="str">
            <v>Ⅲ</v>
          </cell>
        </row>
        <row r="573">
          <cell r="B573" t="str">
            <v>7101044403</v>
          </cell>
          <cell r="C573" t="str">
            <v>G2508-0693</v>
          </cell>
          <cell r="D573" t="str">
            <v>000042944000102953</v>
          </cell>
          <cell r="E573" t="str">
            <v>引线盖板</v>
          </cell>
          <cell r="F573" t="str">
            <v>S15.30.1011</v>
          </cell>
          <cell r="G573" t="str">
            <v>-</v>
          </cell>
        </row>
        <row r="574">
          <cell r="B574" t="str">
            <v>7101043586</v>
          </cell>
          <cell r="C574" t="str">
            <v>G2504-1815</v>
          </cell>
          <cell r="D574" t="str">
            <v>000042944000114547</v>
          </cell>
          <cell r="E574" t="str">
            <v>盘前平衡块</v>
          </cell>
          <cell r="F574" t="str">
            <v>S15.44.1076U</v>
          </cell>
          <cell r="G574" t="str">
            <v>Ⅱ</v>
          </cell>
        </row>
        <row r="575">
          <cell r="B575" t="str">
            <v>7101043585</v>
          </cell>
          <cell r="C575" t="str">
            <v>G2504-1815</v>
          </cell>
          <cell r="D575" t="str">
            <v>000042944000114547</v>
          </cell>
          <cell r="E575" t="str">
            <v>盘前平衡块</v>
          </cell>
          <cell r="F575" t="str">
            <v>S15.44.1076U</v>
          </cell>
          <cell r="G575" t="str">
            <v>Ⅱ</v>
          </cell>
        </row>
        <row r="576">
          <cell r="B576" t="str">
            <v>7101043583</v>
          </cell>
          <cell r="C576" t="str">
            <v>G2509-1687</v>
          </cell>
          <cell r="D576" t="str">
            <v>000042944000116570</v>
          </cell>
          <cell r="E576" t="str">
            <v>油滤壳体</v>
          </cell>
          <cell r="F576" t="str">
            <v>S15.34.1053U</v>
          </cell>
          <cell r="G576" t="str">
            <v>-</v>
          </cell>
        </row>
        <row r="577">
          <cell r="B577" t="str">
            <v>7101043444</v>
          </cell>
          <cell r="C577" t="str">
            <v>G2409-0367</v>
          </cell>
          <cell r="D577" t="str">
            <v>000042944239056623</v>
          </cell>
          <cell r="E577" t="str">
            <v>小十二角头螺钉,MJ螺纹GH4169</v>
          </cell>
          <cell r="F577" t="str">
            <v>Q/S15.1072-2016</v>
          </cell>
          <cell r="G577" t="str">
            <v>8-19d</v>
          </cell>
        </row>
        <row r="578">
          <cell r="B578" t="str">
            <v>7101043399</v>
          </cell>
          <cell r="C578" t="str">
            <v>G2504-1413</v>
          </cell>
          <cell r="D578" t="str">
            <v>000042944239084308</v>
          </cell>
          <cell r="E578" t="str">
            <v>十二角头螺栓</v>
          </cell>
          <cell r="F578" t="str">
            <v>S15.44.1046PE</v>
          </cell>
          <cell r="G578" t="str">
            <v>-</v>
          </cell>
        </row>
        <row r="579">
          <cell r="B579" t="str">
            <v>7101043398</v>
          </cell>
          <cell r="C579" t="str">
            <v>G2504-1413</v>
          </cell>
          <cell r="D579" t="str">
            <v>000042944239084308</v>
          </cell>
          <cell r="E579" t="str">
            <v>十二角头螺栓</v>
          </cell>
          <cell r="F579" t="str">
            <v>S15.44.1046PE</v>
          </cell>
          <cell r="G579" t="str">
            <v>-</v>
          </cell>
        </row>
        <row r="580">
          <cell r="B580" t="str">
            <v>7101043396</v>
          </cell>
          <cell r="C580" t="str">
            <v>G2504-1413</v>
          </cell>
          <cell r="D580" t="str">
            <v>000042944239084308</v>
          </cell>
          <cell r="E580" t="str">
            <v>十二角头螺栓</v>
          </cell>
          <cell r="F580" t="str">
            <v>S15.44.1046PE</v>
          </cell>
          <cell r="G580" t="str">
            <v>-</v>
          </cell>
        </row>
        <row r="581">
          <cell r="B581" t="str">
            <v>7101043323</v>
          </cell>
          <cell r="C581" t="str">
            <v>G2508-0482</v>
          </cell>
          <cell r="D581" t="str">
            <v>000042944288002050</v>
          </cell>
          <cell r="E581" t="str">
            <v>托板自锁螺母,MJ螺纹,镀银,材料GH738</v>
          </cell>
          <cell r="F581" t="str">
            <v>Q/S15.1108-2011</v>
          </cell>
          <cell r="G581" t="str">
            <v>6</v>
          </cell>
        </row>
        <row r="582">
          <cell r="B582" t="str">
            <v>7101041670</v>
          </cell>
          <cell r="C582" t="str">
            <v>G2305-1009</v>
          </cell>
          <cell r="D582" t="str">
            <v>000042944000018182</v>
          </cell>
          <cell r="E582" t="str">
            <v>拧入钛合金过盈螺桩,螺纹公差带6g</v>
          </cell>
          <cell r="F582" t="str">
            <v>Q/S15.1046A-2011</v>
          </cell>
          <cell r="G582" t="str">
            <v>DG6×1×20-Ⅳ</v>
          </cell>
        </row>
        <row r="583">
          <cell r="B583" t="str">
            <v>7101041670</v>
          </cell>
          <cell r="C583" t="str">
            <v>G2403-1497</v>
          </cell>
          <cell r="D583" t="str">
            <v>000042944000018182</v>
          </cell>
          <cell r="E583" t="str">
            <v>拧入钛合金过盈螺桩,螺纹公差带6g</v>
          </cell>
          <cell r="F583" t="str">
            <v>Q/S15.1046A-2011</v>
          </cell>
          <cell r="G583" t="str">
            <v>DG6×1×20-Ⅳ</v>
          </cell>
        </row>
        <row r="584">
          <cell r="B584" t="str">
            <v>7101041669</v>
          </cell>
          <cell r="C584" t="str">
            <v>G2103-0216</v>
          </cell>
          <cell r="D584" t="str">
            <v>000042944000018180</v>
          </cell>
          <cell r="E584" t="str">
            <v>拧入钛合金过盈螺桩,螺纹公差带6g</v>
          </cell>
          <cell r="F584" t="str">
            <v>Q/S15.1046A-2011</v>
          </cell>
          <cell r="G584" t="str">
            <v>DG6×1×20-Ⅱ</v>
          </cell>
        </row>
        <row r="585">
          <cell r="B585" t="str">
            <v>7101041669</v>
          </cell>
          <cell r="C585" t="str">
            <v>G2403-1495</v>
          </cell>
          <cell r="D585" t="str">
            <v>000042944000018180</v>
          </cell>
          <cell r="E585" t="str">
            <v>拧入钛合金过盈螺桩,螺纹公差带6g</v>
          </cell>
          <cell r="F585" t="str">
            <v>Q/S15.1046A-2011</v>
          </cell>
          <cell r="G585" t="str">
            <v>DG6×1×20-Ⅱ</v>
          </cell>
        </row>
        <row r="586">
          <cell r="B586" t="str">
            <v>7101041669</v>
          </cell>
          <cell r="C586" t="str">
            <v>G2402-1236</v>
          </cell>
          <cell r="D586" t="str">
            <v>000042944000018181</v>
          </cell>
          <cell r="E586" t="str">
            <v>拧入钛合金过盈螺桩,螺纹公差带6g</v>
          </cell>
          <cell r="F586" t="str">
            <v>Q/S15.1046A-2011</v>
          </cell>
          <cell r="G586" t="str">
            <v>DG6×1×20-Ⅲ</v>
          </cell>
        </row>
        <row r="587">
          <cell r="B587" t="str">
            <v>7101041669</v>
          </cell>
          <cell r="C587" t="str">
            <v>G2403-1496</v>
          </cell>
          <cell r="D587" t="str">
            <v>000042944000018181</v>
          </cell>
          <cell r="E587" t="str">
            <v>拧入钛合金过盈螺桩,螺纹公差带6g</v>
          </cell>
          <cell r="F587" t="str">
            <v>Q/S15.1046A-2011</v>
          </cell>
          <cell r="G587" t="str">
            <v>DG6×1×20-Ⅲ</v>
          </cell>
        </row>
        <row r="588">
          <cell r="B588" t="str">
            <v>7101041504</v>
          </cell>
          <cell r="C588" t="str">
            <v>G2310-1206</v>
          </cell>
          <cell r="D588" t="str">
            <v>000042944360070122</v>
          </cell>
          <cell r="E588" t="str">
            <v>内机匣销</v>
          </cell>
          <cell r="F588" t="str">
            <v>S15.15.1030P</v>
          </cell>
          <cell r="G588" t="str">
            <v>Ⅲ</v>
          </cell>
        </row>
        <row r="589">
          <cell r="B589" t="str">
            <v>7101041504</v>
          </cell>
          <cell r="C589" t="str">
            <v>G2402-1291</v>
          </cell>
          <cell r="D589" t="str">
            <v>000042944360070122</v>
          </cell>
          <cell r="E589" t="str">
            <v>内机匣销</v>
          </cell>
          <cell r="F589" t="str">
            <v>S15.15.1030P</v>
          </cell>
          <cell r="G589" t="str">
            <v>Ⅲ</v>
          </cell>
        </row>
        <row r="590">
          <cell r="B590" t="str">
            <v>7101041504</v>
          </cell>
          <cell r="C590" t="str">
            <v>G2502-0860</v>
          </cell>
          <cell r="D590" t="str">
            <v>000042944360070122</v>
          </cell>
          <cell r="E590" t="str">
            <v>内机匣销</v>
          </cell>
          <cell r="F590" t="str">
            <v>S15.15.1030P</v>
          </cell>
          <cell r="G590" t="str">
            <v>Ⅲ</v>
          </cell>
        </row>
        <row r="591">
          <cell r="B591" t="str">
            <v>7101041485</v>
          </cell>
          <cell r="C591" t="str">
            <v>G2403-1509</v>
          </cell>
          <cell r="D591" t="str">
            <v>000042944239056621</v>
          </cell>
          <cell r="E591" t="str">
            <v>小十二角头螺钉</v>
          </cell>
          <cell r="F591" t="str">
            <v>Q/S15.1072-2016</v>
          </cell>
          <cell r="G591" t="str">
            <v>6-14d</v>
          </cell>
        </row>
        <row r="592">
          <cell r="B592" t="str">
            <v>7101041483</v>
          </cell>
          <cell r="C592" t="str">
            <v>G2403-1508</v>
          </cell>
          <cell r="D592" t="str">
            <v>000042944239056618</v>
          </cell>
          <cell r="E592" t="str">
            <v>拧入钛合金过盈螺桩,螺纹公差带6g</v>
          </cell>
          <cell r="F592" t="str">
            <v>Q/S15.1046A-2011</v>
          </cell>
          <cell r="G592" t="str">
            <v>DG6×1×20-Ⅰ</v>
          </cell>
        </row>
        <row r="593">
          <cell r="B593" t="str">
            <v>7101041425</v>
          </cell>
          <cell r="C593" t="str">
            <v>G2504-1767</v>
          </cell>
          <cell r="D593" t="str">
            <v>000042944439134759</v>
          </cell>
          <cell r="E593" t="str">
            <v>角形垂直单耳止动垫圈</v>
          </cell>
          <cell r="F593" t="str">
            <v>Q/S15.1165-2011</v>
          </cell>
          <cell r="G593" t="str">
            <v>6-7.5</v>
          </cell>
        </row>
        <row r="594">
          <cell r="B594" t="str">
            <v>7101041424</v>
          </cell>
          <cell r="C594" t="str">
            <v>G2508-2375</v>
          </cell>
          <cell r="D594" t="str">
            <v>000042944404000553</v>
          </cell>
          <cell r="E594" t="str">
            <v>角形垂直单耳止动垫圈</v>
          </cell>
          <cell r="F594" t="str">
            <v>Q/S15.1165-2011</v>
          </cell>
          <cell r="G594" t="str">
            <v>A-6-10</v>
          </cell>
        </row>
        <row r="595">
          <cell r="B595" t="str">
            <v>7101041424</v>
          </cell>
          <cell r="C595" t="str">
            <v>G2506-0624</v>
          </cell>
          <cell r="D595" t="str">
            <v>000042944404000553</v>
          </cell>
          <cell r="E595" t="str">
            <v>角形垂直单耳止动垫圈</v>
          </cell>
          <cell r="F595" t="str">
            <v>Q/S15.1165-2011</v>
          </cell>
          <cell r="G595" t="str">
            <v>A-6-10</v>
          </cell>
        </row>
        <row r="596">
          <cell r="B596" t="str">
            <v>7101041424</v>
          </cell>
          <cell r="C596" t="str">
            <v>G2507-0892</v>
          </cell>
          <cell r="D596" t="str">
            <v>000042944404000553</v>
          </cell>
          <cell r="E596" t="str">
            <v>角形垂直单耳止动垫圈</v>
          </cell>
          <cell r="F596" t="str">
            <v>Q/S15.1165-2011</v>
          </cell>
          <cell r="G596" t="str">
            <v>A-6-10</v>
          </cell>
        </row>
        <row r="597">
          <cell r="B597" t="str">
            <v>7101041424</v>
          </cell>
          <cell r="C597" t="str">
            <v>G2508-2375</v>
          </cell>
          <cell r="D597" t="str">
            <v>000042944404000553</v>
          </cell>
          <cell r="E597" t="str">
            <v>角形垂直单耳止动垫圈</v>
          </cell>
          <cell r="F597" t="str">
            <v>Q/S15.1165-2011</v>
          </cell>
          <cell r="G597" t="str">
            <v>A-6-10</v>
          </cell>
        </row>
        <row r="598">
          <cell r="B598" t="str">
            <v>7101041416</v>
          </cell>
          <cell r="C598" t="str">
            <v>G2507-0937</v>
          </cell>
          <cell r="D598" t="str">
            <v>000042944401001328</v>
          </cell>
          <cell r="E598" t="str">
            <v>平垫圈</v>
          </cell>
          <cell r="F598" t="str">
            <v>Q/S15.1157-2011</v>
          </cell>
          <cell r="G598" t="str">
            <v>C-8.5-15-1</v>
          </cell>
        </row>
        <row r="599">
          <cell r="B599" t="str">
            <v>7101041389</v>
          </cell>
          <cell r="C599" t="str">
            <v>G2504-1278</v>
          </cell>
          <cell r="D599" t="str">
            <v>000042944360005933</v>
          </cell>
          <cell r="E599" t="str">
            <v>销子</v>
          </cell>
          <cell r="F599" t="str">
            <v>S20.7.2003</v>
          </cell>
          <cell r="G599" t="str">
            <v>-</v>
          </cell>
        </row>
        <row r="600">
          <cell r="B600" t="str">
            <v>7101041358</v>
          </cell>
          <cell r="C600" t="str">
            <v>G2409-2561</v>
          </cell>
          <cell r="D600" t="str">
            <v>000042944288002036</v>
          </cell>
          <cell r="E600" t="str">
            <v>十角厚自锁螺母,MJ螺纹镀银GH738</v>
          </cell>
          <cell r="F600" t="str">
            <v>Q/S15.1101-2011</v>
          </cell>
          <cell r="G600" t="str">
            <v>6</v>
          </cell>
        </row>
        <row r="601">
          <cell r="B601" t="str">
            <v>7101041358</v>
          </cell>
          <cell r="C601" t="str">
            <v>G2307-0726</v>
          </cell>
          <cell r="D601" t="str">
            <v>000042944288002036</v>
          </cell>
          <cell r="E601" t="str">
            <v>十角厚自锁螺母,MJ螺纹镀银GH738</v>
          </cell>
          <cell r="F601" t="str">
            <v>Q/S15.1101-2011</v>
          </cell>
          <cell r="G601" t="str">
            <v>6</v>
          </cell>
        </row>
        <row r="602">
          <cell r="B602" t="str">
            <v>7101041094</v>
          </cell>
          <cell r="C602" t="str">
            <v>G2412-3155</v>
          </cell>
          <cell r="D602" t="str">
            <v>000042944320024647</v>
          </cell>
          <cell r="E602" t="str">
            <v>铆钉</v>
          </cell>
          <cell r="F602" t="str">
            <v>11S70066</v>
          </cell>
          <cell r="G602" t="str">
            <v>-</v>
          </cell>
        </row>
        <row r="603">
          <cell r="B603" t="str">
            <v>7101041094</v>
          </cell>
          <cell r="C603" t="str">
            <v>G2507-0942</v>
          </cell>
          <cell r="D603" t="str">
            <v>000042944404075218</v>
          </cell>
          <cell r="E603" t="str">
            <v>角型垂直单耳止动垫圈</v>
          </cell>
          <cell r="F603" t="str">
            <v>Q/S15.1165-2011</v>
          </cell>
          <cell r="G603" t="str">
            <v>A-10-18</v>
          </cell>
        </row>
        <row r="604">
          <cell r="B604" t="str">
            <v>7101041094</v>
          </cell>
          <cell r="C604" t="str">
            <v>G2502-0571</v>
          </cell>
          <cell r="D604" t="str">
            <v>000042944239050227</v>
          </cell>
          <cell r="E604" t="str">
            <v>连杆螺栓</v>
          </cell>
          <cell r="F604" t="str">
            <v>S15.15.1260N</v>
          </cell>
          <cell r="G604" t="str">
            <v>-</v>
          </cell>
        </row>
        <row r="605">
          <cell r="B605" t="str">
            <v>7101041093</v>
          </cell>
          <cell r="C605" t="str">
            <v>G2504-1767</v>
          </cell>
          <cell r="D605" t="str">
            <v>000042944439134759</v>
          </cell>
          <cell r="E605" t="str">
            <v>角形垂直单耳止动垫圈</v>
          </cell>
          <cell r="F605" t="str">
            <v>Q/S15.1165-2011</v>
          </cell>
          <cell r="G605" t="str">
            <v>6-7.5</v>
          </cell>
        </row>
        <row r="606">
          <cell r="B606" t="str">
            <v>7101041093</v>
          </cell>
          <cell r="C606" t="str">
            <v>G2507-1121</v>
          </cell>
          <cell r="D606" t="str">
            <v>000042944041003572</v>
          </cell>
          <cell r="E606" t="str">
            <v>MJ螺纹内六角头螺钉</v>
          </cell>
          <cell r="F606" t="str">
            <v>Q/S15.1039-2011</v>
          </cell>
          <cell r="G606" t="str">
            <v>6-10</v>
          </cell>
        </row>
        <row r="607">
          <cell r="B607" t="str">
            <v>7101041093</v>
          </cell>
          <cell r="C607" t="str">
            <v>G2504-1331</v>
          </cell>
          <cell r="D607" t="str">
            <v>000042944239075208</v>
          </cell>
          <cell r="E607" t="str">
            <v>曲柄压紧螺栓</v>
          </cell>
          <cell r="F607" t="str">
            <v>S15.15.1038P</v>
          </cell>
          <cell r="G607" t="str">
            <v>-</v>
          </cell>
        </row>
        <row r="608">
          <cell r="B608" t="str">
            <v>7101041092</v>
          </cell>
          <cell r="C608" t="str">
            <v>G2502-0147</v>
          </cell>
          <cell r="D608" t="str">
            <v>000042944288002025</v>
          </cell>
          <cell r="E608" t="str">
            <v>厚自锁螺母,十角,MJ螺纹,材料GH738</v>
          </cell>
          <cell r="F608" t="str">
            <v>Q/S15.1089-2011</v>
          </cell>
          <cell r="G608" t="str">
            <v>8</v>
          </cell>
        </row>
        <row r="609">
          <cell r="B609" t="str">
            <v>7101041092</v>
          </cell>
          <cell r="C609" t="str">
            <v>G2412-3155</v>
          </cell>
          <cell r="D609" t="str">
            <v>000042944320024647</v>
          </cell>
          <cell r="E609" t="str">
            <v>铆钉</v>
          </cell>
          <cell r="F609" t="str">
            <v>11S70066</v>
          </cell>
          <cell r="G609" t="str">
            <v>-</v>
          </cell>
        </row>
        <row r="610">
          <cell r="B610" t="str">
            <v>7101041074</v>
          </cell>
          <cell r="C610" t="str">
            <v>G2504-1369</v>
          </cell>
          <cell r="D610" t="str">
            <v>000042944288087585</v>
          </cell>
          <cell r="E610" t="str">
            <v>托板自锁螺母</v>
          </cell>
          <cell r="F610" t="str">
            <v>S15.44.1038N</v>
          </cell>
          <cell r="G610" t="str">
            <v>-</v>
          </cell>
        </row>
        <row r="611">
          <cell r="B611" t="str">
            <v>7101041074</v>
          </cell>
          <cell r="C611" t="str">
            <v>G2509-1693</v>
          </cell>
          <cell r="D611" t="str">
            <v>000042944401001328</v>
          </cell>
          <cell r="E611" t="str">
            <v>平垫圈</v>
          </cell>
          <cell r="F611" t="str">
            <v>Q/S15.1157-2011</v>
          </cell>
          <cell r="G611" t="str">
            <v>C-8.5-15-1</v>
          </cell>
        </row>
        <row r="612">
          <cell r="B612" t="str">
            <v>7101041073</v>
          </cell>
          <cell r="C612" t="str">
            <v>G2508-2375</v>
          </cell>
          <cell r="D612" t="str">
            <v>000042944404000553</v>
          </cell>
          <cell r="E612" t="str">
            <v>角形垂直单耳止动垫圈</v>
          </cell>
          <cell r="F612" t="str">
            <v>Q/S15.1165-2011</v>
          </cell>
          <cell r="G612" t="str">
            <v>A-6-10</v>
          </cell>
        </row>
        <row r="613">
          <cell r="B613" t="str">
            <v>7101041073</v>
          </cell>
          <cell r="C613" t="str">
            <v>G2507-0942</v>
          </cell>
          <cell r="D613" t="str">
            <v>000042944404075218</v>
          </cell>
          <cell r="E613" t="str">
            <v>角型垂直单耳止动垫圈</v>
          </cell>
          <cell r="F613" t="str">
            <v>Q/S15.1165-2011</v>
          </cell>
          <cell r="G613" t="str">
            <v>A-10-18</v>
          </cell>
        </row>
        <row r="614">
          <cell r="B614" t="str">
            <v>7101041072</v>
          </cell>
          <cell r="C614" t="str">
            <v>G2412-3155</v>
          </cell>
          <cell r="D614" t="str">
            <v>000042944320024647</v>
          </cell>
          <cell r="E614" t="str">
            <v>铆钉</v>
          </cell>
          <cell r="F614" t="str">
            <v>11S70066</v>
          </cell>
          <cell r="G614" t="str">
            <v>-</v>
          </cell>
        </row>
        <row r="615">
          <cell r="B615" t="str">
            <v>7101041072</v>
          </cell>
          <cell r="C615" t="str">
            <v>G2508-0168</v>
          </cell>
          <cell r="D615" t="str">
            <v>000042944360005817</v>
          </cell>
          <cell r="E615" t="str">
            <v>销子</v>
          </cell>
          <cell r="F615" t="str">
            <v>S15.44.1032K</v>
          </cell>
          <cell r="G615" t="str">
            <v>-</v>
          </cell>
        </row>
        <row r="616">
          <cell r="B616" t="str">
            <v>7101041072</v>
          </cell>
          <cell r="C616" t="str">
            <v>G2509-0098</v>
          </cell>
          <cell r="D616" t="str">
            <v>000042944401001327</v>
          </cell>
          <cell r="E616" t="str">
            <v>平垫圈</v>
          </cell>
          <cell r="F616" t="str">
            <v>Q/S15.1157-2011</v>
          </cell>
          <cell r="G616" t="str">
            <v>C-6.5-12-1</v>
          </cell>
        </row>
        <row r="617">
          <cell r="B617" t="str">
            <v>7101041071</v>
          </cell>
          <cell r="C617" t="str">
            <v>G2409-0367</v>
          </cell>
          <cell r="D617" t="str">
            <v>000042944239056623</v>
          </cell>
          <cell r="E617" t="str">
            <v>小十二角头螺钉，MJ螺纹，GH4169</v>
          </cell>
          <cell r="F617" t="str">
            <v>Q/S15.1072-2016</v>
          </cell>
          <cell r="G617" t="str">
            <v>8-19d</v>
          </cell>
        </row>
        <row r="618">
          <cell r="B618" t="str">
            <v>7101041071</v>
          </cell>
          <cell r="C618" t="str">
            <v>G2502-0571</v>
          </cell>
          <cell r="D618" t="str">
            <v>000042944239050227</v>
          </cell>
          <cell r="E618" t="str">
            <v>连杆螺栓</v>
          </cell>
          <cell r="F618" t="str">
            <v>S15.15.1260N</v>
          </cell>
          <cell r="G618" t="str">
            <v>-</v>
          </cell>
        </row>
        <row r="619">
          <cell r="B619" t="str">
            <v>7101041071</v>
          </cell>
          <cell r="C619" t="str">
            <v>G2508-1021</v>
          </cell>
          <cell r="D619" t="str">
            <v>000042944288002036</v>
          </cell>
          <cell r="E619" t="str">
            <v>十角厚自锁螺母,MJ螺纹镀银GH738</v>
          </cell>
          <cell r="F619" t="str">
            <v>Q/S15.1101-2011</v>
          </cell>
          <cell r="G619" t="str">
            <v>6</v>
          </cell>
        </row>
        <row r="620">
          <cell r="B620" t="str">
            <v>7101041040</v>
          </cell>
          <cell r="C620" t="str">
            <v>G2509-1574</v>
          </cell>
          <cell r="D620" t="str">
            <v>000042944360158726</v>
          </cell>
          <cell r="E620" t="str">
            <v>止动销</v>
          </cell>
          <cell r="F620" t="str">
            <v>11S70163</v>
          </cell>
          <cell r="G620" t="str">
            <v>Ⅰ</v>
          </cell>
        </row>
        <row r="621">
          <cell r="B621" t="str">
            <v>7101041040</v>
          </cell>
          <cell r="C621" t="str">
            <v>G2509-1574</v>
          </cell>
          <cell r="D621" t="str">
            <v>000042944360158726</v>
          </cell>
          <cell r="E621" t="str">
            <v>止动销</v>
          </cell>
          <cell r="F621" t="str">
            <v>11S70163</v>
          </cell>
          <cell r="G621" t="str">
            <v>Ⅰ</v>
          </cell>
        </row>
        <row r="622">
          <cell r="B622" t="str">
            <v>7101041040</v>
          </cell>
          <cell r="C622" t="str">
            <v>G2509-1575</v>
          </cell>
          <cell r="D622" t="str">
            <v>000042944360159446</v>
          </cell>
          <cell r="E622" t="str">
            <v>止动销</v>
          </cell>
          <cell r="F622" t="str">
            <v>11S70163</v>
          </cell>
          <cell r="G622" t="str">
            <v>Ⅱ</v>
          </cell>
        </row>
        <row r="623">
          <cell r="B623" t="str">
            <v>7101041039</v>
          </cell>
          <cell r="C623" t="str">
            <v>G2509-1575</v>
          </cell>
          <cell r="D623" t="str">
            <v>000042944360159446</v>
          </cell>
          <cell r="E623" t="str">
            <v>止动销</v>
          </cell>
          <cell r="F623" t="str">
            <v>11S70163</v>
          </cell>
          <cell r="G623" t="str">
            <v>Ⅱ</v>
          </cell>
        </row>
        <row r="624">
          <cell r="B624" t="str">
            <v>7101041039</v>
          </cell>
          <cell r="C624" t="str">
            <v>G2509-1575</v>
          </cell>
          <cell r="D624" t="str">
            <v>000042944360159446</v>
          </cell>
          <cell r="E624" t="str">
            <v>止动销</v>
          </cell>
          <cell r="F624" t="str">
            <v>11S70163</v>
          </cell>
          <cell r="G624" t="str">
            <v>Ⅱ</v>
          </cell>
        </row>
        <row r="625">
          <cell r="B625" t="str">
            <v>7101041039</v>
          </cell>
          <cell r="C625" t="str">
            <v>G2509-0547</v>
          </cell>
          <cell r="D625" t="str">
            <v>000042944360159446</v>
          </cell>
          <cell r="E625" t="str">
            <v>止动销</v>
          </cell>
          <cell r="F625" t="str">
            <v>11S70163</v>
          </cell>
          <cell r="G625" t="str">
            <v>Ⅱ</v>
          </cell>
        </row>
        <row r="626">
          <cell r="B626" t="str">
            <v>7101041033</v>
          </cell>
          <cell r="C626" t="str">
            <v>G2502-0150</v>
          </cell>
          <cell r="D626" t="str">
            <v>000042944288002025</v>
          </cell>
          <cell r="E626" t="str">
            <v>厚自锁螺母,十角,MJ螺纹,材料GH738</v>
          </cell>
          <cell r="F626" t="str">
            <v>Q/S15.1089-2011</v>
          </cell>
          <cell r="G626" t="str">
            <v>8</v>
          </cell>
        </row>
        <row r="627">
          <cell r="B627" t="str">
            <v>7101041032</v>
          </cell>
          <cell r="C627" t="str">
            <v>G2307-2327</v>
          </cell>
          <cell r="D627" t="str">
            <v>000042944288002025</v>
          </cell>
          <cell r="E627" t="str">
            <v>厚自锁螺母,十角,MJ螺纹,材料GH738</v>
          </cell>
          <cell r="F627" t="str">
            <v>Q/S15.1089-2011</v>
          </cell>
          <cell r="G627" t="str">
            <v>8</v>
          </cell>
        </row>
        <row r="628">
          <cell r="B628" t="str">
            <v>7101041032</v>
          </cell>
          <cell r="C628" t="str">
            <v>G2402-1187</v>
          </cell>
          <cell r="D628" t="str">
            <v>000042944288002025</v>
          </cell>
          <cell r="E628" t="str">
            <v>厚自锁螺母,十角,MJ螺纹,材料GH738</v>
          </cell>
          <cell r="F628" t="str">
            <v>Q/S15.1089-2011</v>
          </cell>
          <cell r="G628" t="str">
            <v>8</v>
          </cell>
        </row>
        <row r="629">
          <cell r="B629" t="str">
            <v>7101041032</v>
          </cell>
          <cell r="C629" t="str">
            <v>G2502-0147</v>
          </cell>
          <cell r="D629" t="str">
            <v>000042944288002025</v>
          </cell>
          <cell r="E629" t="str">
            <v>厚自锁螺母,十角,MJ螺纹,材料GH738</v>
          </cell>
          <cell r="F629" t="str">
            <v>Q/S15.1089-2011</v>
          </cell>
          <cell r="G629" t="str">
            <v>8</v>
          </cell>
        </row>
        <row r="630">
          <cell r="B630" t="str">
            <v>7101041032</v>
          </cell>
          <cell r="C630" t="str">
            <v>G2502-0148</v>
          </cell>
          <cell r="D630" t="str">
            <v>000042944288002025</v>
          </cell>
          <cell r="E630" t="str">
            <v>厚自锁螺母,十角,MJ螺纹,材料GH738</v>
          </cell>
          <cell r="F630" t="str">
            <v>Q/S15.1089-2011</v>
          </cell>
          <cell r="G630" t="str">
            <v>8</v>
          </cell>
        </row>
        <row r="631">
          <cell r="B631" t="str">
            <v>7101041031</v>
          </cell>
          <cell r="C631" t="str">
            <v>G2506-1068</v>
          </cell>
          <cell r="D631" t="str">
            <v>000042944239087736</v>
          </cell>
          <cell r="E631" t="str">
            <v>螺栓,小十二角头,带减轻孔,MJ螺纹,螺纹公差带4h6h,材</v>
          </cell>
          <cell r="F631" t="str">
            <v>Q/S15.1036-2020</v>
          </cell>
          <cell r="G631" t="str">
            <v>10-26</v>
          </cell>
        </row>
        <row r="632">
          <cell r="B632" t="str">
            <v>7101041031</v>
          </cell>
          <cell r="C632" t="str">
            <v>G2507-0898</v>
          </cell>
          <cell r="D632" t="str">
            <v>000042944239087736</v>
          </cell>
          <cell r="E632" t="str">
            <v>螺栓,小十二角头,带减轻孔,MJ螺纹,螺纹公差带4h6h,材</v>
          </cell>
          <cell r="F632" t="str">
            <v>Q/S15.1036-2020</v>
          </cell>
          <cell r="G632" t="str">
            <v>10-26</v>
          </cell>
        </row>
        <row r="633">
          <cell r="B633" t="str">
            <v>7101041031</v>
          </cell>
          <cell r="C633" t="str">
            <v>G2504-3780</v>
          </cell>
          <cell r="D633" t="str">
            <v>000042944239056621</v>
          </cell>
          <cell r="E633" t="str">
            <v>小十二角头螺钉</v>
          </cell>
          <cell r="F633" t="str">
            <v>Q/S15.1072-2016</v>
          </cell>
          <cell r="G633" t="str">
            <v>6-14d</v>
          </cell>
        </row>
        <row r="634">
          <cell r="B634" t="str">
            <v>7101041000</v>
          </cell>
          <cell r="C634" t="str">
            <v>G2502-0148</v>
          </cell>
          <cell r="D634" t="str">
            <v>000042944288002025</v>
          </cell>
          <cell r="E634" t="str">
            <v>厚自锁螺母,十角,MJ螺纹,材料GH738</v>
          </cell>
          <cell r="F634" t="str">
            <v>Q/S15.1089-2011</v>
          </cell>
          <cell r="G634" t="str">
            <v>8</v>
          </cell>
        </row>
        <row r="635">
          <cell r="B635" t="str">
            <v>7101040999</v>
          </cell>
          <cell r="C635" t="str">
            <v>G2508-0553</v>
          </cell>
          <cell r="D635" t="str">
            <v>000042944320024682</v>
          </cell>
          <cell r="E635" t="str">
            <v>铆钉</v>
          </cell>
          <cell r="F635" t="str">
            <v>11S70125</v>
          </cell>
          <cell r="G635" t="str">
            <v>-</v>
          </cell>
        </row>
        <row r="636">
          <cell r="B636" t="str">
            <v>7101040999</v>
          </cell>
          <cell r="C636" t="str">
            <v>G2508-2371</v>
          </cell>
          <cell r="D636" t="str">
            <v>000042944320024682</v>
          </cell>
          <cell r="E636" t="str">
            <v>铆钉</v>
          </cell>
          <cell r="F636" t="str">
            <v>11S70125</v>
          </cell>
          <cell r="G636" t="str">
            <v>-</v>
          </cell>
        </row>
        <row r="637">
          <cell r="B637" t="str">
            <v>7101040998</v>
          </cell>
          <cell r="C637" t="str">
            <v>G2502-0684</v>
          </cell>
          <cell r="D637" t="str">
            <v>000042944239121040</v>
          </cell>
          <cell r="E637" t="str">
            <v>前平衡螺栓</v>
          </cell>
          <cell r="F637" t="str">
            <v>S15.15.1221U</v>
          </cell>
          <cell r="G637" t="str">
            <v>-</v>
          </cell>
        </row>
        <row r="638">
          <cell r="B638" t="str">
            <v>7101040998</v>
          </cell>
          <cell r="C638" t="str">
            <v>G2502-0700</v>
          </cell>
          <cell r="D638" t="str">
            <v>000042944240084497</v>
          </cell>
          <cell r="E638" t="str">
            <v>螺柱</v>
          </cell>
          <cell r="F638" t="str">
            <v>11S30071</v>
          </cell>
          <cell r="G638" t="str">
            <v>Ⅳ</v>
          </cell>
        </row>
        <row r="639">
          <cell r="B639" t="str">
            <v>7101040998</v>
          </cell>
          <cell r="C639" t="str">
            <v>G2508-2359</v>
          </cell>
          <cell r="D639" t="str">
            <v>000042944240084497</v>
          </cell>
          <cell r="E639" t="str">
            <v>螺柱</v>
          </cell>
          <cell r="F639" t="str">
            <v>11S30071</v>
          </cell>
          <cell r="G639" t="str">
            <v>Ⅳ</v>
          </cell>
        </row>
        <row r="640">
          <cell r="B640" t="str">
            <v>7101040998</v>
          </cell>
          <cell r="C640" t="str">
            <v>G2502-1033</v>
          </cell>
          <cell r="D640" t="str">
            <v>000042944999000136</v>
          </cell>
          <cell r="E640" t="str">
            <v>孔探仪堵塞</v>
          </cell>
          <cell r="F640" t="str">
            <v>11S60094</v>
          </cell>
          <cell r="G640" t="str">
            <v>-</v>
          </cell>
        </row>
        <row r="641">
          <cell r="B641" t="str">
            <v>7101040997</v>
          </cell>
          <cell r="C641" t="str">
            <v>G2406-1275</v>
          </cell>
          <cell r="D641" t="str">
            <v>000042944240084472</v>
          </cell>
          <cell r="E641" t="str">
            <v>螺柱</v>
          </cell>
          <cell r="F641" t="str">
            <v>11S30071</v>
          </cell>
          <cell r="G641" t="str">
            <v>Ⅱ</v>
          </cell>
        </row>
        <row r="642">
          <cell r="B642" t="str">
            <v>7101040997</v>
          </cell>
          <cell r="C642" t="str">
            <v>G2508-2358</v>
          </cell>
          <cell r="D642" t="str">
            <v>000042944240084473</v>
          </cell>
          <cell r="E642" t="str">
            <v>螺柱</v>
          </cell>
          <cell r="F642" t="str">
            <v>11S30071</v>
          </cell>
          <cell r="G642" t="str">
            <v>Ⅲ</v>
          </cell>
        </row>
        <row r="643">
          <cell r="B643" t="str">
            <v>7101040997</v>
          </cell>
          <cell r="C643" t="str">
            <v>G2504-1803</v>
          </cell>
          <cell r="D643" t="str">
            <v>000042944240084473</v>
          </cell>
          <cell r="E643" t="str">
            <v>螺柱</v>
          </cell>
          <cell r="F643" t="str">
            <v>11S30071</v>
          </cell>
          <cell r="G643" t="str">
            <v>Ⅲ</v>
          </cell>
        </row>
        <row r="644">
          <cell r="B644" t="str">
            <v>7101040997</v>
          </cell>
          <cell r="C644" t="str">
            <v>G2508-2358</v>
          </cell>
          <cell r="D644" t="str">
            <v>000042944240084473</v>
          </cell>
          <cell r="E644" t="str">
            <v>螺柱</v>
          </cell>
          <cell r="F644" t="str">
            <v>11S30071</v>
          </cell>
          <cell r="G644" t="str">
            <v>Ⅲ</v>
          </cell>
        </row>
        <row r="645">
          <cell r="B645" t="str">
            <v>7101040996</v>
          </cell>
          <cell r="C645" t="str">
            <v>G2508-0269</v>
          </cell>
          <cell r="D645" t="str">
            <v>000042944360100408</v>
          </cell>
          <cell r="E645" t="str">
            <v>联动环摇臂销</v>
          </cell>
          <cell r="F645" t="str">
            <v>S15.15.1006U</v>
          </cell>
          <cell r="G645" t="str">
            <v>-</v>
          </cell>
        </row>
        <row r="646">
          <cell r="B646" t="str">
            <v>7101040996</v>
          </cell>
          <cell r="C646" t="str">
            <v>G2412-2988</v>
          </cell>
          <cell r="D646" t="str">
            <v>000042944360100409</v>
          </cell>
          <cell r="E646" t="str">
            <v>零、二级曲柄销</v>
          </cell>
          <cell r="F646" t="str">
            <v>S15.15.1025U</v>
          </cell>
          <cell r="G646" t="str">
            <v>-</v>
          </cell>
        </row>
        <row r="647">
          <cell r="B647" t="str">
            <v>7101040994</v>
          </cell>
          <cell r="C647" t="str">
            <v>G2502-0590</v>
          </cell>
          <cell r="D647" t="str">
            <v>000042944239092284</v>
          </cell>
          <cell r="E647" t="str">
            <v>预旋喷嘴螺栓</v>
          </cell>
          <cell r="F647" t="str">
            <v>S15.44.1042PE</v>
          </cell>
          <cell r="G647" t="str">
            <v>-</v>
          </cell>
        </row>
        <row r="648">
          <cell r="B648" t="str">
            <v>7101040994</v>
          </cell>
          <cell r="C648" t="str">
            <v>G2507-0897</v>
          </cell>
          <cell r="D648" t="str">
            <v>000042944239084307</v>
          </cell>
          <cell r="E648" t="str">
            <v>十二角头螺栓</v>
          </cell>
          <cell r="F648" t="str">
            <v>S15.44.1045PE</v>
          </cell>
          <cell r="G648" t="str">
            <v>-</v>
          </cell>
        </row>
        <row r="649">
          <cell r="B649" t="str">
            <v>7101040994</v>
          </cell>
          <cell r="C649" t="str">
            <v>G2502-0588</v>
          </cell>
          <cell r="D649" t="str">
            <v>000042944239084308</v>
          </cell>
          <cell r="E649" t="str">
            <v>十二角头螺栓</v>
          </cell>
          <cell r="F649" t="str">
            <v>S15.44.1046PE</v>
          </cell>
          <cell r="G649" t="str">
            <v>-</v>
          </cell>
        </row>
        <row r="650">
          <cell r="B650" t="str">
            <v>7101040993</v>
          </cell>
          <cell r="C650" t="str">
            <v>G2507-0910</v>
          </cell>
          <cell r="D650" t="str">
            <v>000042944360070153</v>
          </cell>
          <cell r="E650" t="str">
            <v>涡轮外环销子</v>
          </cell>
          <cell r="F650" t="str">
            <v>S15.44.1036P</v>
          </cell>
          <cell r="G650" t="str">
            <v>-</v>
          </cell>
        </row>
        <row r="651">
          <cell r="B651" t="str">
            <v>7101040993</v>
          </cell>
          <cell r="C651" t="str">
            <v>G2508-0168</v>
          </cell>
          <cell r="D651" t="str">
            <v>000042944360005817</v>
          </cell>
          <cell r="E651" t="str">
            <v>销子</v>
          </cell>
          <cell r="F651" t="str">
            <v>S15.44.1032K</v>
          </cell>
          <cell r="G651" t="str">
            <v>-</v>
          </cell>
        </row>
        <row r="652">
          <cell r="B652" t="str">
            <v>7101040993</v>
          </cell>
          <cell r="C652" t="str">
            <v>G2508-0764</v>
          </cell>
          <cell r="D652" t="str">
            <v>000042944360084305</v>
          </cell>
          <cell r="E652" t="str">
            <v>导叶下定位销</v>
          </cell>
          <cell r="F652" t="str">
            <v>S15.44.1041PE</v>
          </cell>
          <cell r="G652" t="str">
            <v>-</v>
          </cell>
        </row>
        <row r="653">
          <cell r="B653" t="str">
            <v>7101040992</v>
          </cell>
          <cell r="C653" t="str">
            <v>G2504-2126</v>
          </cell>
          <cell r="D653" t="str">
            <v>000042944999008841</v>
          </cell>
          <cell r="E653" t="str">
            <v>调整垫片</v>
          </cell>
          <cell r="F653" t="str">
            <v>S15.30.1036</v>
          </cell>
          <cell r="G653" t="str">
            <v>Ⅱ</v>
          </cell>
        </row>
        <row r="654">
          <cell r="B654" t="str">
            <v>7101040992</v>
          </cell>
          <cell r="C654" t="str">
            <v>G2508-1626</v>
          </cell>
          <cell r="D654" t="str">
            <v>000042944239050228</v>
          </cell>
          <cell r="E654" t="str">
            <v>连杆螺栓</v>
          </cell>
          <cell r="F654" t="str">
            <v>S15.15.1261N</v>
          </cell>
          <cell r="G654" t="str">
            <v>-</v>
          </cell>
        </row>
        <row r="655">
          <cell r="B655" t="str">
            <v>7101040992</v>
          </cell>
          <cell r="C655" t="str">
            <v>G2504-2127</v>
          </cell>
          <cell r="D655" t="str">
            <v>000042944999008842</v>
          </cell>
          <cell r="E655" t="str">
            <v>调整垫片</v>
          </cell>
          <cell r="F655" t="str">
            <v>S15.30.1036</v>
          </cell>
          <cell r="G655" t="str">
            <v>Ⅲ</v>
          </cell>
        </row>
        <row r="656">
          <cell r="B656" t="str">
            <v>7101040991</v>
          </cell>
          <cell r="C656" t="str">
            <v>G2412-3554</v>
          </cell>
          <cell r="D656" t="str">
            <v>000042944999103068</v>
          </cell>
          <cell r="E656" t="str">
            <v>孔探仪堵塞</v>
          </cell>
          <cell r="F656" t="str">
            <v>S15.15.1176P</v>
          </cell>
          <cell r="G656" t="str">
            <v>-</v>
          </cell>
        </row>
        <row r="657">
          <cell r="B657" t="str">
            <v>7101040991</v>
          </cell>
          <cell r="C657" t="str">
            <v>G2502-0811</v>
          </cell>
          <cell r="D657" t="str">
            <v>000042944319138976</v>
          </cell>
          <cell r="E657" t="str">
            <v>平衡螺母</v>
          </cell>
          <cell r="F657" t="str">
            <v>S15.15.1223U</v>
          </cell>
          <cell r="G657" t="str">
            <v>-</v>
          </cell>
        </row>
        <row r="658">
          <cell r="B658" t="str">
            <v>7101040970</v>
          </cell>
          <cell r="C658" t="str">
            <v>G2504-1909</v>
          </cell>
          <cell r="D658" t="str">
            <v>000042944439050245</v>
          </cell>
          <cell r="E658" t="str">
            <v>大垫圈</v>
          </cell>
          <cell r="F658" t="str">
            <v>S15.15.1093N</v>
          </cell>
          <cell r="G658" t="str">
            <v>-</v>
          </cell>
        </row>
        <row r="659">
          <cell r="B659" t="str">
            <v>7101040970</v>
          </cell>
          <cell r="C659" t="str">
            <v>G2508-0479</v>
          </cell>
          <cell r="D659" t="str">
            <v>000042944239075210</v>
          </cell>
          <cell r="E659" t="str">
            <v>D头螺栓</v>
          </cell>
          <cell r="F659" t="str">
            <v>S15.15.1108P</v>
          </cell>
          <cell r="G659" t="str">
            <v>-</v>
          </cell>
        </row>
        <row r="660">
          <cell r="B660" t="str">
            <v>7101040970</v>
          </cell>
          <cell r="C660" t="str">
            <v>G2502-0867</v>
          </cell>
          <cell r="D660" t="str">
            <v>000042944360075211</v>
          </cell>
          <cell r="E660" t="str">
            <v>台阶销</v>
          </cell>
          <cell r="F660" t="str">
            <v>S15.15.1109P</v>
          </cell>
          <cell r="G660" t="str">
            <v>-</v>
          </cell>
        </row>
        <row r="661">
          <cell r="B661" t="str">
            <v>7101040969</v>
          </cell>
          <cell r="C661" t="str">
            <v>G2504-1331</v>
          </cell>
          <cell r="D661" t="str">
            <v>000042944239075208</v>
          </cell>
          <cell r="E661" t="str">
            <v>曲柄压紧螺栓</v>
          </cell>
          <cell r="F661" t="str">
            <v>S15.15.1038P</v>
          </cell>
          <cell r="G661" t="str">
            <v>-</v>
          </cell>
        </row>
        <row r="662">
          <cell r="B662" t="str">
            <v>7101040969</v>
          </cell>
          <cell r="C662" t="str">
            <v>G2508-2309</v>
          </cell>
          <cell r="D662" t="str">
            <v>000042944360005804</v>
          </cell>
          <cell r="E662" t="str">
            <v>圆柱销</v>
          </cell>
          <cell r="F662" t="str">
            <v>S15.15.1051</v>
          </cell>
          <cell r="G662" t="str">
            <v>-</v>
          </cell>
        </row>
        <row r="663">
          <cell r="B663" t="str">
            <v>7101040968</v>
          </cell>
          <cell r="C663" t="str">
            <v>G2504-0118</v>
          </cell>
          <cell r="D663" t="str">
            <v>000042944240110894</v>
          </cell>
          <cell r="E663" t="str">
            <v>螺桩</v>
          </cell>
          <cell r="F663" t="str">
            <v>11S30119</v>
          </cell>
          <cell r="G663" t="str">
            <v>4</v>
          </cell>
        </row>
        <row r="664">
          <cell r="B664" t="str">
            <v>7101040968</v>
          </cell>
          <cell r="C664" t="str">
            <v>G2504-0095</v>
          </cell>
          <cell r="D664" t="str">
            <v>000042944239023113</v>
          </cell>
          <cell r="E664" t="str">
            <v>十二角头精密螺栓</v>
          </cell>
          <cell r="F664" t="str">
            <v>11S10261</v>
          </cell>
          <cell r="G664" t="str">
            <v>-</v>
          </cell>
        </row>
        <row r="665">
          <cell r="B665" t="str">
            <v>7101040967</v>
          </cell>
          <cell r="C665" t="str">
            <v>G2504-1174</v>
          </cell>
          <cell r="D665" t="str">
            <v>000042944240110893</v>
          </cell>
          <cell r="E665" t="str">
            <v>螺桩</v>
          </cell>
          <cell r="F665" t="str">
            <v>11S30119</v>
          </cell>
          <cell r="G665" t="str">
            <v>3</v>
          </cell>
        </row>
        <row r="666">
          <cell r="B666" t="str">
            <v>7101040967</v>
          </cell>
          <cell r="C666" t="str">
            <v>G2504-1174</v>
          </cell>
          <cell r="D666" t="str">
            <v>000042944240110893</v>
          </cell>
          <cell r="E666" t="str">
            <v>螺桩</v>
          </cell>
          <cell r="F666" t="str">
            <v>11S30119</v>
          </cell>
          <cell r="G666" t="str">
            <v>3</v>
          </cell>
        </row>
        <row r="667">
          <cell r="B667" t="str">
            <v>7101040965</v>
          </cell>
          <cell r="C667" t="str">
            <v>G2504-0124</v>
          </cell>
          <cell r="D667" t="str">
            <v>000042944240110911</v>
          </cell>
          <cell r="E667" t="str">
            <v>螺桩</v>
          </cell>
          <cell r="F667" t="str">
            <v>11S30121</v>
          </cell>
          <cell r="G667" t="str">
            <v>1</v>
          </cell>
        </row>
        <row r="668">
          <cell r="B668" t="str">
            <v>7101040965</v>
          </cell>
          <cell r="C668" t="str">
            <v>G2504-0124</v>
          </cell>
          <cell r="D668" t="str">
            <v>000042944240110911</v>
          </cell>
          <cell r="E668" t="str">
            <v>螺桩</v>
          </cell>
          <cell r="F668" t="str">
            <v>11S30121</v>
          </cell>
          <cell r="G668" t="str">
            <v>1</v>
          </cell>
        </row>
        <row r="669">
          <cell r="B669" t="str">
            <v>7101040963</v>
          </cell>
          <cell r="C669" t="str">
            <v>G2508-1018</v>
          </cell>
          <cell r="D669" t="str">
            <v>000042944240110899</v>
          </cell>
          <cell r="E669" t="str">
            <v>螺桩</v>
          </cell>
          <cell r="F669" t="str">
            <v>11S30121</v>
          </cell>
          <cell r="G669" t="str">
            <v>3</v>
          </cell>
        </row>
        <row r="670">
          <cell r="B670" t="str">
            <v>7101040962</v>
          </cell>
          <cell r="C670" t="str">
            <v>G2504-0120</v>
          </cell>
          <cell r="D670" t="str">
            <v>000042944240110895</v>
          </cell>
          <cell r="E670" t="str">
            <v>螺桩</v>
          </cell>
          <cell r="F670" t="str">
            <v>11S30122</v>
          </cell>
          <cell r="G670" t="str">
            <v>2</v>
          </cell>
        </row>
        <row r="671">
          <cell r="B671" t="str">
            <v>7101040962</v>
          </cell>
          <cell r="C671" t="str">
            <v>G2504-0121</v>
          </cell>
          <cell r="D671" t="str">
            <v>000042944240110896</v>
          </cell>
          <cell r="E671" t="str">
            <v>螺桩</v>
          </cell>
          <cell r="F671" t="str">
            <v>11S30122</v>
          </cell>
          <cell r="G671" t="str">
            <v>3</v>
          </cell>
        </row>
        <row r="672">
          <cell r="B672" t="str">
            <v>7101040962</v>
          </cell>
          <cell r="C672" t="str">
            <v>G2504-0763</v>
          </cell>
          <cell r="D672" t="str">
            <v>000042944240110910</v>
          </cell>
          <cell r="E672" t="str">
            <v>螺桩</v>
          </cell>
          <cell r="F672" t="str">
            <v>11S30122</v>
          </cell>
          <cell r="G672" t="str">
            <v>1</v>
          </cell>
        </row>
        <row r="673">
          <cell r="B673" t="str">
            <v>7101040961</v>
          </cell>
          <cell r="C673" t="str">
            <v>G2504-0762</v>
          </cell>
          <cell r="D673" t="str">
            <v>000042944240110897</v>
          </cell>
          <cell r="E673" t="str">
            <v>螺桩</v>
          </cell>
          <cell r="F673" t="str">
            <v>11S30122</v>
          </cell>
          <cell r="G673" t="str">
            <v>4</v>
          </cell>
        </row>
        <row r="674">
          <cell r="B674" t="str">
            <v>7101040961</v>
          </cell>
          <cell r="C674" t="str">
            <v>G2504-0762</v>
          </cell>
          <cell r="D674" t="str">
            <v>000042944240110897</v>
          </cell>
          <cell r="E674" t="str">
            <v>螺桩</v>
          </cell>
          <cell r="F674" t="str">
            <v>11S30122</v>
          </cell>
          <cell r="G674" t="str">
            <v>4</v>
          </cell>
        </row>
        <row r="675">
          <cell r="B675" t="str">
            <v>7101040929</v>
          </cell>
          <cell r="C675" t="str">
            <v>G2504-0087</v>
          </cell>
          <cell r="D675" t="str">
            <v>000042944360117833</v>
          </cell>
          <cell r="E675" t="str">
            <v>定位销</v>
          </cell>
          <cell r="F675" t="str">
            <v>11S70241</v>
          </cell>
          <cell r="G675" t="str">
            <v>-</v>
          </cell>
        </row>
        <row r="676">
          <cell r="B676" t="str">
            <v>7101040927</v>
          </cell>
          <cell r="C676" t="str">
            <v>G2502-0882</v>
          </cell>
          <cell r="D676" t="str">
            <v>000042944360113304</v>
          </cell>
          <cell r="E676" t="str">
            <v>防转销</v>
          </cell>
          <cell r="F676" t="str">
            <v>11S70260</v>
          </cell>
          <cell r="G676" t="str">
            <v>-</v>
          </cell>
        </row>
        <row r="677">
          <cell r="B677" t="str">
            <v>7101040927</v>
          </cell>
          <cell r="C677" t="str">
            <v>G2504-1032</v>
          </cell>
          <cell r="D677" t="str">
            <v>000042944360115893</v>
          </cell>
          <cell r="E677" t="str">
            <v>销钉</v>
          </cell>
          <cell r="F677" t="str">
            <v>11S70255</v>
          </cell>
          <cell r="G677" t="str">
            <v>-</v>
          </cell>
        </row>
        <row r="678">
          <cell r="B678" t="str">
            <v>7101040927</v>
          </cell>
          <cell r="C678" t="str">
            <v>G2504-1032</v>
          </cell>
          <cell r="D678" t="str">
            <v>000042944360115893</v>
          </cell>
          <cell r="E678" t="str">
            <v>销钉</v>
          </cell>
          <cell r="F678" t="str">
            <v>11S70255</v>
          </cell>
          <cell r="G678" t="str">
            <v>-</v>
          </cell>
        </row>
        <row r="679">
          <cell r="B679" t="str">
            <v>7101040926</v>
          </cell>
          <cell r="C679" t="str">
            <v>G2504-0160</v>
          </cell>
          <cell r="D679" t="str">
            <v>000042944360113289</v>
          </cell>
          <cell r="E679" t="str">
            <v>防转销</v>
          </cell>
          <cell r="F679" t="str">
            <v>11S70154</v>
          </cell>
          <cell r="G679" t="str">
            <v>-</v>
          </cell>
        </row>
        <row r="680">
          <cell r="B680" t="str">
            <v>7101040926</v>
          </cell>
          <cell r="C680" t="str">
            <v>G2508-1047</v>
          </cell>
          <cell r="D680" t="str">
            <v>000042944999000130</v>
          </cell>
          <cell r="E680" t="str">
            <v>轴用钢丝卡圈</v>
          </cell>
          <cell r="F680" t="str">
            <v>11S50214</v>
          </cell>
          <cell r="G680" t="str">
            <v>-</v>
          </cell>
        </row>
        <row r="681">
          <cell r="B681" t="str">
            <v>7101040926</v>
          </cell>
          <cell r="C681" t="str">
            <v>G2509-0866</v>
          </cell>
          <cell r="D681" t="str">
            <v>000042944999000128</v>
          </cell>
          <cell r="E681" t="str">
            <v>锁片</v>
          </cell>
          <cell r="F681" t="str">
            <v>11S50211</v>
          </cell>
          <cell r="G681" t="str">
            <v>-</v>
          </cell>
        </row>
        <row r="682">
          <cell r="B682" t="str">
            <v>7101040923</v>
          </cell>
          <cell r="C682" t="str">
            <v>G2508-1046</v>
          </cell>
          <cell r="D682" t="str">
            <v>000042944440113870</v>
          </cell>
          <cell r="E682" t="str">
            <v>挡圈</v>
          </cell>
          <cell r="F682" t="str">
            <v>019112000701</v>
          </cell>
          <cell r="G682" t="str">
            <v>-</v>
          </cell>
        </row>
        <row r="683">
          <cell r="B683" t="str">
            <v>7101040923</v>
          </cell>
          <cell r="C683" t="str">
            <v>G2508-1046</v>
          </cell>
          <cell r="D683" t="str">
            <v>000042944440113870</v>
          </cell>
          <cell r="E683" t="str">
            <v>挡圈</v>
          </cell>
          <cell r="F683" t="str">
            <v>019112000701</v>
          </cell>
          <cell r="G683" t="str">
            <v>-</v>
          </cell>
        </row>
        <row r="684">
          <cell r="B684" t="str">
            <v>7101040922</v>
          </cell>
          <cell r="C684" t="str">
            <v>G2504-1295</v>
          </cell>
          <cell r="D684" t="str">
            <v>000042944439108274</v>
          </cell>
          <cell r="E684" t="str">
            <v>保护垫圈</v>
          </cell>
          <cell r="F684" t="str">
            <v>019155017901</v>
          </cell>
          <cell r="G684" t="str">
            <v>-</v>
          </cell>
        </row>
        <row r="685">
          <cell r="B685" t="str">
            <v>7101040909</v>
          </cell>
          <cell r="C685" t="str">
            <v>G2508-1030</v>
          </cell>
          <cell r="D685" t="str">
            <v>000042944239023042</v>
          </cell>
          <cell r="E685" t="str">
            <v>十二角头螺栓</v>
          </cell>
          <cell r="F685" t="str">
            <v>11S10260</v>
          </cell>
          <cell r="G685" t="str">
            <v>-</v>
          </cell>
        </row>
        <row r="686">
          <cell r="B686" t="str">
            <v>7101040909</v>
          </cell>
          <cell r="C686" t="str">
            <v>G2504-0550</v>
          </cell>
          <cell r="D686" t="str">
            <v>000042944239023042</v>
          </cell>
          <cell r="E686" t="str">
            <v>十二角头螺栓</v>
          </cell>
          <cell r="F686" t="str">
            <v>11S10260</v>
          </cell>
          <cell r="G686" t="str">
            <v>-</v>
          </cell>
        </row>
        <row r="687">
          <cell r="B687" t="str">
            <v>7101040908</v>
          </cell>
          <cell r="C687" t="str">
            <v>G2504-0095</v>
          </cell>
          <cell r="D687" t="str">
            <v>000042944239023113</v>
          </cell>
          <cell r="E687" t="str">
            <v>十二角头精密螺栓</v>
          </cell>
          <cell r="F687" t="str">
            <v>11S10261</v>
          </cell>
          <cell r="G687" t="str">
            <v>-</v>
          </cell>
        </row>
        <row r="688">
          <cell r="B688" t="str">
            <v>7101040908</v>
          </cell>
          <cell r="C688" t="str">
            <v>G2509-0412</v>
          </cell>
          <cell r="D688" t="str">
            <v>000042944239023113</v>
          </cell>
          <cell r="E688" t="str">
            <v>十二角头精密螺栓</v>
          </cell>
          <cell r="F688" t="str">
            <v>11S10261</v>
          </cell>
          <cell r="G688" t="str">
            <v>-</v>
          </cell>
        </row>
        <row r="689">
          <cell r="B689" t="str">
            <v>7101040907</v>
          </cell>
          <cell r="C689" t="str">
            <v>G2504-0760</v>
          </cell>
          <cell r="D689" t="str">
            <v>000042944239031551</v>
          </cell>
          <cell r="E689" t="str">
            <v>六角头螺栓</v>
          </cell>
          <cell r="F689" t="str">
            <v>11S10269</v>
          </cell>
          <cell r="G689" t="str">
            <v>-</v>
          </cell>
        </row>
        <row r="690">
          <cell r="B690" t="str">
            <v>7101040907</v>
          </cell>
          <cell r="C690" t="str">
            <v>G2504-0760</v>
          </cell>
          <cell r="D690" t="str">
            <v>000042944239031551</v>
          </cell>
          <cell r="E690" t="str">
            <v>六角头螺栓</v>
          </cell>
          <cell r="F690" t="str">
            <v>11S10269</v>
          </cell>
          <cell r="G690" t="str">
            <v>-</v>
          </cell>
        </row>
        <row r="691">
          <cell r="B691" t="str">
            <v>7101040906</v>
          </cell>
          <cell r="C691" t="str">
            <v>G2504-0087</v>
          </cell>
          <cell r="D691" t="str">
            <v>000042944360117833</v>
          </cell>
          <cell r="E691" t="str">
            <v>定位销</v>
          </cell>
          <cell r="F691" t="str">
            <v>11S70241</v>
          </cell>
          <cell r="G691" t="str">
            <v>-</v>
          </cell>
        </row>
        <row r="692">
          <cell r="B692" t="str">
            <v>7101040906</v>
          </cell>
          <cell r="C692" t="str">
            <v>G2510-0208</v>
          </cell>
          <cell r="D692" t="str">
            <v>000042944320126701</v>
          </cell>
          <cell r="E692" t="str">
            <v>铆钉</v>
          </cell>
          <cell r="F692" t="str">
            <v>11S70201</v>
          </cell>
          <cell r="G692" t="str">
            <v>Ⅲ</v>
          </cell>
        </row>
        <row r="693">
          <cell r="B693" t="str">
            <v>7101040902</v>
          </cell>
          <cell r="C693" t="str">
            <v>G2502-0882</v>
          </cell>
          <cell r="D693" t="str">
            <v>000042944360113304</v>
          </cell>
          <cell r="E693" t="str">
            <v>防转销</v>
          </cell>
          <cell r="F693" t="str">
            <v>11S70260</v>
          </cell>
          <cell r="G693" t="str">
            <v>-</v>
          </cell>
        </row>
        <row r="694">
          <cell r="B694" t="str">
            <v>7101040902</v>
          </cell>
          <cell r="C694" t="str">
            <v>G2508-1729</v>
          </cell>
          <cell r="D694" t="str">
            <v>000042944288143585</v>
          </cell>
          <cell r="E694" t="str">
            <v>十二角自锁螺母</v>
          </cell>
          <cell r="F694" t="str">
            <v>11S40098</v>
          </cell>
          <cell r="G694" t="str">
            <v>-</v>
          </cell>
        </row>
        <row r="695">
          <cell r="B695" t="str">
            <v>7101040902</v>
          </cell>
          <cell r="C695" t="str">
            <v>G2508-1729</v>
          </cell>
          <cell r="D695" t="str">
            <v>000042944288143585</v>
          </cell>
          <cell r="E695" t="str">
            <v>十二角自锁螺母</v>
          </cell>
          <cell r="F695" t="str">
            <v>11S40098</v>
          </cell>
          <cell r="G695" t="str">
            <v>-</v>
          </cell>
        </row>
        <row r="696">
          <cell r="B696" t="str">
            <v>7101040887</v>
          </cell>
          <cell r="C696" t="str">
            <v>G2507-0997</v>
          </cell>
          <cell r="D696" t="str">
            <v>000042944283000226</v>
          </cell>
          <cell r="E696" t="str">
            <v>圆螺母</v>
          </cell>
          <cell r="F696" t="str">
            <v>S20.4.2004</v>
          </cell>
          <cell r="G696" t="str">
            <v>-</v>
          </cell>
        </row>
        <row r="697">
          <cell r="B697" t="str">
            <v>7101040887</v>
          </cell>
          <cell r="C697" t="str">
            <v>G2501-0204</v>
          </cell>
          <cell r="D697" t="str">
            <v>000042944283000227</v>
          </cell>
          <cell r="E697" t="str">
            <v>圆螺母</v>
          </cell>
          <cell r="F697" t="str">
            <v>S20.4.2005</v>
          </cell>
          <cell r="G697" t="str">
            <v>-</v>
          </cell>
        </row>
        <row r="698">
          <cell r="B698" t="str">
            <v>7101040885</v>
          </cell>
          <cell r="C698" t="str">
            <v>G2504-1295</v>
          </cell>
          <cell r="D698" t="str">
            <v>000042944439108274</v>
          </cell>
          <cell r="E698" t="str">
            <v>保护垫圈</v>
          </cell>
          <cell r="F698" t="str">
            <v>019155017901</v>
          </cell>
          <cell r="G698" t="str">
            <v>-</v>
          </cell>
        </row>
        <row r="699">
          <cell r="B699" t="str">
            <v>7101040881</v>
          </cell>
          <cell r="C699" t="str">
            <v>G2508-0474</v>
          </cell>
          <cell r="D699" t="str">
            <v>000042944360100408</v>
          </cell>
          <cell r="E699" t="str">
            <v>联动环摇臂销</v>
          </cell>
          <cell r="F699" t="str">
            <v>S15.15.1006U</v>
          </cell>
          <cell r="G699" t="str">
            <v>-</v>
          </cell>
        </row>
        <row r="700">
          <cell r="B700" t="str">
            <v>7101040881</v>
          </cell>
          <cell r="C700" t="str">
            <v>G2502-0876</v>
          </cell>
          <cell r="D700" t="str">
            <v>000042944360100409</v>
          </cell>
          <cell r="E700" t="str">
            <v>零、二级曲柄销</v>
          </cell>
          <cell r="F700" t="str">
            <v>S15.15.1025U</v>
          </cell>
          <cell r="G700" t="str">
            <v>-</v>
          </cell>
        </row>
        <row r="701">
          <cell r="B701" t="str">
            <v>7101040869</v>
          </cell>
          <cell r="C701" t="str">
            <v>G2504-1855</v>
          </cell>
          <cell r="D701" t="str">
            <v>000042944360070120</v>
          </cell>
          <cell r="E701" t="str">
            <v>内机匣销</v>
          </cell>
          <cell r="F701" t="str">
            <v>S15.15.1030P</v>
          </cell>
          <cell r="G701" t="str">
            <v>Ⅰ</v>
          </cell>
        </row>
        <row r="702">
          <cell r="B702" t="str">
            <v>7101040869</v>
          </cell>
          <cell r="C702" t="str">
            <v>G2508-0479</v>
          </cell>
          <cell r="D702" t="str">
            <v>000042944239075210</v>
          </cell>
          <cell r="E702" t="str">
            <v>D头螺栓</v>
          </cell>
          <cell r="F702" t="str">
            <v>S15.15.1108P</v>
          </cell>
          <cell r="G702" t="str">
            <v>-</v>
          </cell>
        </row>
        <row r="703">
          <cell r="B703" t="str">
            <v>7101040775</v>
          </cell>
          <cell r="C703" t="str">
            <v>G2503-2727</v>
          </cell>
          <cell r="D703" t="str">
            <v>000042944440061542</v>
          </cell>
          <cell r="E703" t="str">
            <v>孔用弹性挡圈-A型</v>
          </cell>
          <cell r="F703" t="str">
            <v>GB893.1-1986</v>
          </cell>
          <cell r="G703" t="str">
            <v>200</v>
          </cell>
        </row>
        <row r="704">
          <cell r="B704" t="str">
            <v>7101040773</v>
          </cell>
          <cell r="C704" t="str">
            <v>G2507-0934</v>
          </cell>
          <cell r="D704" t="str">
            <v>000042944288002044</v>
          </cell>
          <cell r="E704" t="str">
            <v>MJ螺纹十二角自锁螺母</v>
          </cell>
          <cell r="F704" t="str">
            <v>Q/S15.1103-2011</v>
          </cell>
          <cell r="G704" t="str">
            <v>8</v>
          </cell>
        </row>
        <row r="705">
          <cell r="B705" t="str">
            <v>7101040771</v>
          </cell>
          <cell r="C705" t="str">
            <v>G2507-0870</v>
          </cell>
          <cell r="D705" t="str">
            <v>000042944239070145</v>
          </cell>
          <cell r="E705" t="str">
            <v>四级螺栓组件</v>
          </cell>
          <cell r="F705" t="str">
            <v>S15.15.1856P</v>
          </cell>
          <cell r="G705" t="str">
            <v>-</v>
          </cell>
        </row>
        <row r="706">
          <cell r="B706" t="str">
            <v>7101040770</v>
          </cell>
          <cell r="C706" t="str">
            <v>G2508-2017</v>
          </cell>
          <cell r="D706" t="str">
            <v>000042944239070144</v>
          </cell>
          <cell r="E706" t="str">
            <v>二级螺栓组件</v>
          </cell>
          <cell r="F706" t="str">
            <v>S15.15.1855P</v>
          </cell>
          <cell r="G706" t="str">
            <v>-</v>
          </cell>
        </row>
        <row r="707">
          <cell r="B707" t="str">
            <v>7101040769</v>
          </cell>
          <cell r="C707" t="str">
            <v>G2412-3005</v>
          </cell>
          <cell r="D707" t="str">
            <v>000042944239070134</v>
          </cell>
          <cell r="E707" t="str">
            <v>篦齿盘螺栓</v>
          </cell>
          <cell r="F707" t="str">
            <v>S15.15.1158P</v>
          </cell>
          <cell r="G707" t="str">
            <v>-</v>
          </cell>
        </row>
        <row r="708">
          <cell r="B708" t="str">
            <v>7101040767</v>
          </cell>
          <cell r="C708" t="str">
            <v>G2508-0269</v>
          </cell>
          <cell r="D708" t="str">
            <v>000042944360100408</v>
          </cell>
          <cell r="E708" t="str">
            <v>联动环摇臂销</v>
          </cell>
          <cell r="F708" t="str">
            <v>S15.15.1006U</v>
          </cell>
          <cell r="G708" t="str">
            <v>-</v>
          </cell>
        </row>
        <row r="709">
          <cell r="B709" t="str">
            <v>7101040766</v>
          </cell>
          <cell r="C709" t="str">
            <v>G2509-2055</v>
          </cell>
          <cell r="D709" t="str">
            <v>000042944404000554</v>
          </cell>
          <cell r="E709" t="str">
            <v>角形垂直单耳止动垫圈</v>
          </cell>
          <cell r="F709" t="str">
            <v>Q/S15.1165-2011</v>
          </cell>
          <cell r="G709" t="str">
            <v>A-6-12</v>
          </cell>
        </row>
        <row r="710">
          <cell r="B710" t="str">
            <v>7101040761</v>
          </cell>
          <cell r="C710" t="str">
            <v>G2504-1096</v>
          </cell>
          <cell r="D710" t="str">
            <v>000042944288002041</v>
          </cell>
          <cell r="E710" t="str">
            <v>MJ螺纹十二角自锁螺母</v>
          </cell>
          <cell r="F710" t="str">
            <v>Q/S15.1103-2011</v>
          </cell>
          <cell r="G710" t="str">
            <v>10</v>
          </cell>
        </row>
        <row r="711">
          <cell r="B711" t="str">
            <v>7101040759</v>
          </cell>
          <cell r="C711" t="str">
            <v>G2507-0898</v>
          </cell>
          <cell r="D711" t="str">
            <v>000042944239087736</v>
          </cell>
          <cell r="E711" t="str">
            <v>螺栓,小十二角头,带减轻孔,MJ螺纹,螺纹公差带4h6h,材</v>
          </cell>
          <cell r="F711" t="str">
            <v>Q/S15.1036-2020</v>
          </cell>
          <cell r="G711" t="str">
            <v>10-26</v>
          </cell>
        </row>
        <row r="712">
          <cell r="B712" t="str">
            <v>7101040757</v>
          </cell>
          <cell r="C712" t="str">
            <v>G2504-1567</v>
          </cell>
          <cell r="D712" t="str">
            <v>000042944319125336</v>
          </cell>
          <cell r="E712" t="str">
            <v>外套螺母</v>
          </cell>
          <cell r="F712" t="str">
            <v>019153114702</v>
          </cell>
          <cell r="G712" t="str">
            <v>-</v>
          </cell>
        </row>
        <row r="713">
          <cell r="B713" t="str">
            <v>7101040755</v>
          </cell>
          <cell r="C713" t="str">
            <v>G2504-1324</v>
          </cell>
          <cell r="D713" t="str">
            <v>000042944320126701</v>
          </cell>
          <cell r="E713" t="str">
            <v>铆钉</v>
          </cell>
          <cell r="F713" t="str">
            <v>11S70201</v>
          </cell>
          <cell r="G713" t="str">
            <v>Ⅲ</v>
          </cell>
        </row>
        <row r="714">
          <cell r="B714" t="str">
            <v>7101040754</v>
          </cell>
          <cell r="C714" t="str">
            <v>G2509-1827</v>
          </cell>
          <cell r="D714" t="str">
            <v>000042944320126748</v>
          </cell>
          <cell r="E714" t="str">
            <v>沉头铆钉</v>
          </cell>
          <cell r="F714" t="str">
            <v>019155039201</v>
          </cell>
          <cell r="G714" t="str">
            <v>-</v>
          </cell>
        </row>
        <row r="715">
          <cell r="B715" t="str">
            <v>7101040753</v>
          </cell>
          <cell r="C715" t="str">
            <v>G2503-0257</v>
          </cell>
          <cell r="D715" t="str">
            <v>000042944320126745</v>
          </cell>
          <cell r="E715" t="str">
            <v>A8调节片中铆钉</v>
          </cell>
          <cell r="F715" t="str">
            <v>019155039001</v>
          </cell>
          <cell r="G715" t="str">
            <v>-</v>
          </cell>
        </row>
        <row r="716">
          <cell r="B716" t="str">
            <v>7101040752</v>
          </cell>
          <cell r="C716" t="str">
            <v>G2502-0835</v>
          </cell>
          <cell r="D716" t="str">
            <v>000042944320126744</v>
          </cell>
          <cell r="E716" t="str">
            <v>A8调节片前铆钉</v>
          </cell>
          <cell r="F716" t="str">
            <v>019155038901</v>
          </cell>
          <cell r="G716" t="str">
            <v>-</v>
          </cell>
        </row>
        <row r="717">
          <cell r="B717" t="str">
            <v>7101040751</v>
          </cell>
          <cell r="C717" t="str">
            <v>G2504-1235</v>
          </cell>
          <cell r="D717" t="str">
            <v>000042944439125108</v>
          </cell>
          <cell r="E717" t="str">
            <v>垫圈</v>
          </cell>
          <cell r="F717" t="str">
            <v>019152103402</v>
          </cell>
          <cell r="G717" t="str">
            <v>-</v>
          </cell>
        </row>
        <row r="718">
          <cell r="B718" t="str">
            <v>7101040738</v>
          </cell>
          <cell r="C718" t="str">
            <v>G2505-7501</v>
          </cell>
          <cell r="D718" t="str">
            <v>000042944360005808</v>
          </cell>
          <cell r="E718" t="str">
            <v>销</v>
          </cell>
          <cell r="F718" t="str">
            <v>S15.15.1088</v>
          </cell>
          <cell r="G718" t="str">
            <v>-</v>
          </cell>
        </row>
        <row r="719">
          <cell r="B719" t="str">
            <v>7101040736</v>
          </cell>
          <cell r="C719" t="str">
            <v>G2508-1382</v>
          </cell>
          <cell r="D719" t="str">
            <v>000042944440122844</v>
          </cell>
          <cell r="E719" t="str">
            <v>挡圈</v>
          </cell>
          <cell r="F719" t="str">
            <v>S15.34.1063UA</v>
          </cell>
          <cell r="G719" t="str">
            <v>-</v>
          </cell>
        </row>
        <row r="720">
          <cell r="B720" t="str">
            <v>7101040735</v>
          </cell>
          <cell r="C720" t="str">
            <v>G2412-3139</v>
          </cell>
          <cell r="D720" t="str">
            <v>000042944240083737</v>
          </cell>
          <cell r="E720" t="str">
            <v>螺柱</v>
          </cell>
          <cell r="F720" t="str">
            <v>S15.30.1084PE</v>
          </cell>
          <cell r="G720" t="str">
            <v>-</v>
          </cell>
        </row>
        <row r="721">
          <cell r="B721" t="str">
            <v>7101040734</v>
          </cell>
          <cell r="C721" t="str">
            <v>G2502-0867</v>
          </cell>
          <cell r="D721" t="str">
            <v>000042944360075211</v>
          </cell>
          <cell r="E721" t="str">
            <v>台阶销</v>
          </cell>
          <cell r="F721" t="str">
            <v>S15.15.1109P</v>
          </cell>
          <cell r="G721" t="str">
            <v>-</v>
          </cell>
        </row>
        <row r="722">
          <cell r="B722" t="str">
            <v>7101040733</v>
          </cell>
          <cell r="C722" t="str">
            <v>G2504-1856</v>
          </cell>
          <cell r="D722" t="str">
            <v>000042944360070121</v>
          </cell>
          <cell r="E722" t="str">
            <v>内机匣销</v>
          </cell>
          <cell r="F722" t="str">
            <v>S15.15.1030P</v>
          </cell>
          <cell r="G722" t="str">
            <v>Ⅱ</v>
          </cell>
        </row>
        <row r="723">
          <cell r="B723" t="str">
            <v>7101040731</v>
          </cell>
          <cell r="C723" t="str">
            <v>G2507-0942</v>
          </cell>
          <cell r="D723" t="str">
            <v>000042944404075218</v>
          </cell>
          <cell r="E723" t="str">
            <v>角型垂直单耳止动垫圈</v>
          </cell>
          <cell r="F723" t="str">
            <v>Q/S15.1165-2011</v>
          </cell>
          <cell r="G723" t="str">
            <v>A-10-18</v>
          </cell>
        </row>
        <row r="724">
          <cell r="B724" t="str">
            <v>7101040719</v>
          </cell>
          <cell r="C724" t="str">
            <v>G2507-1990</v>
          </cell>
          <cell r="D724" t="str">
            <v>000042944288002018</v>
          </cell>
          <cell r="E724" t="str">
            <v>薄自锁螺母,六角,MJ螺纹,螺纹公差带4H5H,镀银,材料G</v>
          </cell>
          <cell r="F724" t="str">
            <v>Q/S15.1082-2016</v>
          </cell>
          <cell r="G724" t="str">
            <v>6</v>
          </cell>
        </row>
        <row r="725">
          <cell r="B725" t="str">
            <v>7101040717</v>
          </cell>
          <cell r="C725" t="str">
            <v>G2504-7024</v>
          </cell>
          <cell r="D725" t="str">
            <v>000042944319002130</v>
          </cell>
          <cell r="E725" t="str">
            <v>外套螺母</v>
          </cell>
          <cell r="F725" t="str">
            <v>S20.4.2010</v>
          </cell>
          <cell r="G725" t="str">
            <v>-</v>
          </cell>
        </row>
        <row r="726">
          <cell r="B726" t="str">
            <v>7101040716</v>
          </cell>
          <cell r="C726" t="str">
            <v>G2504-0472</v>
          </cell>
          <cell r="D726" t="str">
            <v>000042944360005935</v>
          </cell>
          <cell r="E726" t="str">
            <v>销钉</v>
          </cell>
          <cell r="F726" t="str">
            <v>S20.7.2015</v>
          </cell>
          <cell r="G726" t="str">
            <v>-</v>
          </cell>
        </row>
        <row r="727">
          <cell r="B727" t="str">
            <v>7101040714</v>
          </cell>
          <cell r="C727" t="str">
            <v>G2503-3142</v>
          </cell>
          <cell r="D727" t="str">
            <v>000042944440122844</v>
          </cell>
          <cell r="E727" t="str">
            <v>挡圈</v>
          </cell>
          <cell r="F727" t="str">
            <v>S15.34.1063UA</v>
          </cell>
          <cell r="G727" t="str">
            <v>-</v>
          </cell>
        </row>
        <row r="728">
          <cell r="B728" t="str">
            <v>7101040714</v>
          </cell>
          <cell r="C728" t="str">
            <v>G2508-2297</v>
          </cell>
          <cell r="D728" t="str">
            <v>000042944440122844</v>
          </cell>
          <cell r="E728" t="str">
            <v>挡圈</v>
          </cell>
          <cell r="F728" t="str">
            <v>S15.34.1063UA</v>
          </cell>
          <cell r="G728" t="str">
            <v>-</v>
          </cell>
        </row>
        <row r="729">
          <cell r="B729" t="str">
            <v>7101040713</v>
          </cell>
          <cell r="C729" t="str">
            <v>G2504-1029</v>
          </cell>
          <cell r="D729" t="str">
            <v>000042944319119604</v>
          </cell>
          <cell r="E729" t="str">
            <v>花螺母</v>
          </cell>
          <cell r="F729" t="str">
            <v>019155030101</v>
          </cell>
          <cell r="G729" t="str">
            <v>-</v>
          </cell>
        </row>
        <row r="730">
          <cell r="B730" t="str">
            <v>7101040712</v>
          </cell>
          <cell r="C730" t="str">
            <v>G2501-0178</v>
          </cell>
          <cell r="D730" t="str">
            <v>000042944360127104</v>
          </cell>
          <cell r="E730" t="str">
            <v>销子</v>
          </cell>
          <cell r="F730" t="str">
            <v>019155019001</v>
          </cell>
          <cell r="G730" t="str">
            <v>-</v>
          </cell>
        </row>
        <row r="731">
          <cell r="B731" t="str">
            <v>7101040693</v>
          </cell>
          <cell r="C731" t="str">
            <v>G2501-0204</v>
          </cell>
          <cell r="D731" t="str">
            <v>000042944283000227</v>
          </cell>
          <cell r="E731" t="str">
            <v>圆螺母</v>
          </cell>
          <cell r="F731" t="str">
            <v>S20.4.2005</v>
          </cell>
          <cell r="G731" t="str">
            <v>-</v>
          </cell>
        </row>
        <row r="732">
          <cell r="B732" t="str">
            <v>7101040692</v>
          </cell>
          <cell r="C732" t="str">
            <v>G2508-0932</v>
          </cell>
          <cell r="D732" t="str">
            <v>000042944283000226</v>
          </cell>
          <cell r="E732" t="str">
            <v>圆螺母</v>
          </cell>
          <cell r="F732" t="str">
            <v>S20.4.2004</v>
          </cell>
          <cell r="G732" t="str">
            <v>-</v>
          </cell>
        </row>
        <row r="733">
          <cell r="B733" t="str">
            <v>7101040691</v>
          </cell>
          <cell r="C733" t="str">
            <v>G2509-1565</v>
          </cell>
          <cell r="D733" t="str">
            <v>000042944281004785</v>
          </cell>
          <cell r="E733" t="str">
            <v>六角螺母</v>
          </cell>
          <cell r="F733" t="str">
            <v>S20.4.2002</v>
          </cell>
          <cell r="G733" t="str">
            <v>-</v>
          </cell>
        </row>
        <row r="734">
          <cell r="B734" t="str">
            <v>7101040494</v>
          </cell>
          <cell r="C734" t="str">
            <v>G2508-1014</v>
          </cell>
          <cell r="D734" t="str">
            <v>000042944201113465</v>
          </cell>
          <cell r="E734" t="str">
            <v>六角螺栓</v>
          </cell>
          <cell r="F734" t="str">
            <v>11S20170</v>
          </cell>
          <cell r="G734" t="str">
            <v>-</v>
          </cell>
        </row>
        <row r="735">
          <cell r="B735" t="str">
            <v>7101040493</v>
          </cell>
          <cell r="C735" t="str">
            <v>G2504-0168</v>
          </cell>
          <cell r="D735" t="str">
            <v>000042944201113463</v>
          </cell>
          <cell r="E735" t="str">
            <v>六角螺栓</v>
          </cell>
          <cell r="F735" t="str">
            <v>11S10441</v>
          </cell>
          <cell r="G735" t="str">
            <v>-</v>
          </cell>
        </row>
        <row r="736">
          <cell r="B736" t="str">
            <v>7101040492</v>
          </cell>
          <cell r="C736" t="str">
            <v>G2504-1380</v>
          </cell>
          <cell r="D736" t="str">
            <v>000042944201113462</v>
          </cell>
          <cell r="E736" t="str">
            <v>六角头精密螺栓</v>
          </cell>
          <cell r="F736" t="str">
            <v>11S10439</v>
          </cell>
          <cell r="G736" t="str">
            <v>-</v>
          </cell>
        </row>
        <row r="737">
          <cell r="B737" t="str">
            <v>7101040491</v>
          </cell>
          <cell r="C737" t="str">
            <v>G2504-1380</v>
          </cell>
          <cell r="D737" t="str">
            <v>000042944201113462</v>
          </cell>
          <cell r="E737" t="str">
            <v>六角头精密螺栓</v>
          </cell>
          <cell r="F737" t="str">
            <v>11S10439</v>
          </cell>
          <cell r="G737" t="str">
            <v>-</v>
          </cell>
        </row>
        <row r="738">
          <cell r="B738" t="str">
            <v>7101040470</v>
          </cell>
          <cell r="C738" t="str">
            <v>G2508-1029</v>
          </cell>
          <cell r="D738" t="str">
            <v>000042944201110891</v>
          </cell>
          <cell r="E738" t="str">
            <v>六角头螺栓</v>
          </cell>
          <cell r="F738" t="str">
            <v>11S10437</v>
          </cell>
          <cell r="G738" t="str">
            <v>-</v>
          </cell>
        </row>
        <row r="739">
          <cell r="B739" t="str">
            <v>7101040467</v>
          </cell>
          <cell r="C739" t="str">
            <v>G2504-1026</v>
          </cell>
          <cell r="D739" t="str">
            <v>000042944201110890</v>
          </cell>
          <cell r="E739" t="str">
            <v>六角头螺栓</v>
          </cell>
          <cell r="F739" t="str">
            <v>11S10440</v>
          </cell>
          <cell r="G739" t="str">
            <v>-</v>
          </cell>
        </row>
        <row r="740">
          <cell r="B740" t="str">
            <v>7101040426</v>
          </cell>
          <cell r="C740" t="str">
            <v>G2508-1657</v>
          </cell>
          <cell r="D740" t="str">
            <v>000042944160154515</v>
          </cell>
          <cell r="E740" t="str">
            <v>螺钉</v>
          </cell>
          <cell r="F740" t="str">
            <v>11S20091</v>
          </cell>
          <cell r="G740" t="str">
            <v>-</v>
          </cell>
        </row>
        <row r="741">
          <cell r="B741" t="str">
            <v>7101040422</v>
          </cell>
          <cell r="C741" t="str">
            <v>G2504-1681</v>
          </cell>
          <cell r="D741" t="str">
            <v>000042944160132431</v>
          </cell>
          <cell r="E741" t="str">
            <v>平衡螺钉</v>
          </cell>
          <cell r="F741" t="str">
            <v>S15.15.1222U</v>
          </cell>
          <cell r="G741" t="str">
            <v>-</v>
          </cell>
        </row>
        <row r="742">
          <cell r="B742" t="str">
            <v>7101040408</v>
          </cell>
          <cell r="C742" t="str">
            <v>G2504-2046</v>
          </cell>
          <cell r="D742" t="str">
            <v>000042944160056617</v>
          </cell>
          <cell r="E742" t="str">
            <v>螺钉,小十二角头,带减轻孔及保险孔,MJ螺纹,螺纹公差带4g</v>
          </cell>
          <cell r="F742" t="str">
            <v>Q/S15.1034-2015</v>
          </cell>
          <cell r="G742" t="str">
            <v>6-17</v>
          </cell>
        </row>
        <row r="743">
          <cell r="B743" t="str">
            <v>7101040393</v>
          </cell>
          <cell r="C743" t="str">
            <v>G2508-2330</v>
          </cell>
          <cell r="D743" t="str">
            <v>000042944160011154</v>
          </cell>
          <cell r="E743" t="str">
            <v>小十二角螺栓</v>
          </cell>
          <cell r="F743" t="str">
            <v>Q/S15.1071-2016</v>
          </cell>
          <cell r="G743" t="str">
            <v>6-15</v>
          </cell>
        </row>
        <row r="744">
          <cell r="B744" t="str">
            <v>7101040390</v>
          </cell>
          <cell r="C744" t="str">
            <v>G2504-2060</v>
          </cell>
          <cell r="D744" t="str">
            <v>000042944160011147</v>
          </cell>
          <cell r="E744" t="str">
            <v>螺钉,六角头,螺纹公差带6e</v>
          </cell>
          <cell r="F744" t="str">
            <v>Q/S15.1025-2011</v>
          </cell>
          <cell r="G744" t="str">
            <v>6-12</v>
          </cell>
        </row>
        <row r="745">
          <cell r="B745" t="str">
            <v>7101040390</v>
          </cell>
          <cell r="C745" t="str">
            <v>G2504-2060</v>
          </cell>
          <cell r="D745" t="str">
            <v>000042944160011147</v>
          </cell>
          <cell r="E745" t="str">
            <v>螺钉,六角头,螺纹公差带6e</v>
          </cell>
          <cell r="F745" t="str">
            <v>Q/S15.1025-2011</v>
          </cell>
          <cell r="G745" t="str">
            <v>6-12</v>
          </cell>
        </row>
        <row r="746">
          <cell r="B746" t="str">
            <v>7101040387</v>
          </cell>
          <cell r="C746" t="str">
            <v>G2504-2060</v>
          </cell>
          <cell r="D746" t="str">
            <v>000042944160011147</v>
          </cell>
          <cell r="E746" t="str">
            <v>螺钉,六角头,螺纹公差带6e</v>
          </cell>
          <cell r="F746" t="str">
            <v>Q/S15.1025-2011</v>
          </cell>
          <cell r="G746" t="str">
            <v>6-12</v>
          </cell>
        </row>
        <row r="747">
          <cell r="B747" t="str">
            <v>7101040385</v>
          </cell>
          <cell r="C747" t="str">
            <v>G2504-2060</v>
          </cell>
          <cell r="D747" t="str">
            <v>000042944160011147</v>
          </cell>
          <cell r="E747" t="str">
            <v>螺钉,六角头,螺纹公差带6e</v>
          </cell>
          <cell r="F747" t="str">
            <v>Q/S15.1025-2011</v>
          </cell>
          <cell r="G747" t="str">
            <v>6-12</v>
          </cell>
        </row>
        <row r="748">
          <cell r="B748" t="str">
            <v>7101040344</v>
          </cell>
          <cell r="C748" t="str">
            <v>G2508-1649</v>
          </cell>
          <cell r="D748" t="str">
            <v>000042944044000001</v>
          </cell>
          <cell r="E748" t="str">
            <v>十字槽螺钉</v>
          </cell>
          <cell r="F748" t="str">
            <v>11S20025</v>
          </cell>
          <cell r="G748" t="str">
            <v>-</v>
          </cell>
        </row>
        <row r="749">
          <cell r="B749" t="str">
            <v>7101040344</v>
          </cell>
          <cell r="C749" t="str">
            <v>G2508-1649</v>
          </cell>
          <cell r="D749" t="str">
            <v>000042944044000001</v>
          </cell>
          <cell r="E749" t="str">
            <v>十字槽螺钉</v>
          </cell>
          <cell r="F749" t="str">
            <v>11S20025</v>
          </cell>
          <cell r="G749" t="str">
            <v>-</v>
          </cell>
        </row>
        <row r="750">
          <cell r="B750" t="str">
            <v>7101040342</v>
          </cell>
          <cell r="C750" t="str">
            <v>G2508-1649</v>
          </cell>
          <cell r="D750" t="str">
            <v>000042944044000001</v>
          </cell>
          <cell r="E750" t="str">
            <v>十字槽螺钉</v>
          </cell>
          <cell r="F750" t="str">
            <v>11S20025</v>
          </cell>
          <cell r="G750" t="str">
            <v>-</v>
          </cell>
        </row>
        <row r="751">
          <cell r="B751" t="str">
            <v>7101040329</v>
          </cell>
          <cell r="C751" t="str">
            <v>G2507-1121</v>
          </cell>
          <cell r="D751" t="str">
            <v>000042944041003572</v>
          </cell>
          <cell r="E751" t="str">
            <v>MJ螺纹内六角头螺钉</v>
          </cell>
          <cell r="F751" t="str">
            <v>Q/S15.1039-2011</v>
          </cell>
          <cell r="G751" t="str">
            <v>6-10</v>
          </cell>
        </row>
        <row r="752">
          <cell r="B752" t="str">
            <v>7101040327</v>
          </cell>
          <cell r="C752" t="str">
            <v>G2507-1121</v>
          </cell>
          <cell r="D752" t="str">
            <v>000042944041003572</v>
          </cell>
          <cell r="E752" t="str">
            <v>MJ螺纹内六角头螺钉</v>
          </cell>
          <cell r="F752" t="str">
            <v>Q/S15.1039-2011</v>
          </cell>
          <cell r="G752" t="str">
            <v>6-10</v>
          </cell>
        </row>
        <row r="753">
          <cell r="B753" t="str">
            <v>7101040325</v>
          </cell>
          <cell r="C753" t="str">
            <v>G2507-1121</v>
          </cell>
          <cell r="D753" t="str">
            <v>000042944041003572</v>
          </cell>
          <cell r="E753" t="str">
            <v>MJ螺纹内六角头螺钉</v>
          </cell>
          <cell r="F753" t="str">
            <v>Q/S15.1039-2011</v>
          </cell>
          <cell r="G753" t="str">
            <v>6-10</v>
          </cell>
        </row>
        <row r="754">
          <cell r="B754" t="str">
            <v>7101040325</v>
          </cell>
          <cell r="C754" t="str">
            <v>G2507-1121</v>
          </cell>
          <cell r="D754" t="str">
            <v>000042944041003572</v>
          </cell>
          <cell r="E754" t="str">
            <v>MJ螺纹内六角头螺钉</v>
          </cell>
          <cell r="F754" t="str">
            <v>Q/S15.1039-2011</v>
          </cell>
          <cell r="G754" t="str">
            <v>6-10</v>
          </cell>
        </row>
        <row r="755">
          <cell r="B755" t="str">
            <v>7101040322</v>
          </cell>
          <cell r="C755" t="str">
            <v>G2502-0349</v>
          </cell>
          <cell r="D755" t="str">
            <v>000042944040108256</v>
          </cell>
          <cell r="E755" t="str">
            <v>六角头螺钉</v>
          </cell>
          <cell r="F755" t="str">
            <v>Q/S15.1025-2011</v>
          </cell>
          <cell r="G755" t="str">
            <v>5-11</v>
          </cell>
        </row>
        <row r="756">
          <cell r="B756" t="str">
            <v>7101040306</v>
          </cell>
          <cell r="C756" t="str">
            <v>G2504-1320</v>
          </cell>
          <cell r="D756" t="str">
            <v>000042944040003754</v>
          </cell>
          <cell r="E756" t="str">
            <v>螺钉,六角头,螺纹公差带5h6h</v>
          </cell>
          <cell r="F756" t="str">
            <v>Q/S15.1048-2011</v>
          </cell>
          <cell r="G756" t="str">
            <v>5-10</v>
          </cell>
        </row>
        <row r="757">
          <cell r="B757" t="str">
            <v>7101040306</v>
          </cell>
          <cell r="C757" t="str">
            <v>G2504-1320</v>
          </cell>
          <cell r="D757" t="str">
            <v>000042944040003754</v>
          </cell>
          <cell r="E757" t="str">
            <v>螺钉,六角头,螺纹公差带5h6h</v>
          </cell>
          <cell r="F757" t="str">
            <v>Q/S15.1048-2011</v>
          </cell>
          <cell r="G757" t="str">
            <v>5-10</v>
          </cell>
        </row>
        <row r="758">
          <cell r="B758" t="str">
            <v>7101040288</v>
          </cell>
          <cell r="C758" t="str">
            <v>G2507-2133</v>
          </cell>
          <cell r="D758" t="str">
            <v>000042944040002775</v>
          </cell>
          <cell r="E758" t="str">
            <v>TC4钛合金六角头螺钉</v>
          </cell>
          <cell r="F758" t="str">
            <v>HB6566-1992</v>
          </cell>
          <cell r="G758" t="str">
            <v>MJ6×1×22Y</v>
          </cell>
        </row>
        <row r="759">
          <cell r="B759" t="str">
            <v>7101040288</v>
          </cell>
          <cell r="C759" t="str">
            <v>G2507-2131</v>
          </cell>
          <cell r="D759" t="str">
            <v>000042944040002775</v>
          </cell>
          <cell r="E759" t="str">
            <v>TC4钛合金六角头螺钉</v>
          </cell>
          <cell r="F759" t="str">
            <v>HB6566-1992</v>
          </cell>
          <cell r="G759" t="str">
            <v>MJ6×1×22Y</v>
          </cell>
        </row>
        <row r="760">
          <cell r="B760" t="str">
            <v>7101040177</v>
          </cell>
          <cell r="C760" t="str">
            <v>G2501-3274</v>
          </cell>
          <cell r="D760" t="str">
            <v>000042944039095270</v>
          </cell>
          <cell r="E760" t="str">
            <v>带键自锁螺套</v>
          </cell>
          <cell r="F760" t="str">
            <v>Q/S15.1119-2015</v>
          </cell>
          <cell r="G760" t="str">
            <v>A-8</v>
          </cell>
        </row>
        <row r="761">
          <cell r="B761" t="str">
            <v>7101040173</v>
          </cell>
          <cell r="C761" t="str">
            <v>G2507-0866</v>
          </cell>
          <cell r="D761" t="str">
            <v>000042944039000153</v>
          </cell>
          <cell r="E761" t="str">
            <v>带键自锁螺套</v>
          </cell>
          <cell r="F761" t="str">
            <v>Q/S15.1119-2015</v>
          </cell>
          <cell r="G761" t="str">
            <v>6</v>
          </cell>
        </row>
        <row r="762">
          <cell r="B762" t="str">
            <v>7101040171</v>
          </cell>
          <cell r="C762" t="str">
            <v>G2508-1736</v>
          </cell>
          <cell r="D762" t="str">
            <v>000042944000139131</v>
          </cell>
          <cell r="E762" t="str">
            <v>测试座堵头</v>
          </cell>
          <cell r="F762" t="str">
            <v>S15.30.1086U</v>
          </cell>
          <cell r="G762" t="str">
            <v>-</v>
          </cell>
        </row>
        <row r="763">
          <cell r="B763" t="str">
            <v>7101040168</v>
          </cell>
          <cell r="C763" t="str">
            <v>G2503-1831</v>
          </cell>
          <cell r="D763" t="str">
            <v>000042944000138547</v>
          </cell>
          <cell r="E763" t="str">
            <v>锁片</v>
          </cell>
          <cell r="F763" t="str">
            <v>2S5066-2010</v>
          </cell>
          <cell r="G763" t="str">
            <v>20×24×1</v>
          </cell>
        </row>
        <row r="764">
          <cell r="B764" t="str">
            <v>7101040167</v>
          </cell>
          <cell r="C764" t="str">
            <v>G2408-1833</v>
          </cell>
          <cell r="D764" t="str">
            <v>000042944000138547</v>
          </cell>
          <cell r="E764" t="str">
            <v>锁片</v>
          </cell>
          <cell r="F764" t="str">
            <v>Q/2S5066-2010</v>
          </cell>
          <cell r="G764" t="str">
            <v>20×24×1</v>
          </cell>
        </row>
        <row r="765">
          <cell r="B765" t="str">
            <v>7101040162</v>
          </cell>
          <cell r="C765" t="str">
            <v>G2508-1012</v>
          </cell>
          <cell r="D765" t="str">
            <v>000042944000131918</v>
          </cell>
          <cell r="E765" t="str">
            <v>导叶衬垫</v>
          </cell>
          <cell r="F765" t="str">
            <v>019111009701</v>
          </cell>
          <cell r="G765" t="str">
            <v>Ⅳ</v>
          </cell>
        </row>
        <row r="766">
          <cell r="B766" t="str">
            <v>7101040160</v>
          </cell>
          <cell r="C766" t="str">
            <v>G2504-0755</v>
          </cell>
          <cell r="D766" t="str">
            <v>000042944000131918</v>
          </cell>
          <cell r="E766" t="str">
            <v>导叶衬垫</v>
          </cell>
          <cell r="F766" t="str">
            <v>019111009701</v>
          </cell>
          <cell r="G766" t="str">
            <v>Ⅳ</v>
          </cell>
        </row>
        <row r="767">
          <cell r="B767" t="str">
            <v>7101040143</v>
          </cell>
          <cell r="C767" t="str">
            <v>G2504-2466</v>
          </cell>
          <cell r="D767" t="str">
            <v>000042944000126482</v>
          </cell>
          <cell r="E767" t="str">
            <v>孔探仪座</v>
          </cell>
          <cell r="F767" t="str">
            <v>11S60095</v>
          </cell>
          <cell r="G767" t="str">
            <v>-</v>
          </cell>
        </row>
        <row r="768">
          <cell r="B768" t="str">
            <v>7101040141</v>
          </cell>
          <cell r="C768" t="str">
            <v>G2509-0455</v>
          </cell>
          <cell r="D768" t="str">
            <v>000042944000125338</v>
          </cell>
          <cell r="E768" t="str">
            <v>衬套</v>
          </cell>
          <cell r="F768" t="str">
            <v>019153143802</v>
          </cell>
          <cell r="G768" t="str">
            <v>-</v>
          </cell>
        </row>
        <row r="769">
          <cell r="B769" t="str">
            <v>7101040127</v>
          </cell>
          <cell r="C769" t="str">
            <v>G2501-3162</v>
          </cell>
          <cell r="D769" t="str">
            <v>000042944000125332</v>
          </cell>
          <cell r="E769" t="str">
            <v>定距套A</v>
          </cell>
          <cell r="F769" t="str">
            <v>019153134602</v>
          </cell>
          <cell r="G769" t="str">
            <v>-</v>
          </cell>
        </row>
        <row r="770">
          <cell r="B770" t="str">
            <v>7101040106</v>
          </cell>
          <cell r="C770" t="str">
            <v>G2509-1687</v>
          </cell>
          <cell r="D770" t="str">
            <v>000042944000116570</v>
          </cell>
          <cell r="E770" t="str">
            <v>油滤壳体</v>
          </cell>
          <cell r="F770" t="str">
            <v>S15.34.1053U</v>
          </cell>
          <cell r="G770" t="str">
            <v>-</v>
          </cell>
        </row>
        <row r="771">
          <cell r="B771" t="str">
            <v>7101040105</v>
          </cell>
          <cell r="C771" t="str">
            <v>G2509-1687</v>
          </cell>
          <cell r="D771" t="str">
            <v>000042944000116570</v>
          </cell>
          <cell r="E771" t="str">
            <v>油滤壳体</v>
          </cell>
          <cell r="F771" t="str">
            <v>S15.34.1053U</v>
          </cell>
          <cell r="G771" t="str">
            <v>-</v>
          </cell>
        </row>
        <row r="772">
          <cell r="B772" t="str">
            <v>7101040104</v>
          </cell>
          <cell r="C772" t="str">
            <v>G2509-1687</v>
          </cell>
          <cell r="D772" t="str">
            <v>000042944000116570</v>
          </cell>
          <cell r="E772" t="str">
            <v>油滤壳体</v>
          </cell>
          <cell r="F772" t="str">
            <v>S15.34.1053U</v>
          </cell>
          <cell r="G772" t="str">
            <v>-</v>
          </cell>
        </row>
        <row r="773">
          <cell r="B773" t="str">
            <v>7101040103</v>
          </cell>
          <cell r="C773" t="str">
            <v>G2504-1815</v>
          </cell>
          <cell r="D773" t="str">
            <v>000042944000114547</v>
          </cell>
          <cell r="E773" t="str">
            <v>盘前平衡块</v>
          </cell>
          <cell r="F773" t="str">
            <v>S15.44.1076U</v>
          </cell>
          <cell r="G773" t="str">
            <v>Ⅱ</v>
          </cell>
        </row>
        <row r="774">
          <cell r="B774" t="str">
            <v>7101040102</v>
          </cell>
          <cell r="C774" t="str">
            <v>G2504-1815</v>
          </cell>
          <cell r="D774" t="str">
            <v>000042944000114547</v>
          </cell>
          <cell r="E774" t="str">
            <v>盘前平衡块</v>
          </cell>
          <cell r="F774" t="str">
            <v>S15.44.1076U</v>
          </cell>
          <cell r="G774" t="str">
            <v>Ⅱ</v>
          </cell>
        </row>
        <row r="775">
          <cell r="B775" t="str">
            <v>7101040101</v>
          </cell>
          <cell r="C775" t="str">
            <v>G2501-3151</v>
          </cell>
          <cell r="D775" t="str">
            <v>000042944000114546</v>
          </cell>
          <cell r="E775" t="str">
            <v>盘前平衡块</v>
          </cell>
          <cell r="F775" t="str">
            <v>S15.44.1076U</v>
          </cell>
          <cell r="G775" t="str">
            <v>Ⅰ</v>
          </cell>
        </row>
        <row r="776">
          <cell r="B776" t="str">
            <v>7101040080</v>
          </cell>
          <cell r="C776" t="str">
            <v>G2412-3094</v>
          </cell>
          <cell r="D776" t="str">
            <v>000042944000114546</v>
          </cell>
          <cell r="E776" t="str">
            <v>盘前平衡块</v>
          </cell>
          <cell r="F776" t="str">
            <v>S15.44.1076U</v>
          </cell>
          <cell r="G776" t="str">
            <v>Ⅰ</v>
          </cell>
        </row>
        <row r="777">
          <cell r="B777" t="str">
            <v>7101040079</v>
          </cell>
          <cell r="C777" t="str">
            <v>G2501-3151</v>
          </cell>
          <cell r="D777" t="str">
            <v>000042944000114546</v>
          </cell>
          <cell r="E777" t="str">
            <v>盘前平衡块</v>
          </cell>
          <cell r="F777" t="str">
            <v>S15.44.1076U</v>
          </cell>
          <cell r="G777" t="str">
            <v>Ⅰ</v>
          </cell>
        </row>
        <row r="778">
          <cell r="B778" t="str">
            <v>7101040075</v>
          </cell>
          <cell r="C778" t="str">
            <v>G2504-1495</v>
          </cell>
          <cell r="D778" t="str">
            <v>000042944000113326</v>
          </cell>
          <cell r="E778" t="str">
            <v>衬套</v>
          </cell>
          <cell r="F778" t="str">
            <v>019155008701</v>
          </cell>
          <cell r="G778" t="str">
            <v>-</v>
          </cell>
        </row>
        <row r="779">
          <cell r="B779" t="str">
            <v>7101040074</v>
          </cell>
          <cell r="C779" t="str">
            <v>G2504-0068</v>
          </cell>
          <cell r="D779" t="str">
            <v>000042944000113315</v>
          </cell>
          <cell r="E779" t="str">
            <v>衬套</v>
          </cell>
          <cell r="F779" t="str">
            <v>019155005001</v>
          </cell>
          <cell r="G779" t="str">
            <v>-</v>
          </cell>
        </row>
        <row r="780">
          <cell r="B780" t="str">
            <v>7101040073</v>
          </cell>
          <cell r="C780" t="str">
            <v>G2504-0068</v>
          </cell>
          <cell r="D780" t="str">
            <v>000042944000113315</v>
          </cell>
          <cell r="E780" t="str">
            <v>衬套</v>
          </cell>
          <cell r="F780" t="str">
            <v>019155005001</v>
          </cell>
          <cell r="G780" t="str">
            <v>-</v>
          </cell>
        </row>
        <row r="781">
          <cell r="B781" t="str">
            <v>7101040072</v>
          </cell>
          <cell r="C781" t="str">
            <v>G2508-1144</v>
          </cell>
          <cell r="D781" t="str">
            <v>000042944000112265</v>
          </cell>
          <cell r="E781" t="str">
            <v>电嘴浮动套</v>
          </cell>
          <cell r="F781" t="str">
            <v>S15.33.1004U</v>
          </cell>
          <cell r="G781" t="str">
            <v>-</v>
          </cell>
        </row>
        <row r="782">
          <cell r="B782" t="str">
            <v>7101040071</v>
          </cell>
          <cell r="C782" t="str">
            <v>G2508-1144</v>
          </cell>
          <cell r="D782" t="str">
            <v>000042944000112265</v>
          </cell>
          <cell r="E782" t="str">
            <v>电嘴浮动套</v>
          </cell>
          <cell r="F782" t="str">
            <v>S15.33.1004U</v>
          </cell>
          <cell r="G782" t="str">
            <v>-</v>
          </cell>
        </row>
        <row r="783">
          <cell r="B783" t="str">
            <v>7101040070</v>
          </cell>
          <cell r="C783" t="str">
            <v>G2504-1809</v>
          </cell>
          <cell r="D783" t="str">
            <v>000042944000108279</v>
          </cell>
          <cell r="E783" t="str">
            <v>接力喷嘴接嘴垫片</v>
          </cell>
          <cell r="F783" t="str">
            <v>0191D350301</v>
          </cell>
          <cell r="G783" t="str">
            <v>-</v>
          </cell>
        </row>
        <row r="784">
          <cell r="B784" t="str">
            <v>7101040069</v>
          </cell>
          <cell r="C784" t="str">
            <v>G2504-1500</v>
          </cell>
          <cell r="D784" t="str">
            <v>000042944000106862</v>
          </cell>
          <cell r="E784" t="str">
            <v>密封座</v>
          </cell>
          <cell r="F784" t="str">
            <v>S15.15.1241N</v>
          </cell>
          <cell r="G784" t="str">
            <v>-</v>
          </cell>
        </row>
        <row r="785">
          <cell r="B785" t="str">
            <v>7101040066</v>
          </cell>
          <cell r="C785" t="str">
            <v>G2508-0692</v>
          </cell>
          <cell r="D785" t="str">
            <v>000042944000102953</v>
          </cell>
          <cell r="E785" t="str">
            <v>引线盖板</v>
          </cell>
          <cell r="F785" t="str">
            <v>S15.30.1011</v>
          </cell>
          <cell r="G785" t="str">
            <v>-</v>
          </cell>
        </row>
        <row r="786">
          <cell r="B786" t="str">
            <v>7101040039</v>
          </cell>
          <cell r="C786" t="str">
            <v>G2408-1643</v>
          </cell>
          <cell r="D786" t="str">
            <v>000042944000099077</v>
          </cell>
          <cell r="E786" t="str">
            <v>孔探仪堵头组件</v>
          </cell>
          <cell r="F786" t="str">
            <v>S15.15.1890U</v>
          </cell>
          <cell r="G786" t="str">
            <v>-</v>
          </cell>
        </row>
        <row r="787">
          <cell r="B787" t="str">
            <v>7101040037</v>
          </cell>
          <cell r="C787" t="str">
            <v>G2504-4582</v>
          </cell>
          <cell r="D787" t="str">
            <v>000042944000099076</v>
          </cell>
          <cell r="E787" t="str">
            <v>燃油分管接嘴</v>
          </cell>
          <cell r="F787" t="str">
            <v>S15.34.1004PE</v>
          </cell>
          <cell r="G787" t="str">
            <v>-</v>
          </cell>
        </row>
        <row r="788">
          <cell r="B788" t="str">
            <v>7101040033</v>
          </cell>
          <cell r="C788" t="str">
            <v>G2504-3724</v>
          </cell>
          <cell r="D788" t="str">
            <v>000042944000075204</v>
          </cell>
          <cell r="E788" t="str">
            <v>锁片</v>
          </cell>
          <cell r="F788" t="str">
            <v>S15.15.1023P</v>
          </cell>
          <cell r="G788" t="str">
            <v>-</v>
          </cell>
        </row>
        <row r="789">
          <cell r="B789" t="str">
            <v>7101040028</v>
          </cell>
          <cell r="C789" t="str">
            <v>G2411-0712</v>
          </cell>
          <cell r="D789" t="str">
            <v>000042944000052366</v>
          </cell>
          <cell r="E789" t="str">
            <v>联动环衬垫</v>
          </cell>
          <cell r="F789" t="str">
            <v>S15.15.1255N</v>
          </cell>
          <cell r="G789" t="str">
            <v>-</v>
          </cell>
        </row>
        <row r="790">
          <cell r="B790" t="str">
            <v>7101040022</v>
          </cell>
          <cell r="C790" t="str">
            <v>G2508-7512</v>
          </cell>
          <cell r="D790" t="str">
            <v>000042944000052366</v>
          </cell>
          <cell r="E790" t="str">
            <v>联动环衬垫</v>
          </cell>
          <cell r="F790" t="str">
            <v>S15.15.1255N</v>
          </cell>
          <cell r="G790" t="str">
            <v>-</v>
          </cell>
        </row>
        <row r="791">
          <cell r="B791" t="str">
            <v>7101039993</v>
          </cell>
          <cell r="C791" t="str">
            <v>G2508-0881</v>
          </cell>
          <cell r="D791" t="str">
            <v>000036900000040581</v>
          </cell>
          <cell r="E791" t="str">
            <v>密封圈</v>
          </cell>
          <cell r="F791" t="str">
            <v>11S00225</v>
          </cell>
          <cell r="G791" t="str">
            <v>-</v>
          </cell>
        </row>
        <row r="792">
          <cell r="B792" t="str">
            <v>7101039989</v>
          </cell>
          <cell r="C792" t="str">
            <v>G2405-2135</v>
          </cell>
          <cell r="D792" t="str">
            <v>000036900000040580</v>
          </cell>
          <cell r="E792" t="str">
            <v>密封圈</v>
          </cell>
          <cell r="F792" t="str">
            <v>11S00222</v>
          </cell>
          <cell r="G792" t="str">
            <v>-</v>
          </cell>
        </row>
        <row r="793">
          <cell r="B793" t="str">
            <v>7101039987</v>
          </cell>
          <cell r="C793" t="str">
            <v>G2407-2080</v>
          </cell>
          <cell r="D793" t="str">
            <v>000036900000040580</v>
          </cell>
          <cell r="E793" t="str">
            <v>密封圈</v>
          </cell>
          <cell r="F793" t="str">
            <v>11S00222</v>
          </cell>
          <cell r="G793" t="str">
            <v>-</v>
          </cell>
        </row>
        <row r="794">
          <cell r="B794" t="str">
            <v>7101039985</v>
          </cell>
          <cell r="C794" t="str">
            <v>G2508-0879</v>
          </cell>
          <cell r="D794" t="str">
            <v>000036900000040580</v>
          </cell>
          <cell r="E794" t="str">
            <v>密封圈</v>
          </cell>
          <cell r="F794" t="str">
            <v>11S00222</v>
          </cell>
          <cell r="G794" t="str">
            <v>-</v>
          </cell>
        </row>
        <row r="795">
          <cell r="B795" t="str">
            <v>7101039982</v>
          </cell>
          <cell r="C795" t="str">
            <v>G2507-2122</v>
          </cell>
          <cell r="D795" t="str">
            <v>000036900000040579</v>
          </cell>
          <cell r="E795" t="str">
            <v>密封圈</v>
          </cell>
          <cell r="F795" t="str">
            <v>11S00207</v>
          </cell>
          <cell r="G795" t="str">
            <v>-</v>
          </cell>
        </row>
        <row r="796">
          <cell r="B796" t="str">
            <v>7101039978</v>
          </cell>
          <cell r="C796" t="str">
            <v>G2508-0877</v>
          </cell>
          <cell r="D796" t="str">
            <v>000036900000040578</v>
          </cell>
          <cell r="E796" t="str">
            <v>密封圈</v>
          </cell>
          <cell r="F796" t="str">
            <v>11S00178</v>
          </cell>
          <cell r="G796" t="str">
            <v>-</v>
          </cell>
        </row>
        <row r="797">
          <cell r="B797" t="str">
            <v>7101039976</v>
          </cell>
          <cell r="C797" t="str">
            <v>G2508-0875</v>
          </cell>
          <cell r="D797" t="str">
            <v>000036900000040577</v>
          </cell>
          <cell r="E797" t="str">
            <v>密封圈</v>
          </cell>
          <cell r="F797" t="str">
            <v>11S00177</v>
          </cell>
          <cell r="G797" t="str">
            <v>-</v>
          </cell>
        </row>
        <row r="798">
          <cell r="B798" t="str">
            <v>7101039973</v>
          </cell>
          <cell r="C798" t="str">
            <v>G2504-2609</v>
          </cell>
          <cell r="D798" t="str">
            <v>000036900000040573</v>
          </cell>
          <cell r="E798" t="str">
            <v>密封圈</v>
          </cell>
          <cell r="F798" t="str">
            <v>11S00037</v>
          </cell>
          <cell r="G798" t="str">
            <v>-</v>
          </cell>
        </row>
        <row r="799">
          <cell r="B799" t="str">
            <v>7101039958</v>
          </cell>
          <cell r="C799" t="str">
            <v>G2508-0551</v>
          </cell>
          <cell r="D799" t="str">
            <v>000036900000040571</v>
          </cell>
          <cell r="E799" t="str">
            <v>密封圈</v>
          </cell>
          <cell r="F799" t="str">
            <v>11S00015</v>
          </cell>
          <cell r="G799" t="str">
            <v>-</v>
          </cell>
        </row>
        <row r="800">
          <cell r="B800" t="str">
            <v>7101039957</v>
          </cell>
          <cell r="C800" t="str">
            <v>G2508-0551</v>
          </cell>
          <cell r="D800" t="str">
            <v>000036900000040571</v>
          </cell>
          <cell r="E800" t="str">
            <v>密封圈</v>
          </cell>
          <cell r="F800" t="str">
            <v>11S00015</v>
          </cell>
          <cell r="G800" t="str">
            <v>-</v>
          </cell>
        </row>
        <row r="801">
          <cell r="B801" t="str">
            <v>7101039954</v>
          </cell>
          <cell r="C801" t="str">
            <v>G2508-0890</v>
          </cell>
          <cell r="D801" t="str">
            <v>000036200000061556</v>
          </cell>
          <cell r="E801" t="str">
            <v>密封圈</v>
          </cell>
          <cell r="F801" t="str">
            <v>11S00166</v>
          </cell>
          <cell r="G801" t="str">
            <v>-</v>
          </cell>
        </row>
        <row r="802">
          <cell r="B802" t="str">
            <v>7101107134</v>
          </cell>
          <cell r="C802" t="str">
            <v>G2504-1027</v>
          </cell>
          <cell r="D802" t="str">
            <v>000042944201110906</v>
          </cell>
          <cell r="E802" t="str">
            <v>六角头螺栓</v>
          </cell>
          <cell r="F802" t="str">
            <v>11S10447</v>
          </cell>
          <cell r="G802" t="str">
            <v>-</v>
          </cell>
        </row>
        <row r="803">
          <cell r="B803" t="str">
            <v>7101107135</v>
          </cell>
          <cell r="C803" t="str">
            <v>G2502-0884</v>
          </cell>
          <cell r="D803" t="str">
            <v>000042944360113861</v>
          </cell>
          <cell r="E803" t="str">
            <v>回油销</v>
          </cell>
          <cell r="F803" t="str">
            <v>019111001601</v>
          </cell>
          <cell r="G803" t="str">
            <v>-</v>
          </cell>
        </row>
        <row r="804">
          <cell r="B804" t="str">
            <v>7101107290</v>
          </cell>
          <cell r="C804" t="str">
            <v>G2306-2851</v>
          </cell>
          <cell r="D804" t="str">
            <v>000042944239002612</v>
          </cell>
          <cell r="E804" t="str">
            <v>螺栓</v>
          </cell>
          <cell r="F804" t="str">
            <v>S10.1.1403</v>
          </cell>
          <cell r="G804" t="str">
            <v>-</v>
          </cell>
        </row>
        <row r="805">
          <cell r="B805" t="str">
            <v>7101101316</v>
          </cell>
          <cell r="C805" t="str">
            <v>G2504-1930</v>
          </cell>
          <cell r="D805" t="str">
            <v>000042944239014231</v>
          </cell>
          <cell r="E805" t="str">
            <v>D形头螺栓</v>
          </cell>
          <cell r="F805" t="str">
            <v>ΦBLT1174</v>
          </cell>
          <cell r="G805" t="str">
            <v>-</v>
          </cell>
        </row>
        <row r="806">
          <cell r="B806" t="str">
            <v>7101101387</v>
          </cell>
          <cell r="C806" t="str">
            <v>G2511-1255</v>
          </cell>
          <cell r="D806" t="str">
            <v>000042944000004200</v>
          </cell>
          <cell r="E806" t="str">
            <v>下部转接座电缆卡箍(右)</v>
          </cell>
          <cell r="F806" t="str">
            <v>S20.00.2130</v>
          </cell>
          <cell r="G806" t="str">
            <v>-</v>
          </cell>
        </row>
        <row r="807">
          <cell r="B807" t="str">
            <v>7101101474</v>
          </cell>
          <cell r="C807" t="str">
            <v>G2408-0982</v>
          </cell>
          <cell r="D807" t="str">
            <v>000042944360006116</v>
          </cell>
          <cell r="E807" t="str">
            <v>凸肩销</v>
          </cell>
          <cell r="F807" t="str">
            <v>ΦEU40893</v>
          </cell>
          <cell r="G807" t="str">
            <v>-</v>
          </cell>
        </row>
        <row r="808">
          <cell r="B808" t="str">
            <v>7101101485</v>
          </cell>
          <cell r="C808" t="str">
            <v>G2507-0896</v>
          </cell>
          <cell r="D808" t="str">
            <v>000042944239070156</v>
          </cell>
          <cell r="E808" t="str">
            <v>篦齿盘螺栓</v>
          </cell>
          <cell r="F808" t="str">
            <v>S15.44.1059P</v>
          </cell>
          <cell r="G808" t="str">
            <v>-</v>
          </cell>
        </row>
        <row r="809">
          <cell r="B809" t="str">
            <v>7101101497</v>
          </cell>
          <cell r="C809" t="str">
            <v>G2511-0853</v>
          </cell>
          <cell r="D809" t="str">
            <v>000042944319001889</v>
          </cell>
          <cell r="E809" t="str">
            <v>盘后托板螺母</v>
          </cell>
          <cell r="F809" t="str">
            <v>S10.4.1402</v>
          </cell>
          <cell r="G809" t="str">
            <v>-</v>
          </cell>
        </row>
        <row r="810">
          <cell r="B810" t="str">
            <v>7101102059</v>
          </cell>
          <cell r="C810" t="str">
            <v>G2602-0910</v>
          </cell>
          <cell r="D810" t="str">
            <v>000036900000040581</v>
          </cell>
          <cell r="E810" t="str">
            <v>密封圈</v>
          </cell>
          <cell r="F810" t="str">
            <v>11S00225</v>
          </cell>
          <cell r="G810" t="str">
            <v>-</v>
          </cell>
        </row>
        <row r="811">
          <cell r="B811" t="str">
            <v>7101102163</v>
          </cell>
          <cell r="C811" t="str">
            <v>G2604-0893</v>
          </cell>
          <cell r="D811" t="str">
            <v>000042944320172510</v>
          </cell>
          <cell r="E811" t="str">
            <v>沉头铆钉</v>
          </cell>
          <cell r="F811" t="str">
            <v>E41119.55A.039</v>
          </cell>
          <cell r="G811" t="str">
            <v>-</v>
          </cell>
        </row>
        <row r="812">
          <cell r="B812" t="str">
            <v>7101102273</v>
          </cell>
          <cell r="C812" t="str">
            <v>G2602-1260</v>
          </cell>
          <cell r="D812" t="str">
            <v>000042944000169543</v>
          </cell>
          <cell r="E812" t="str">
            <v>锁片</v>
          </cell>
          <cell r="F812" t="str">
            <v>2S5066-2010</v>
          </cell>
          <cell r="G812" t="str">
            <v>16×17.5×1</v>
          </cell>
        </row>
        <row r="813">
          <cell r="B813" t="str">
            <v>7101102278</v>
          </cell>
          <cell r="C813" t="str">
            <v>G2602-1260</v>
          </cell>
          <cell r="D813" t="str">
            <v>000042944000169543</v>
          </cell>
          <cell r="E813" t="str">
            <v>锁片</v>
          </cell>
          <cell r="F813" t="str">
            <v>2S5066-2010</v>
          </cell>
          <cell r="G813" t="str">
            <v>16×17.5×1</v>
          </cell>
        </row>
        <row r="814">
          <cell r="B814" t="str">
            <v>7101102365</v>
          </cell>
          <cell r="C814" t="str">
            <v>G2509-1472</v>
          </cell>
          <cell r="D814" t="str">
            <v>000042944319100886</v>
          </cell>
          <cell r="E814" t="str">
            <v>压紧螺母</v>
          </cell>
          <cell r="F814" t="str">
            <v>S20.4.2015</v>
          </cell>
          <cell r="G814" t="str">
            <v>-</v>
          </cell>
        </row>
        <row r="815">
          <cell r="B815" t="str">
            <v>7101102645</v>
          </cell>
          <cell r="C815" t="str">
            <v>G2603-1120</v>
          </cell>
          <cell r="D815" t="str">
            <v>000042944439168811</v>
          </cell>
          <cell r="E815" t="str">
            <v>垫圈</v>
          </cell>
          <cell r="F815" t="str">
            <v>QS.30.105</v>
          </cell>
          <cell r="G815" t="str">
            <v>-</v>
          </cell>
        </row>
        <row r="816">
          <cell r="B816" t="str">
            <v>7101102646</v>
          </cell>
          <cell r="C816" t="str">
            <v>G2603-1120</v>
          </cell>
          <cell r="D816" t="str">
            <v>000042944439168811</v>
          </cell>
          <cell r="E816" t="str">
            <v>垫圈</v>
          </cell>
          <cell r="F816" t="str">
            <v>QS.30.105</v>
          </cell>
          <cell r="G816" t="str">
            <v>-</v>
          </cell>
        </row>
        <row r="817">
          <cell r="B817" t="str">
            <v>7101102731</v>
          </cell>
          <cell r="C817" t="str">
            <v>G2603-0727</v>
          </cell>
          <cell r="D817" t="str">
            <v>000042944239100876</v>
          </cell>
          <cell r="E817" t="str">
            <v>定位螺栓</v>
          </cell>
          <cell r="F817" t="str">
            <v>S20.00.2017</v>
          </cell>
          <cell r="G817" t="str">
            <v>-</v>
          </cell>
        </row>
        <row r="818">
          <cell r="B818" t="str">
            <v>7101102801</v>
          </cell>
          <cell r="C818" t="str">
            <v>G2409-0229</v>
          </cell>
          <cell r="D818" t="str">
            <v>000042944239139845</v>
          </cell>
          <cell r="E818" t="str">
            <v>十二角头螺栓</v>
          </cell>
          <cell r="F818" t="str">
            <v>AETG201</v>
          </cell>
          <cell r="G818" t="str">
            <v>101231</v>
          </cell>
        </row>
        <row r="819">
          <cell r="B819" t="str">
            <v>7101102908</v>
          </cell>
          <cell r="C819" t="str">
            <v>G2601-0313</v>
          </cell>
          <cell r="D819" t="str">
            <v>000042944000113877</v>
          </cell>
          <cell r="E819" t="str">
            <v>联动环衬垫</v>
          </cell>
          <cell r="F819" t="str">
            <v>019111002701</v>
          </cell>
          <cell r="G819" t="str">
            <v>-</v>
          </cell>
        </row>
        <row r="820">
          <cell r="B820" t="str">
            <v>7101102922</v>
          </cell>
          <cell r="C820" t="str">
            <v>G2203-0798</v>
          </cell>
          <cell r="D820" t="str">
            <v>000042944401094763</v>
          </cell>
          <cell r="E820" t="str">
            <v>平垫圈</v>
          </cell>
          <cell r="F820" t="str">
            <v>Q/S15.1157-2011</v>
          </cell>
          <cell r="G820" t="str">
            <v>12.1-18-1</v>
          </cell>
        </row>
        <row r="821">
          <cell r="B821" t="str">
            <v>7101102922</v>
          </cell>
          <cell r="C821" t="str">
            <v>G2509-3090</v>
          </cell>
          <cell r="D821" t="str">
            <v>000042944439159046</v>
          </cell>
          <cell r="E821" t="str">
            <v>垫圈</v>
          </cell>
          <cell r="F821" t="str">
            <v>STHF.04.1064</v>
          </cell>
          <cell r="G821" t="str">
            <v>-</v>
          </cell>
        </row>
        <row r="822">
          <cell r="B822" t="str">
            <v>7101102923</v>
          </cell>
          <cell r="C822" t="str">
            <v>G2509-1449</v>
          </cell>
          <cell r="D822" t="str">
            <v>000042944000160193</v>
          </cell>
          <cell r="E822" t="str">
            <v>内锥支板球头</v>
          </cell>
          <cell r="F822" t="str">
            <v>STHF.52.1015</v>
          </cell>
          <cell r="G822" t="str">
            <v>-</v>
          </cell>
        </row>
        <row r="823">
          <cell r="B823" t="str">
            <v>7101103000</v>
          </cell>
          <cell r="C823" t="str">
            <v>G2511-0241</v>
          </cell>
          <cell r="D823" t="str">
            <v>000042944999009192</v>
          </cell>
          <cell r="E823" t="str">
            <v>前腔回油接头压板</v>
          </cell>
          <cell r="F823" t="str">
            <v>S20.8.2084</v>
          </cell>
          <cell r="G823" t="str">
            <v>-</v>
          </cell>
        </row>
        <row r="824">
          <cell r="B824" t="str">
            <v>7101103101</v>
          </cell>
          <cell r="C824" t="str">
            <v>G2511-1900</v>
          </cell>
          <cell r="D824" t="str">
            <v>000042944239011705</v>
          </cell>
          <cell r="E824" t="str">
            <v>十二角头螺栓</v>
          </cell>
          <cell r="F824" t="str">
            <v>S10.1.1215</v>
          </cell>
          <cell r="G824" t="str">
            <v>-</v>
          </cell>
        </row>
        <row r="825">
          <cell r="B825" t="str">
            <v>7101103339</v>
          </cell>
          <cell r="C825" t="str">
            <v>G2512-0327</v>
          </cell>
          <cell r="D825" t="str">
            <v>000042944439070138</v>
          </cell>
          <cell r="E825" t="str">
            <v>垫圈</v>
          </cell>
          <cell r="F825" t="str">
            <v>S15.15.1206P</v>
          </cell>
          <cell r="G825" t="str">
            <v>-</v>
          </cell>
        </row>
        <row r="826">
          <cell r="B826" t="str">
            <v>7101103370</v>
          </cell>
          <cell r="C826" t="str">
            <v>G2602-0098</v>
          </cell>
          <cell r="D826" t="str">
            <v>000042944319164166</v>
          </cell>
          <cell r="E826" t="str">
            <v>六角自锁螺母</v>
          </cell>
          <cell r="F826" t="str">
            <v>AETG463</v>
          </cell>
          <cell r="G826" t="str">
            <v>0610</v>
          </cell>
        </row>
        <row r="827">
          <cell r="B827" t="str">
            <v>7101103565</v>
          </cell>
          <cell r="C827" t="str">
            <v>G2603-2585</v>
          </cell>
          <cell r="D827" t="str">
            <v>000042944360128942</v>
          </cell>
          <cell r="E827" t="str">
            <v>下缘板销钉</v>
          </cell>
          <cell r="F827" t="str">
            <v>ACE16-2022.44.141</v>
          </cell>
          <cell r="G827" t="str">
            <v>-</v>
          </cell>
        </row>
        <row r="828">
          <cell r="B828" t="str">
            <v>7101103801</v>
          </cell>
          <cell r="C828" t="str">
            <v>G2310-0555</v>
          </cell>
          <cell r="D828" t="str">
            <v>000042944239014334</v>
          </cell>
          <cell r="E828" t="str">
            <v>十二角头螺栓</v>
          </cell>
          <cell r="F828" t="str">
            <v>ΦCU34885</v>
          </cell>
          <cell r="G828" t="str">
            <v>-</v>
          </cell>
        </row>
        <row r="829">
          <cell r="B829" t="str">
            <v>7101103801</v>
          </cell>
          <cell r="C829" t="str">
            <v>G2502-2797</v>
          </cell>
          <cell r="D829" t="str">
            <v>000042944239014334</v>
          </cell>
          <cell r="E829" t="str">
            <v>十二角头螺栓</v>
          </cell>
          <cell r="F829" t="str">
            <v>ΦCU34885</v>
          </cell>
          <cell r="G829" t="str">
            <v>-</v>
          </cell>
        </row>
        <row r="830">
          <cell r="B830" t="str">
            <v>7101103943</v>
          </cell>
          <cell r="C830" t="str">
            <v>G2601-0835</v>
          </cell>
          <cell r="D830" t="str">
            <v>000036900000040581</v>
          </cell>
          <cell r="E830" t="str">
            <v>密封圈</v>
          </cell>
          <cell r="F830" t="str">
            <v>11S00225</v>
          </cell>
          <cell r="G830" t="str">
            <v>-</v>
          </cell>
        </row>
        <row r="831">
          <cell r="B831" t="str">
            <v>7101104154</v>
          </cell>
          <cell r="C831" t="str">
            <v>G2511-1251</v>
          </cell>
          <cell r="D831" t="str">
            <v>000042944239003780</v>
          </cell>
          <cell r="E831" t="str">
            <v>滑油泵壳体台阶螺栓</v>
          </cell>
          <cell r="F831" t="str">
            <v>ΦEU43013</v>
          </cell>
          <cell r="G831" t="str">
            <v>-</v>
          </cell>
        </row>
        <row r="832">
          <cell r="B832" t="str">
            <v>7101104154</v>
          </cell>
          <cell r="C832" t="str">
            <v>G2604-1048</v>
          </cell>
          <cell r="D832" t="str">
            <v>000042944239003780</v>
          </cell>
          <cell r="E832" t="str">
            <v>滑油泵壳体台阶螺栓</v>
          </cell>
          <cell r="F832" t="str">
            <v>ΦEU43013</v>
          </cell>
          <cell r="G832" t="str">
            <v>-</v>
          </cell>
        </row>
        <row r="833">
          <cell r="B833" t="str">
            <v>7101104184</v>
          </cell>
          <cell r="C833" t="str">
            <v>G2512-0327</v>
          </cell>
          <cell r="D833" t="str">
            <v>000042944439070138</v>
          </cell>
          <cell r="E833" t="str">
            <v>垫圈</v>
          </cell>
          <cell r="F833" t="str">
            <v>S15.15.1206P</v>
          </cell>
          <cell r="G833" t="str">
            <v>-</v>
          </cell>
        </row>
        <row r="834">
          <cell r="B834" t="str">
            <v>7101104253</v>
          </cell>
          <cell r="C834" t="str">
            <v>G2601-1595</v>
          </cell>
          <cell r="D834" t="str">
            <v>000042944239130112</v>
          </cell>
          <cell r="E834" t="str">
            <v>螺栓</v>
          </cell>
          <cell r="F834" t="str">
            <v>ACE16-2022.15.121</v>
          </cell>
          <cell r="G834" t="str">
            <v>-</v>
          </cell>
        </row>
        <row r="835">
          <cell r="B835" t="str">
            <v>7101104256</v>
          </cell>
          <cell r="C835" t="str">
            <v>G2601-1595</v>
          </cell>
          <cell r="D835" t="str">
            <v>000042944239130112</v>
          </cell>
          <cell r="E835" t="str">
            <v>螺栓</v>
          </cell>
          <cell r="F835" t="str">
            <v>ACE16-2022.15.121</v>
          </cell>
          <cell r="G835" t="str">
            <v>-</v>
          </cell>
        </row>
        <row r="836">
          <cell r="B836" t="str">
            <v>7101104576</v>
          </cell>
          <cell r="C836" t="str">
            <v>G2209-2758</v>
          </cell>
          <cell r="D836" t="str">
            <v>000042944360006150</v>
          </cell>
          <cell r="E836" t="str">
            <v>低压2级空心销</v>
          </cell>
          <cell r="F836" t="str">
            <v>ΦEU70474</v>
          </cell>
          <cell r="G836" t="str">
            <v>-</v>
          </cell>
        </row>
        <row r="837">
          <cell r="B837" t="str">
            <v>71011045761</v>
          </cell>
          <cell r="C837" t="str">
            <v>G2308-0632</v>
          </cell>
          <cell r="D837" t="str">
            <v>000042944360006150</v>
          </cell>
          <cell r="E837" t="str">
            <v>低压2级空心销</v>
          </cell>
          <cell r="F837" t="str">
            <v>ΦEU70474</v>
          </cell>
          <cell r="G837" t="str">
            <v>-</v>
          </cell>
        </row>
        <row r="838">
          <cell r="B838" t="str">
            <v>71011045762</v>
          </cell>
          <cell r="C838" t="str">
            <v>G2310-0693</v>
          </cell>
          <cell r="D838" t="str">
            <v>000042944360006150</v>
          </cell>
          <cell r="E838" t="str">
            <v>低压2级空心销</v>
          </cell>
          <cell r="F838" t="str">
            <v>ΦEU70474</v>
          </cell>
          <cell r="G838" t="str">
            <v>-</v>
          </cell>
        </row>
        <row r="839">
          <cell r="B839" t="str">
            <v>7101104701</v>
          </cell>
          <cell r="C839" t="str">
            <v>G2508-0411</v>
          </cell>
          <cell r="D839" t="str">
            <v>000042944239129130</v>
          </cell>
          <cell r="E839" t="str">
            <v>D头螺栓</v>
          </cell>
          <cell r="F839" t="str">
            <v>ACE16-2022.15.108</v>
          </cell>
          <cell r="G839" t="str">
            <v>-</v>
          </cell>
        </row>
        <row r="840">
          <cell r="B840" t="str">
            <v>7101104831</v>
          </cell>
          <cell r="C840" t="str">
            <v>G2602-1594</v>
          </cell>
          <cell r="D840" t="str">
            <v>000042944000150066</v>
          </cell>
          <cell r="E840" t="str">
            <v>衬套</v>
          </cell>
          <cell r="F840" t="str">
            <v>FJ.17.069B.B</v>
          </cell>
          <cell r="G840" t="str">
            <v>-</v>
          </cell>
        </row>
        <row r="841">
          <cell r="B841" t="str">
            <v>7101104909</v>
          </cell>
          <cell r="C841" t="str">
            <v>G2601-1362</v>
          </cell>
          <cell r="D841" t="str">
            <v>000042944239011749</v>
          </cell>
          <cell r="E841" t="str">
            <v>盘后螺栓</v>
          </cell>
          <cell r="F841" t="str">
            <v>S10.1.1402</v>
          </cell>
          <cell r="G841" t="str">
            <v>-</v>
          </cell>
        </row>
        <row r="842">
          <cell r="B842" t="str">
            <v>7101104911</v>
          </cell>
          <cell r="C842" t="str">
            <v>G2601-1362</v>
          </cell>
          <cell r="D842" t="str">
            <v>000042944239011749</v>
          </cell>
          <cell r="E842" t="str">
            <v>盘后螺栓</v>
          </cell>
          <cell r="F842" t="str">
            <v>S10.1.1402</v>
          </cell>
          <cell r="G842" t="str">
            <v>-</v>
          </cell>
        </row>
        <row r="843">
          <cell r="B843" t="str">
            <v>7101105000</v>
          </cell>
          <cell r="C843" t="str">
            <v>G2603-1348</v>
          </cell>
          <cell r="D843" t="str">
            <v>000036200000138564</v>
          </cell>
          <cell r="E843" t="str">
            <v>密封垫组件31</v>
          </cell>
          <cell r="F843" t="str">
            <v>SH40.04.803</v>
          </cell>
          <cell r="G843" t="str">
            <v>-</v>
          </cell>
        </row>
        <row r="844">
          <cell r="B844" t="str">
            <v>7101105001</v>
          </cell>
          <cell r="C844" t="str">
            <v>G2603-1347</v>
          </cell>
          <cell r="D844" t="str">
            <v>000036200000138563</v>
          </cell>
          <cell r="E844" t="str">
            <v>密封垫组件42</v>
          </cell>
          <cell r="F844" t="str">
            <v>SH40.04.805</v>
          </cell>
          <cell r="G844" t="str">
            <v>-</v>
          </cell>
        </row>
        <row r="845">
          <cell r="B845" t="str">
            <v>7101105029</v>
          </cell>
          <cell r="C845" t="str">
            <v>G2509-0398</v>
          </cell>
          <cell r="D845" t="str">
            <v>000042944239159115</v>
          </cell>
          <cell r="E845" t="str">
            <v>D头精密螺栓</v>
          </cell>
          <cell r="F845" t="str">
            <v>STHF.42.1120</v>
          </cell>
          <cell r="G845" t="str">
            <v>-</v>
          </cell>
        </row>
        <row r="846">
          <cell r="B846" t="str">
            <v>7101105030</v>
          </cell>
          <cell r="C846" t="str">
            <v>G2602-0163</v>
          </cell>
          <cell r="D846" t="str">
            <v>000042944288167654</v>
          </cell>
          <cell r="E846" t="str">
            <v>自锁螺母</v>
          </cell>
          <cell r="F846" t="str">
            <v>QS.37.050</v>
          </cell>
          <cell r="G846" t="str">
            <v>-</v>
          </cell>
        </row>
        <row r="847">
          <cell r="B847" t="str">
            <v>7101105031</v>
          </cell>
          <cell r="C847" t="str">
            <v>G2602-0163</v>
          </cell>
          <cell r="D847" t="str">
            <v>000042944288167654</v>
          </cell>
          <cell r="E847" t="str">
            <v>自锁螺母</v>
          </cell>
          <cell r="F847" t="str">
            <v>QS.37.050</v>
          </cell>
          <cell r="G847" t="str">
            <v>-</v>
          </cell>
        </row>
        <row r="848">
          <cell r="B848" t="str">
            <v>7101105112</v>
          </cell>
          <cell r="C848" t="str">
            <v>G2502-2797</v>
          </cell>
          <cell r="D848" t="str">
            <v>000042944239014334</v>
          </cell>
          <cell r="E848" t="str">
            <v>十二角头螺栓</v>
          </cell>
          <cell r="F848" t="str">
            <v>ΦCU34885</v>
          </cell>
          <cell r="G848" t="str">
            <v>-</v>
          </cell>
        </row>
        <row r="849">
          <cell r="B849" t="str">
            <v>7101105112</v>
          </cell>
          <cell r="C849" t="str">
            <v>G2510-1583</v>
          </cell>
          <cell r="D849" t="str">
            <v>000042944239014334</v>
          </cell>
          <cell r="E849" t="str">
            <v>十二角头螺栓</v>
          </cell>
          <cell r="F849" t="str">
            <v>ΦCU34885</v>
          </cell>
          <cell r="G849" t="str">
            <v>-</v>
          </cell>
        </row>
        <row r="850">
          <cell r="B850" t="str">
            <v>7101105426</v>
          </cell>
          <cell r="C850" t="str">
            <v>G2602-1488</v>
          </cell>
          <cell r="D850" t="str">
            <v>000042944239168804</v>
          </cell>
          <cell r="E850" t="str">
            <v>十二角头螺栓</v>
          </cell>
          <cell r="F850" t="str">
            <v>AETG407</v>
          </cell>
          <cell r="G850" t="str">
            <v>081024</v>
          </cell>
        </row>
        <row r="851">
          <cell r="B851" t="str">
            <v>7101105437</v>
          </cell>
          <cell r="C851" t="str">
            <v>G2602-1488</v>
          </cell>
          <cell r="D851" t="str">
            <v>000042944239168804</v>
          </cell>
          <cell r="E851" t="str">
            <v>十二角头螺栓</v>
          </cell>
          <cell r="F851" t="str">
            <v>AETG407</v>
          </cell>
          <cell r="G851" t="str">
            <v>081024</v>
          </cell>
        </row>
        <row r="852">
          <cell r="B852" t="str">
            <v>7101105440</v>
          </cell>
          <cell r="C852" t="str">
            <v>G2512-0321</v>
          </cell>
          <cell r="D852" t="str">
            <v>000042944360005804</v>
          </cell>
          <cell r="E852" t="str">
            <v>圆柱销</v>
          </cell>
          <cell r="F852" t="str">
            <v>S15.15.1051</v>
          </cell>
          <cell r="G852" t="str">
            <v>-</v>
          </cell>
        </row>
        <row r="853">
          <cell r="B853" t="str">
            <v>7101105441</v>
          </cell>
          <cell r="C853" t="str">
            <v>G2512-0321</v>
          </cell>
          <cell r="D853" t="str">
            <v>000042944360005804</v>
          </cell>
          <cell r="E853" t="str">
            <v>圆柱销</v>
          </cell>
          <cell r="F853" t="str">
            <v>S15.15.1051</v>
          </cell>
          <cell r="G853" t="str">
            <v>-</v>
          </cell>
        </row>
        <row r="854">
          <cell r="B854" t="str">
            <v>7101105441</v>
          </cell>
          <cell r="C854" t="str">
            <v>G2508-2309</v>
          </cell>
          <cell r="D854" t="str">
            <v>000042944360005804</v>
          </cell>
          <cell r="E854" t="str">
            <v>圆柱销</v>
          </cell>
          <cell r="F854" t="str">
            <v>S15.15.1051</v>
          </cell>
          <cell r="G854" t="str">
            <v>-</v>
          </cell>
        </row>
        <row r="855">
          <cell r="B855" t="str">
            <v>7101097372</v>
          </cell>
          <cell r="C855" t="str">
            <v>G2511-0223</v>
          </cell>
          <cell r="D855" t="str">
            <v>000042944239011722</v>
          </cell>
          <cell r="E855" t="str">
            <v>十二角头螺栓</v>
          </cell>
          <cell r="F855" t="str">
            <v>S10.1.1235</v>
          </cell>
          <cell r="G855" t="str">
            <v>-</v>
          </cell>
        </row>
        <row r="856">
          <cell r="B856" t="str">
            <v>7101097374</v>
          </cell>
          <cell r="C856" t="str">
            <v>G2303-0866</v>
          </cell>
          <cell r="D856" t="str">
            <v>000042944239011724</v>
          </cell>
          <cell r="E856" t="str">
            <v>十二角头螺栓</v>
          </cell>
          <cell r="F856" t="str">
            <v>S10.1.1236</v>
          </cell>
          <cell r="G856" t="str">
            <v>-</v>
          </cell>
        </row>
        <row r="857">
          <cell r="B857" t="str">
            <v>7101097377</v>
          </cell>
          <cell r="C857" t="str">
            <v>G2512-0462</v>
          </cell>
          <cell r="D857" t="str">
            <v>000042944288051128</v>
          </cell>
          <cell r="E857" t="str">
            <v>托板自锁螺母,MJ螺纹,镀银,材料GH738</v>
          </cell>
          <cell r="F857" t="str">
            <v>Q/S15.1108-2011</v>
          </cell>
          <cell r="G857" t="str">
            <v>10</v>
          </cell>
        </row>
        <row r="858">
          <cell r="B858" t="str">
            <v>7101097377</v>
          </cell>
          <cell r="C858" t="str">
            <v>G2509-2044</v>
          </cell>
          <cell r="D858" t="str">
            <v>000042944288051128</v>
          </cell>
          <cell r="E858" t="str">
            <v>托板自锁螺母,MJ螺纹,镀银,材料GH738</v>
          </cell>
          <cell r="F858" t="str">
            <v>Q/S15.1108-2011</v>
          </cell>
          <cell r="G858" t="str">
            <v>10</v>
          </cell>
        </row>
        <row r="859">
          <cell r="B859" t="str">
            <v>7101097382</v>
          </cell>
          <cell r="C859" t="str">
            <v>G2501-0830</v>
          </cell>
          <cell r="D859" t="str">
            <v>000042944239011724</v>
          </cell>
          <cell r="E859" t="str">
            <v>十二角头螺栓</v>
          </cell>
          <cell r="F859" t="str">
            <v>S10.1.1236</v>
          </cell>
          <cell r="G859" t="str">
            <v>-</v>
          </cell>
        </row>
        <row r="860">
          <cell r="B860" t="str">
            <v>7101097383</v>
          </cell>
          <cell r="C860" t="str">
            <v>G2408-1594</v>
          </cell>
          <cell r="D860" t="str">
            <v>000042944239011724</v>
          </cell>
          <cell r="E860" t="str">
            <v>十二角头螺栓</v>
          </cell>
          <cell r="F860" t="str">
            <v>S10.1.1236</v>
          </cell>
          <cell r="G860" t="str">
            <v>-</v>
          </cell>
        </row>
        <row r="861">
          <cell r="B861" t="str">
            <v>7101097407</v>
          </cell>
          <cell r="C861" t="str">
            <v>G2509-2507</v>
          </cell>
          <cell r="D861" t="str">
            <v>000042944239011729</v>
          </cell>
          <cell r="E861" t="str">
            <v>十二角头螺栓</v>
          </cell>
          <cell r="F861" t="str">
            <v>S10.1.1246</v>
          </cell>
          <cell r="G861" t="str">
            <v>-</v>
          </cell>
        </row>
        <row r="862">
          <cell r="B862" t="str">
            <v>7101097410</v>
          </cell>
          <cell r="C862" t="str">
            <v>G2511-0124</v>
          </cell>
          <cell r="D862" t="str">
            <v>000042944319100888</v>
          </cell>
          <cell r="E862" t="str">
            <v>螺母(左旋)</v>
          </cell>
          <cell r="F862" t="str">
            <v>S20.4.2026</v>
          </cell>
          <cell r="G862" t="str">
            <v>-</v>
          </cell>
        </row>
        <row r="863">
          <cell r="B863" t="str">
            <v>7101097416</v>
          </cell>
          <cell r="C863" t="str">
            <v>G2306-1666</v>
          </cell>
          <cell r="D863" t="str">
            <v>000042944239011751</v>
          </cell>
          <cell r="E863" t="str">
            <v>螺栓</v>
          </cell>
          <cell r="F863" t="str">
            <v>S10.1.1405</v>
          </cell>
          <cell r="G863" t="str">
            <v>-</v>
          </cell>
        </row>
        <row r="864">
          <cell r="B864" t="str">
            <v>7101097423</v>
          </cell>
          <cell r="C864" t="str">
            <v>G2505-0129</v>
          </cell>
          <cell r="D864" t="str">
            <v>000042944288002044</v>
          </cell>
          <cell r="E864" t="str">
            <v>MJ螺纹十二角自锁螺母</v>
          </cell>
          <cell r="F864" t="str">
            <v>Q/S15.1103-2011</v>
          </cell>
          <cell r="G864" t="str">
            <v>8</v>
          </cell>
        </row>
        <row r="865">
          <cell r="B865" t="str">
            <v>7101097430</v>
          </cell>
          <cell r="C865" t="str">
            <v>G2511-0097</v>
          </cell>
          <cell r="D865" t="str">
            <v>000042944319001895</v>
          </cell>
          <cell r="E865" t="str">
            <v>鼓筒前连接螺母</v>
          </cell>
          <cell r="F865" t="str">
            <v>S10.4.1404</v>
          </cell>
          <cell r="G865" t="str">
            <v>-</v>
          </cell>
        </row>
        <row r="866">
          <cell r="B866" t="str">
            <v>7101097431</v>
          </cell>
          <cell r="C866" t="str">
            <v>G2511-0098</v>
          </cell>
          <cell r="D866" t="str">
            <v>000042944319001895</v>
          </cell>
          <cell r="E866" t="str">
            <v>鼓筒前连接螺母</v>
          </cell>
          <cell r="F866" t="str">
            <v>S10.4.1404</v>
          </cell>
          <cell r="G866" t="str">
            <v>-</v>
          </cell>
        </row>
        <row r="867">
          <cell r="B867" t="str">
            <v>7101097433</v>
          </cell>
          <cell r="C867" t="str">
            <v>G2511-0188</v>
          </cell>
          <cell r="D867" t="str">
            <v>000042944319002131</v>
          </cell>
          <cell r="E867" t="str">
            <v>外套螺母</v>
          </cell>
          <cell r="F867" t="str">
            <v>S20.4.2011</v>
          </cell>
          <cell r="G867" t="str">
            <v>-</v>
          </cell>
        </row>
        <row r="868">
          <cell r="B868" t="str">
            <v>7101097434</v>
          </cell>
          <cell r="C868" t="str">
            <v>G2511-0188</v>
          </cell>
          <cell r="D868" t="str">
            <v>000042944319002131</v>
          </cell>
          <cell r="E868" t="str">
            <v>外套螺母</v>
          </cell>
          <cell r="F868" t="str">
            <v>S20.4.2011</v>
          </cell>
          <cell r="G868" t="str">
            <v>-</v>
          </cell>
        </row>
        <row r="869">
          <cell r="B869" t="str">
            <v>7101097435</v>
          </cell>
          <cell r="C869" t="str">
            <v>G2506-7525</v>
          </cell>
          <cell r="D869" t="str">
            <v>000042944319002131</v>
          </cell>
          <cell r="E869" t="str">
            <v>外套螺母</v>
          </cell>
          <cell r="F869" t="str">
            <v>S20.4.2011</v>
          </cell>
          <cell r="G869" t="str">
            <v>-</v>
          </cell>
        </row>
        <row r="870">
          <cell r="B870" t="str">
            <v>7101097436</v>
          </cell>
          <cell r="C870" t="str">
            <v>G2502-2896</v>
          </cell>
          <cell r="D870" t="str">
            <v>000042944360100875</v>
          </cell>
          <cell r="E870" t="str">
            <v>安装梁剪切销</v>
          </cell>
          <cell r="F870" t="str">
            <v>S20.00.2007</v>
          </cell>
          <cell r="G870" t="str">
            <v>-</v>
          </cell>
        </row>
        <row r="871">
          <cell r="B871" t="str">
            <v>7101097439</v>
          </cell>
          <cell r="C871" t="str">
            <v>G2502-0214</v>
          </cell>
          <cell r="D871" t="str">
            <v>000042944288002486</v>
          </cell>
          <cell r="E871" t="str">
            <v>六角自锁螺母</v>
          </cell>
          <cell r="F871" t="str">
            <v>S10.4.1202</v>
          </cell>
          <cell r="G871" t="str">
            <v>-</v>
          </cell>
        </row>
        <row r="872">
          <cell r="B872" t="str">
            <v>7101097440</v>
          </cell>
          <cell r="C872" t="str">
            <v>G2502-0214</v>
          </cell>
          <cell r="D872" t="str">
            <v>000042944288002486</v>
          </cell>
          <cell r="E872" t="str">
            <v>六角自锁螺母</v>
          </cell>
          <cell r="F872" t="str">
            <v>S10.4.1202</v>
          </cell>
          <cell r="G872" t="str">
            <v>-</v>
          </cell>
        </row>
        <row r="873">
          <cell r="B873" t="str">
            <v>7101097443</v>
          </cell>
          <cell r="C873" t="str">
            <v>G2511-0100</v>
          </cell>
          <cell r="D873" t="str">
            <v>000042944319001900</v>
          </cell>
          <cell r="E873" t="str">
            <v>螺母</v>
          </cell>
          <cell r="F873" t="str">
            <v>S10.4.1407</v>
          </cell>
          <cell r="G873" t="str">
            <v>-</v>
          </cell>
        </row>
        <row r="874">
          <cell r="B874" t="str">
            <v>7101097444</v>
          </cell>
          <cell r="C874" t="str">
            <v>G2511-0101</v>
          </cell>
          <cell r="D874" t="str">
            <v>000042944319001900</v>
          </cell>
          <cell r="E874" t="str">
            <v>螺母</v>
          </cell>
          <cell r="F874" t="str">
            <v>S10.4.1407</v>
          </cell>
          <cell r="G874" t="str">
            <v>-</v>
          </cell>
        </row>
        <row r="875">
          <cell r="B875" t="str">
            <v>7101097445</v>
          </cell>
          <cell r="C875" t="str">
            <v>G2511-0101</v>
          </cell>
          <cell r="D875" t="str">
            <v>000042944319001900</v>
          </cell>
          <cell r="E875" t="str">
            <v>螺母</v>
          </cell>
          <cell r="F875" t="str">
            <v>S10.4.1407</v>
          </cell>
          <cell r="G875" t="str">
            <v>-</v>
          </cell>
        </row>
        <row r="876">
          <cell r="B876" t="str">
            <v>7101098077</v>
          </cell>
          <cell r="C876" t="str">
            <v>G2602-1526</v>
          </cell>
          <cell r="D876" t="str">
            <v>000042944999000130</v>
          </cell>
          <cell r="E876" t="str">
            <v>轴用钢丝卡圈</v>
          </cell>
          <cell r="F876" t="str">
            <v>11S50214</v>
          </cell>
          <cell r="G876" t="str">
            <v>-</v>
          </cell>
        </row>
        <row r="877">
          <cell r="B877" t="str">
            <v>7101098081</v>
          </cell>
          <cell r="C877" t="str">
            <v>G2510-1435</v>
          </cell>
          <cell r="D877" t="str">
            <v>000042944000122904</v>
          </cell>
          <cell r="E877" t="str">
            <v>配重块</v>
          </cell>
          <cell r="F877" t="str">
            <v>S10EA.12.1046</v>
          </cell>
          <cell r="G877" t="str">
            <v>Ⅱ</v>
          </cell>
        </row>
        <row r="878">
          <cell r="B878" t="str">
            <v>7101098525</v>
          </cell>
          <cell r="C878" t="str">
            <v>G2512-0459</v>
          </cell>
          <cell r="D878" t="str">
            <v>000042944239070156</v>
          </cell>
          <cell r="E878" t="str">
            <v>篦齿盘螺栓</v>
          </cell>
          <cell r="F878" t="str">
            <v>S15.44.1059P</v>
          </cell>
          <cell r="G878" t="str">
            <v>-</v>
          </cell>
        </row>
        <row r="879">
          <cell r="B879" t="str">
            <v>7101099065</v>
          </cell>
          <cell r="C879" t="str">
            <v>G2510-1123</v>
          </cell>
          <cell r="D879" t="str">
            <v>000042944401162168</v>
          </cell>
          <cell r="E879" t="str">
            <v>平垫圈</v>
          </cell>
          <cell r="F879" t="str">
            <v>AETG171</v>
          </cell>
          <cell r="G879" t="str">
            <v>071210</v>
          </cell>
        </row>
        <row r="880">
          <cell r="B880" t="str">
            <v>7101099461</v>
          </cell>
          <cell r="C880" t="str">
            <v>G2512-0458</v>
          </cell>
          <cell r="D880" t="str">
            <v>000042944201057235</v>
          </cell>
          <cell r="E880" t="str">
            <v>六角头螺栓</v>
          </cell>
          <cell r="F880" t="str">
            <v>Q/S15.1021A-2011</v>
          </cell>
          <cell r="G880" t="str">
            <v>6-27</v>
          </cell>
        </row>
        <row r="881">
          <cell r="B881" t="str">
            <v>7101099463</v>
          </cell>
          <cell r="C881" t="str">
            <v>G2512-0458</v>
          </cell>
          <cell r="D881" t="str">
            <v>000042944201057235</v>
          </cell>
          <cell r="E881" t="str">
            <v>六角头螺栓</v>
          </cell>
          <cell r="F881" t="str">
            <v>Q/S15.1021A-2011</v>
          </cell>
          <cell r="G881" t="str">
            <v>6-27</v>
          </cell>
        </row>
        <row r="882">
          <cell r="B882" t="str">
            <v>7101099471</v>
          </cell>
          <cell r="C882" t="str">
            <v>G2512-0458</v>
          </cell>
          <cell r="D882" t="str">
            <v>000042944201057235</v>
          </cell>
          <cell r="E882" t="str">
            <v>六角头螺栓</v>
          </cell>
          <cell r="F882" t="str">
            <v>Q/S15.1021A-2011</v>
          </cell>
          <cell r="G882" t="str">
            <v>6-27</v>
          </cell>
        </row>
        <row r="883">
          <cell r="B883" t="str">
            <v>7101099480</v>
          </cell>
          <cell r="C883" t="str">
            <v>G2601-0924</v>
          </cell>
          <cell r="D883" t="str">
            <v>000042944000154707</v>
          </cell>
          <cell r="E883" t="str">
            <v>支板固定锁片</v>
          </cell>
          <cell r="F883" t="str">
            <v>S35.47.079</v>
          </cell>
          <cell r="G883" t="str">
            <v>-</v>
          </cell>
        </row>
        <row r="884">
          <cell r="B884" t="str">
            <v>7101099663</v>
          </cell>
          <cell r="C884" t="str">
            <v>G2512-0300</v>
          </cell>
          <cell r="D884" t="str">
            <v>000042944160050115</v>
          </cell>
          <cell r="E884" t="str">
            <v>联动环限位螺钉</v>
          </cell>
          <cell r="F884" t="str">
            <v>S15.15.1063N</v>
          </cell>
          <cell r="G884" t="str">
            <v>-</v>
          </cell>
        </row>
        <row r="885">
          <cell r="B885" t="str">
            <v>7101099933</v>
          </cell>
          <cell r="C885" t="str">
            <v>G2601-1959</v>
          </cell>
          <cell r="D885" t="str">
            <v>000042944239117755</v>
          </cell>
          <cell r="E885" t="str">
            <v>D头螺栓</v>
          </cell>
          <cell r="F885" t="str">
            <v>FJ.62.039.B</v>
          </cell>
          <cell r="G885" t="str">
            <v>-</v>
          </cell>
        </row>
        <row r="886">
          <cell r="B886" t="str">
            <v>7101099939</v>
          </cell>
          <cell r="C886" t="str">
            <v>G2603-2134</v>
          </cell>
          <cell r="D886" t="str">
            <v>000042944240167964</v>
          </cell>
          <cell r="E886" t="str">
            <v>过盈螺桩(8)E</v>
          </cell>
          <cell r="F886" t="str">
            <v>QS.17.035</v>
          </cell>
          <cell r="G886" t="str">
            <v>2</v>
          </cell>
        </row>
        <row r="887">
          <cell r="B887" t="str">
            <v>7101100031</v>
          </cell>
          <cell r="C887" t="str">
            <v>G2601-1564</v>
          </cell>
          <cell r="D887" t="str">
            <v>000042944288000012</v>
          </cell>
          <cell r="E887" t="str">
            <v>十二角自锁螺母</v>
          </cell>
          <cell r="F887" t="str">
            <v>11S40097</v>
          </cell>
          <cell r="G887" t="str">
            <v>-</v>
          </cell>
        </row>
        <row r="888">
          <cell r="B888" t="str">
            <v>7101100039</v>
          </cell>
          <cell r="C888" t="str">
            <v>G2602-0080</v>
          </cell>
          <cell r="D888" t="str">
            <v>000042944240167952</v>
          </cell>
          <cell r="E888" t="str">
            <v>过盈螺桩(10)B</v>
          </cell>
          <cell r="F888" t="str">
            <v>QS.17.032</v>
          </cell>
          <cell r="G888" t="str">
            <v>2</v>
          </cell>
        </row>
        <row r="889">
          <cell r="B889" t="str">
            <v>7101100040</v>
          </cell>
          <cell r="C889" t="str">
            <v>G2603-1977</v>
          </cell>
          <cell r="D889" t="str">
            <v>000042944240167951</v>
          </cell>
          <cell r="E889" t="str">
            <v>过盈螺桩(10)B</v>
          </cell>
          <cell r="F889" t="str">
            <v>QS.17.032</v>
          </cell>
          <cell r="G889" t="str">
            <v>1</v>
          </cell>
        </row>
        <row r="890">
          <cell r="B890" t="str">
            <v>7101100041</v>
          </cell>
          <cell r="C890" t="str">
            <v>G2504-0117</v>
          </cell>
          <cell r="D890" t="str">
            <v>000042944239137591</v>
          </cell>
          <cell r="E890" t="str">
            <v>D头螺栓</v>
          </cell>
          <cell r="F890" t="str">
            <v>019112004101</v>
          </cell>
          <cell r="G890" t="str">
            <v>-</v>
          </cell>
        </row>
        <row r="891">
          <cell r="B891" t="str">
            <v>7101100097</v>
          </cell>
          <cell r="C891" t="str">
            <v>G2504-0080</v>
          </cell>
          <cell r="D891" t="str">
            <v>000042944366118585</v>
          </cell>
          <cell r="E891" t="str">
            <v>销轴</v>
          </cell>
          <cell r="F891" t="str">
            <v>019155016601</v>
          </cell>
          <cell r="G891" t="str">
            <v>-</v>
          </cell>
        </row>
        <row r="892">
          <cell r="B892" t="str">
            <v>7101100129</v>
          </cell>
          <cell r="C892" t="str">
            <v>G2509-0531</v>
          </cell>
          <cell r="D892" t="str">
            <v>000042944319159005</v>
          </cell>
          <cell r="E892" t="str">
            <v>供油管压紧螺母</v>
          </cell>
          <cell r="F892" t="str">
            <v>STHF.63.1052</v>
          </cell>
          <cell r="G892" t="str">
            <v>-</v>
          </cell>
        </row>
        <row r="893">
          <cell r="B893" t="str">
            <v>7101100349</v>
          </cell>
          <cell r="C893" t="str">
            <v>G2512-7528</v>
          </cell>
          <cell r="D893" t="str">
            <v>000042944319002128</v>
          </cell>
          <cell r="E893" t="str">
            <v>外套螺母</v>
          </cell>
          <cell r="F893" t="str">
            <v>S20.4.2008(A版)</v>
          </cell>
          <cell r="G893" t="str">
            <v>-</v>
          </cell>
        </row>
        <row r="894">
          <cell r="B894" t="str">
            <v>7101100350</v>
          </cell>
          <cell r="C894" t="str">
            <v>G2512-7528</v>
          </cell>
          <cell r="D894" t="str">
            <v>000042944319002128</v>
          </cell>
          <cell r="E894" t="str">
            <v>外套螺母</v>
          </cell>
          <cell r="F894" t="str">
            <v>S20.4.2008(A版)</v>
          </cell>
          <cell r="G894" t="str">
            <v>-</v>
          </cell>
        </row>
        <row r="895">
          <cell r="B895" t="str">
            <v>7101100351</v>
          </cell>
          <cell r="C895" t="str">
            <v>G2512-7528</v>
          </cell>
          <cell r="D895" t="str">
            <v>000042944319002128</v>
          </cell>
          <cell r="E895" t="str">
            <v>外套螺母</v>
          </cell>
          <cell r="F895" t="str">
            <v>S20.4.2008(A版)</v>
          </cell>
          <cell r="G895" t="str">
            <v>-</v>
          </cell>
        </row>
        <row r="896">
          <cell r="B896" t="str">
            <v>7101100421</v>
          </cell>
          <cell r="C896" t="str">
            <v>G2602-0078</v>
          </cell>
          <cell r="D896" t="str">
            <v>000042944240167950</v>
          </cell>
          <cell r="E896" t="str">
            <v>过盈螺桩(10)A</v>
          </cell>
          <cell r="F896" t="str">
            <v>QS.17.031</v>
          </cell>
          <cell r="G896" t="str">
            <v>4</v>
          </cell>
        </row>
        <row r="897">
          <cell r="B897" t="str">
            <v>7101100428</v>
          </cell>
          <cell r="C897" t="str">
            <v>G2603-1384</v>
          </cell>
          <cell r="D897" t="str">
            <v>000042944240167963</v>
          </cell>
          <cell r="E897" t="str">
            <v>过盈螺桩(8)E</v>
          </cell>
          <cell r="F897" t="str">
            <v>QS.17.035</v>
          </cell>
          <cell r="G897" t="str">
            <v>1</v>
          </cell>
        </row>
        <row r="898">
          <cell r="B898" t="str">
            <v>7101100432</v>
          </cell>
          <cell r="C898" t="str">
            <v>G2602-0076</v>
          </cell>
          <cell r="D898" t="str">
            <v>000042944240167948</v>
          </cell>
          <cell r="E898" t="str">
            <v>过盈螺桩(10)A</v>
          </cell>
          <cell r="F898" t="str">
            <v>QS.17.031</v>
          </cell>
          <cell r="G898" t="str">
            <v>2</v>
          </cell>
        </row>
        <row r="899">
          <cell r="B899" t="str">
            <v>7101100464</v>
          </cell>
          <cell r="C899" t="str">
            <v>G2603-1869</v>
          </cell>
          <cell r="D899" t="str">
            <v>000042944360005931</v>
          </cell>
          <cell r="E899" t="str">
            <v>销子</v>
          </cell>
          <cell r="F899" t="str">
            <v>S20.7.2001</v>
          </cell>
          <cell r="G899" t="str">
            <v>-</v>
          </cell>
        </row>
        <row r="900">
          <cell r="B900" t="str">
            <v>7101100465</v>
          </cell>
          <cell r="C900" t="str">
            <v>G2603-1869</v>
          </cell>
          <cell r="D900" t="str">
            <v>000042944360005931</v>
          </cell>
          <cell r="E900" t="str">
            <v>销子</v>
          </cell>
          <cell r="F900" t="str">
            <v>S20.7.2001</v>
          </cell>
          <cell r="G900" t="str">
            <v>-</v>
          </cell>
        </row>
        <row r="901">
          <cell r="B901" t="str">
            <v>7101100492</v>
          </cell>
          <cell r="C901" t="str">
            <v>G2603-1635</v>
          </cell>
          <cell r="D901" t="str">
            <v>000042944239171394</v>
          </cell>
          <cell r="E901" t="str">
            <v>十二角头螺栓</v>
          </cell>
          <cell r="F901" t="str">
            <v>HB6900-1993</v>
          </cell>
          <cell r="G901" t="str">
            <v>6×18×0</v>
          </cell>
        </row>
        <row r="902">
          <cell r="B902" t="str">
            <v>7101100625</v>
          </cell>
          <cell r="C902" t="str">
            <v>G2411-0470</v>
          </cell>
          <cell r="D902" t="str">
            <v>000042944239102917</v>
          </cell>
          <cell r="E902" t="str">
            <v>螺栓</v>
          </cell>
          <cell r="F902" t="str">
            <v>S10.1.1153</v>
          </cell>
          <cell r="G902" t="str">
            <v>-</v>
          </cell>
        </row>
        <row r="904">
          <cell r="B904" t="str">
            <v>7101039957</v>
          </cell>
          <cell r="C904" t="str">
            <v>G2508-0551</v>
          </cell>
          <cell r="D904" t="str">
            <v>000036900000040571</v>
          </cell>
          <cell r="E904" t="str">
            <v>密封圈</v>
          </cell>
          <cell r="F904" t="str">
            <v>11S00015</v>
          </cell>
          <cell r="G904" t="str">
            <v>-</v>
          </cell>
        </row>
        <row r="905">
          <cell r="B905" t="str">
            <v>7101039954</v>
          </cell>
          <cell r="C905" t="str">
            <v>G2508-0890</v>
          </cell>
          <cell r="D905" t="str">
            <v>000036200000061556</v>
          </cell>
          <cell r="E905" t="str">
            <v>密封圈</v>
          </cell>
          <cell r="F905" t="str">
            <v>11S00166</v>
          </cell>
          <cell r="G905" t="str">
            <v>-</v>
          </cell>
        </row>
        <row r="906">
          <cell r="B906" t="str">
            <v>7101089404</v>
          </cell>
          <cell r="C906" t="str">
            <v>G2511-0100</v>
          </cell>
          <cell r="D906" t="str">
            <v>000042944319001900</v>
          </cell>
          <cell r="E906" t="str">
            <v>螺母</v>
          </cell>
          <cell r="F906" t="str">
            <v>S10.4.1407</v>
          </cell>
          <cell r="G906" t="str">
            <v>-</v>
          </cell>
        </row>
        <row r="907">
          <cell r="B907" t="str">
            <v>7101089412</v>
          </cell>
          <cell r="C907" t="str">
            <v>G2504-1441</v>
          </cell>
          <cell r="D907" t="str">
            <v>000042944360005934</v>
          </cell>
          <cell r="E907" t="str">
            <v>螺母止动销</v>
          </cell>
          <cell r="F907" t="str">
            <v>S20.7.2009</v>
          </cell>
          <cell r="G907" t="str">
            <v>-</v>
          </cell>
        </row>
        <row r="908">
          <cell r="B908" t="str">
            <v>7101089414</v>
          </cell>
          <cell r="C908" t="str">
            <v>G2504-1278</v>
          </cell>
          <cell r="D908" t="str">
            <v>000042944360005933</v>
          </cell>
          <cell r="E908" t="str">
            <v>销子</v>
          </cell>
          <cell r="F908" t="str">
            <v>S20.7.2003</v>
          </cell>
          <cell r="G908" t="str">
            <v>-</v>
          </cell>
        </row>
        <row r="909">
          <cell r="B909" t="str">
            <v>7101089476</v>
          </cell>
          <cell r="C909" t="str">
            <v>G2603-1510</v>
          </cell>
          <cell r="D909" t="str">
            <v>000042944320126746</v>
          </cell>
          <cell r="E909" t="str">
            <v>A8调节片后铆钉</v>
          </cell>
          <cell r="F909" t="str">
            <v>019155039101</v>
          </cell>
          <cell r="G909" t="str">
            <v>-</v>
          </cell>
        </row>
        <row r="910">
          <cell r="B910" t="str">
            <v>7101089611</v>
          </cell>
          <cell r="C910" t="str">
            <v>G2512-0308</v>
          </cell>
          <cell r="D910" t="str">
            <v>000042944319002041</v>
          </cell>
          <cell r="E910" t="str">
            <v>托板自锁螺母</v>
          </cell>
          <cell r="F910" t="str">
            <v>S15.37.1024</v>
          </cell>
          <cell r="G910" t="str">
            <v>-</v>
          </cell>
        </row>
        <row r="911">
          <cell r="B911" t="str">
            <v>7101089612</v>
          </cell>
          <cell r="C911" t="str">
            <v>G2512-0308</v>
          </cell>
          <cell r="D911" t="str">
            <v>000042944319002041</v>
          </cell>
          <cell r="E911" t="str">
            <v>托板自锁螺母</v>
          </cell>
          <cell r="F911" t="str">
            <v>S15.37.1024</v>
          </cell>
          <cell r="G911" t="str">
            <v>-</v>
          </cell>
        </row>
        <row r="912">
          <cell r="B912" t="str">
            <v>7101089613</v>
          </cell>
          <cell r="C912" t="str">
            <v>G2512-0308</v>
          </cell>
          <cell r="D912" t="str">
            <v>000042944319002041</v>
          </cell>
          <cell r="E912" t="str">
            <v>托板自锁螺母</v>
          </cell>
          <cell r="F912" t="str">
            <v>S15.37.1024</v>
          </cell>
          <cell r="G912" t="str">
            <v>-</v>
          </cell>
        </row>
        <row r="913">
          <cell r="B913" t="str">
            <v>7101089614</v>
          </cell>
          <cell r="C913" t="str">
            <v>G2512-0308</v>
          </cell>
          <cell r="D913" t="str">
            <v>000042944319002041</v>
          </cell>
          <cell r="E913" t="str">
            <v>托板自锁螺母</v>
          </cell>
          <cell r="F913" t="str">
            <v>S15.37.1024</v>
          </cell>
          <cell r="G913" t="str">
            <v>-</v>
          </cell>
        </row>
        <row r="914">
          <cell r="B914" t="str">
            <v>7101089740</v>
          </cell>
          <cell r="C914" t="str">
            <v>G2507-0425</v>
          </cell>
          <cell r="D914" t="str">
            <v>000042944319141018</v>
          </cell>
          <cell r="E914" t="str">
            <v>盘后托板摞母</v>
          </cell>
          <cell r="F914" t="str">
            <v>10J.4.1402B</v>
          </cell>
          <cell r="G914" t="str">
            <v>-</v>
          </cell>
        </row>
        <row r="915">
          <cell r="B915" t="str">
            <v>7101089752</v>
          </cell>
          <cell r="C915" t="str">
            <v>G2503-1119</v>
          </cell>
          <cell r="D915" t="str">
            <v>000042944000149184</v>
          </cell>
          <cell r="E915" t="str">
            <v>工艺锁圈</v>
          </cell>
          <cell r="F915" t="str">
            <v>QC500.68.524</v>
          </cell>
          <cell r="G915" t="str">
            <v>-</v>
          </cell>
        </row>
        <row r="916">
          <cell r="B916" t="str">
            <v>7101089766</v>
          </cell>
          <cell r="C916" t="str">
            <v>G2508-0766</v>
          </cell>
          <cell r="D916" t="str">
            <v>000042944319002140</v>
          </cell>
          <cell r="E916" t="str">
            <v>VSV螺母</v>
          </cell>
          <cell r="F916" t="str">
            <v>S20.4.2023</v>
          </cell>
          <cell r="G916" t="str">
            <v>-</v>
          </cell>
        </row>
        <row r="917">
          <cell r="B917" t="str">
            <v>7101089773</v>
          </cell>
          <cell r="C917" t="str">
            <v>G2512-0309</v>
          </cell>
          <cell r="D917" t="str">
            <v>000042944360070153</v>
          </cell>
          <cell r="E917" t="str">
            <v>涡轮外环销子</v>
          </cell>
          <cell r="F917" t="str">
            <v>S15.44.1036P</v>
          </cell>
          <cell r="G917" t="str">
            <v>-</v>
          </cell>
        </row>
        <row r="918">
          <cell r="B918" t="str">
            <v>7101089774</v>
          </cell>
          <cell r="C918" t="str">
            <v>G2512-0309</v>
          </cell>
          <cell r="D918" t="str">
            <v>000042944360070153</v>
          </cell>
          <cell r="E918" t="str">
            <v>涡轮外环销子</v>
          </cell>
          <cell r="F918" t="str">
            <v>S15.44.1036P</v>
          </cell>
          <cell r="G918" t="str">
            <v>-</v>
          </cell>
        </row>
        <row r="919">
          <cell r="B919" t="str">
            <v>7101089820</v>
          </cell>
          <cell r="C919" t="str">
            <v>G2509-2064</v>
          </cell>
          <cell r="D919" t="str">
            <v>000042944239070144</v>
          </cell>
          <cell r="E919" t="str">
            <v>二级螺栓组件</v>
          </cell>
          <cell r="F919" t="str">
            <v>S15.15.1855P</v>
          </cell>
          <cell r="G919" t="str">
            <v>-</v>
          </cell>
        </row>
        <row r="920">
          <cell r="B920" t="str">
            <v>7101089941</v>
          </cell>
          <cell r="C920" t="str">
            <v>G2509-3005</v>
          </cell>
          <cell r="D920" t="str">
            <v>000042944160119704</v>
          </cell>
          <cell r="E920" t="str">
            <v>平衡螺钉</v>
          </cell>
          <cell r="F920" t="str">
            <v>FJ.12.030.B</v>
          </cell>
          <cell r="G920" t="str">
            <v>Ⅲ</v>
          </cell>
        </row>
        <row r="921">
          <cell r="B921" t="str">
            <v>7101089946</v>
          </cell>
          <cell r="C921" t="str">
            <v>G2512-7018</v>
          </cell>
          <cell r="D921" t="str">
            <v>000042944999009190</v>
          </cell>
          <cell r="E921" t="str">
            <v>压板</v>
          </cell>
          <cell r="F921" t="str">
            <v>S20.8.2004</v>
          </cell>
          <cell r="G921" t="str">
            <v>-</v>
          </cell>
        </row>
        <row r="922">
          <cell r="B922" t="str">
            <v>7101090158</v>
          </cell>
          <cell r="C922" t="str">
            <v>G2511-1255</v>
          </cell>
          <cell r="D922" t="str">
            <v>000042944000004200</v>
          </cell>
          <cell r="E922" t="str">
            <v>下部转接座电缆卡箍(右)</v>
          </cell>
          <cell r="F922" t="str">
            <v>S20.00.2130</v>
          </cell>
          <cell r="G922" t="str">
            <v>-</v>
          </cell>
        </row>
        <row r="923">
          <cell r="B923" t="str">
            <v>7101090159</v>
          </cell>
          <cell r="C923" t="str">
            <v>G2511-1255</v>
          </cell>
          <cell r="D923" t="str">
            <v>000042944000004200</v>
          </cell>
          <cell r="E923" t="str">
            <v>下部转接座电缆卡箍(右)</v>
          </cell>
          <cell r="F923" t="str">
            <v>S20.00.2130</v>
          </cell>
          <cell r="G923" t="str">
            <v>-</v>
          </cell>
        </row>
        <row r="924">
          <cell r="B924" t="str">
            <v>7101090160</v>
          </cell>
          <cell r="C924" t="str">
            <v>G2509-3068</v>
          </cell>
          <cell r="D924" t="str">
            <v>000042944000004215</v>
          </cell>
          <cell r="E924" t="str">
            <v>起动机进口接头</v>
          </cell>
          <cell r="F924" t="str">
            <v>S20.8.2054</v>
          </cell>
          <cell r="G924" t="str">
            <v>-</v>
          </cell>
        </row>
        <row r="925">
          <cell r="B925" t="str">
            <v>7101090182</v>
          </cell>
          <cell r="C925" t="str">
            <v>G2502-2876</v>
          </cell>
          <cell r="D925" t="str">
            <v>000042944000100882</v>
          </cell>
          <cell r="E925" t="str">
            <v>起动机进气管箍带连杆</v>
          </cell>
          <cell r="F925" t="str">
            <v>S20.00.2398</v>
          </cell>
          <cell r="G925" t="str">
            <v>-</v>
          </cell>
        </row>
        <row r="926">
          <cell r="B926" t="str">
            <v>7101090183</v>
          </cell>
          <cell r="C926" t="str">
            <v>G2512-2040</v>
          </cell>
          <cell r="D926" t="str">
            <v>000042944160011403</v>
          </cell>
          <cell r="E926" t="str">
            <v>螺钉</v>
          </cell>
          <cell r="F926" t="str">
            <v>S10.2.3172</v>
          </cell>
          <cell r="G926" t="str">
            <v>-</v>
          </cell>
        </row>
        <row r="927">
          <cell r="B927" t="str">
            <v>7101090184</v>
          </cell>
          <cell r="C927" t="str">
            <v>G2511-0234</v>
          </cell>
          <cell r="D927" t="str">
            <v>000042944288100873</v>
          </cell>
          <cell r="E927" t="str">
            <v>螺母</v>
          </cell>
          <cell r="F927" t="str">
            <v>S10.4.2424</v>
          </cell>
          <cell r="G927" t="str">
            <v>-</v>
          </cell>
        </row>
        <row r="928">
          <cell r="B928" t="str">
            <v>7101090186</v>
          </cell>
          <cell r="C928" t="str">
            <v>G2504-1437</v>
          </cell>
          <cell r="D928" t="str">
            <v>000042944319002135</v>
          </cell>
          <cell r="E928" t="str">
            <v>压紧螺母</v>
          </cell>
          <cell r="F928" t="str">
            <v>S20.4.2016</v>
          </cell>
          <cell r="G928" t="str">
            <v>-</v>
          </cell>
        </row>
        <row r="929">
          <cell r="B929" t="str">
            <v>7101090187</v>
          </cell>
          <cell r="C929" t="str">
            <v>G2504-1437</v>
          </cell>
          <cell r="D929" t="str">
            <v>000042944319002135</v>
          </cell>
          <cell r="E929" t="str">
            <v>压紧螺母</v>
          </cell>
          <cell r="F929" t="str">
            <v>S20.4.2016</v>
          </cell>
          <cell r="G929" t="str">
            <v>-</v>
          </cell>
        </row>
        <row r="930">
          <cell r="B930" t="str">
            <v>7101090188</v>
          </cell>
          <cell r="C930" t="str">
            <v>G2311-0113</v>
          </cell>
          <cell r="D930" t="str">
            <v>000042944319002137</v>
          </cell>
          <cell r="E930" t="str">
            <v>压紧螺母</v>
          </cell>
          <cell r="F930" t="str">
            <v>S20.4.2017</v>
          </cell>
          <cell r="G930" t="str">
            <v>-</v>
          </cell>
        </row>
        <row r="931">
          <cell r="B931" t="str">
            <v>7101090189</v>
          </cell>
          <cell r="C931" t="str">
            <v>G2504-1277</v>
          </cell>
          <cell r="D931" t="str">
            <v>000042944319002137</v>
          </cell>
          <cell r="E931" t="str">
            <v>压紧螺母</v>
          </cell>
          <cell r="F931" t="str">
            <v>S20.4.2017</v>
          </cell>
          <cell r="G931" t="str">
            <v>-</v>
          </cell>
        </row>
        <row r="932">
          <cell r="B932" t="str">
            <v>7101090190</v>
          </cell>
          <cell r="C932" t="str">
            <v>G2508-0766</v>
          </cell>
          <cell r="D932" t="str">
            <v>000042944319002140</v>
          </cell>
          <cell r="E932" t="str">
            <v>VSV螺母</v>
          </cell>
          <cell r="F932" t="str">
            <v>S20.4.2023</v>
          </cell>
          <cell r="G932" t="str">
            <v>-</v>
          </cell>
        </row>
        <row r="933">
          <cell r="B933" t="str">
            <v>7101090191</v>
          </cell>
          <cell r="C933" t="str">
            <v>G2502-2938</v>
          </cell>
          <cell r="D933" t="str">
            <v>000042944319100888</v>
          </cell>
          <cell r="E933" t="str">
            <v>螺母(左旋)</v>
          </cell>
          <cell r="F933" t="str">
            <v>S20.4.2026</v>
          </cell>
          <cell r="G933" t="str">
            <v>-</v>
          </cell>
        </row>
        <row r="934">
          <cell r="B934" t="str">
            <v>7101090192</v>
          </cell>
          <cell r="C934" t="str">
            <v>G2504-0699</v>
          </cell>
          <cell r="D934" t="str">
            <v>000042944360005932</v>
          </cell>
          <cell r="E934" t="str">
            <v>销子</v>
          </cell>
          <cell r="F934" t="str">
            <v>S20.7.2002</v>
          </cell>
          <cell r="G934" t="str">
            <v>-</v>
          </cell>
        </row>
        <row r="935">
          <cell r="B935" t="str">
            <v>7101090193</v>
          </cell>
          <cell r="C935" t="str">
            <v>G2504-1278</v>
          </cell>
          <cell r="D935" t="str">
            <v>000042944360005933</v>
          </cell>
          <cell r="E935" t="str">
            <v>销子</v>
          </cell>
          <cell r="F935" t="str">
            <v>S20.7.2003</v>
          </cell>
          <cell r="G935" t="str">
            <v>-</v>
          </cell>
        </row>
        <row r="936">
          <cell r="B936" t="str">
            <v>7101090209</v>
          </cell>
          <cell r="C936" t="str">
            <v>G2601-0144</v>
          </cell>
          <cell r="D936" t="str">
            <v>000036900000040579</v>
          </cell>
          <cell r="E936" t="str">
            <v>密封圈</v>
          </cell>
          <cell r="F936" t="str">
            <v>11S00207</v>
          </cell>
          <cell r="G936" t="str">
            <v>-</v>
          </cell>
        </row>
        <row r="937">
          <cell r="B937" t="str">
            <v>7101090224</v>
          </cell>
          <cell r="C937" t="str">
            <v>G2509-1472</v>
          </cell>
          <cell r="D937" t="str">
            <v>000042944319100886</v>
          </cell>
          <cell r="E937" t="str">
            <v>压紧螺母</v>
          </cell>
          <cell r="F937" t="str">
            <v>S20.4.2015-GC</v>
          </cell>
          <cell r="G937" t="str">
            <v>-</v>
          </cell>
        </row>
        <row r="938">
          <cell r="B938" t="str">
            <v>7101090259</v>
          </cell>
          <cell r="C938" t="str">
            <v>G2512-1888</v>
          </cell>
          <cell r="D938" t="str">
            <v>000042944439129534</v>
          </cell>
          <cell r="E938" t="str">
            <v>锁紧垫圈</v>
          </cell>
          <cell r="F938" t="str">
            <v>11.24.6605</v>
          </cell>
          <cell r="G938" t="str">
            <v>-</v>
          </cell>
        </row>
        <row r="939">
          <cell r="B939" t="str">
            <v>7101090260</v>
          </cell>
          <cell r="C939" t="str">
            <v>G2512-1888</v>
          </cell>
          <cell r="D939" t="str">
            <v>000042944439129534</v>
          </cell>
          <cell r="E939" t="str">
            <v>锁紧垫圈</v>
          </cell>
          <cell r="F939" t="str">
            <v>11.24.6605</v>
          </cell>
          <cell r="G939" t="str">
            <v>-</v>
          </cell>
        </row>
        <row r="940">
          <cell r="B940" t="str">
            <v>7101090381</v>
          </cell>
          <cell r="C940" t="str">
            <v>G2601-0271</v>
          </cell>
          <cell r="D940" t="str">
            <v>000042944201127927</v>
          </cell>
          <cell r="E940" t="str">
            <v>六角头钛螺栓</v>
          </cell>
          <cell r="F940" t="str">
            <v>2S5217-2013</v>
          </cell>
          <cell r="G940" t="str">
            <v>MJ6×1×20</v>
          </cell>
        </row>
        <row r="941">
          <cell r="B941" t="str">
            <v>7101090627</v>
          </cell>
          <cell r="C941" t="str">
            <v>G2509-3321</v>
          </cell>
          <cell r="D941" t="str">
            <v>000042944239070144</v>
          </cell>
          <cell r="E941" t="str">
            <v>二级螺栓组件</v>
          </cell>
          <cell r="F941" t="str">
            <v>S15.15.1855P</v>
          </cell>
          <cell r="G941" t="str">
            <v>-</v>
          </cell>
        </row>
        <row r="942">
          <cell r="B942" t="str">
            <v>7101090628</v>
          </cell>
          <cell r="C942" t="str">
            <v>G2509-3321</v>
          </cell>
          <cell r="D942" t="str">
            <v>000042944239070144</v>
          </cell>
          <cell r="E942" t="str">
            <v>二级螺栓组件</v>
          </cell>
          <cell r="F942" t="str">
            <v>S15.15.1855P</v>
          </cell>
          <cell r="G942" t="str">
            <v>-</v>
          </cell>
        </row>
        <row r="943">
          <cell r="B943" t="str">
            <v>7101090629</v>
          </cell>
          <cell r="C943" t="str">
            <v>G2509-3321</v>
          </cell>
          <cell r="D943" t="str">
            <v>000042944239070144</v>
          </cell>
          <cell r="E943" t="str">
            <v>二级螺栓组件</v>
          </cell>
          <cell r="F943" t="str">
            <v>S15.15.1855P</v>
          </cell>
          <cell r="G943" t="str">
            <v>-</v>
          </cell>
        </row>
        <row r="944">
          <cell r="B944" t="str">
            <v>7101090789</v>
          </cell>
          <cell r="C944" t="str">
            <v>G2512-0291</v>
          </cell>
          <cell r="D944" t="str">
            <v>000042944239093127</v>
          </cell>
          <cell r="E944" t="str">
            <v>精密螺栓</v>
          </cell>
          <cell r="F944" t="str">
            <v>S15.15.1087N</v>
          </cell>
          <cell r="G944" t="str">
            <v>-</v>
          </cell>
        </row>
        <row r="945">
          <cell r="B945" t="str">
            <v>7101090790</v>
          </cell>
          <cell r="C945" t="str">
            <v>G2512-0291</v>
          </cell>
          <cell r="D945" t="str">
            <v>000042944239093127</v>
          </cell>
          <cell r="E945" t="str">
            <v>精密螺栓</v>
          </cell>
          <cell r="F945" t="str">
            <v>S15.15.1087N</v>
          </cell>
          <cell r="G945" t="str">
            <v>-</v>
          </cell>
        </row>
        <row r="946">
          <cell r="B946" t="str">
            <v>7101090843</v>
          </cell>
          <cell r="C946" t="str">
            <v>G2511-0220</v>
          </cell>
          <cell r="D946" t="str">
            <v>000042944000004218</v>
          </cell>
          <cell r="E946" t="str">
            <v>主散热器平接头</v>
          </cell>
          <cell r="F946" t="str">
            <v>S20.8.2085</v>
          </cell>
          <cell r="G946" t="str">
            <v>-</v>
          </cell>
        </row>
        <row r="947">
          <cell r="B947" t="str">
            <v>7101090846</v>
          </cell>
          <cell r="C947" t="str">
            <v>G2508-1406</v>
          </cell>
          <cell r="D947" t="str">
            <v>000042944288002595</v>
          </cell>
          <cell r="E947" t="str">
            <v>自锁螺母</v>
          </cell>
          <cell r="F947" t="str">
            <v>S20.42.017</v>
          </cell>
          <cell r="G947" t="str">
            <v>-</v>
          </cell>
        </row>
        <row r="948">
          <cell r="B948" t="str">
            <v>7101090852</v>
          </cell>
          <cell r="C948" t="str">
            <v>G2504-1208</v>
          </cell>
          <cell r="D948" t="str">
            <v>000042944288002592</v>
          </cell>
          <cell r="E948" t="str">
            <v>自锁螺母</v>
          </cell>
          <cell r="F948" t="str">
            <v>S20.4.503A</v>
          </cell>
          <cell r="G948" t="str">
            <v>-</v>
          </cell>
        </row>
        <row r="949">
          <cell r="B949" t="str">
            <v>7101090873</v>
          </cell>
          <cell r="C949" t="str">
            <v>G2510-1329</v>
          </cell>
          <cell r="D949" t="str">
            <v>000042944288124004</v>
          </cell>
          <cell r="E949" t="str">
            <v>自锁螺母</v>
          </cell>
          <cell r="F949" t="str">
            <v>D28.06.040716</v>
          </cell>
          <cell r="G949" t="str">
            <v>-</v>
          </cell>
        </row>
        <row r="950">
          <cell r="B950" t="str">
            <v>7101090890</v>
          </cell>
          <cell r="C950" t="str">
            <v>G2403-0679</v>
          </cell>
          <cell r="D950" t="str">
            <v>000042944239129131</v>
          </cell>
          <cell r="E950" t="str">
            <v>D头螺栓,UNJ螺纹,材料GH4169</v>
          </cell>
          <cell r="F950" t="str">
            <v>2S5237-2013</v>
          </cell>
          <cell r="G950" t="str">
            <v>4-20</v>
          </cell>
        </row>
        <row r="951">
          <cell r="B951" t="str">
            <v>7101091253</v>
          </cell>
          <cell r="C951" t="str">
            <v>G2511-0175</v>
          </cell>
          <cell r="D951" t="str">
            <v>000042944239002612</v>
          </cell>
          <cell r="E951" t="str">
            <v>螺栓</v>
          </cell>
          <cell r="F951" t="str">
            <v>S10.1.1403</v>
          </cell>
          <cell r="G951" t="str">
            <v>-</v>
          </cell>
        </row>
        <row r="952">
          <cell r="B952" t="str">
            <v>7101091254</v>
          </cell>
          <cell r="C952" t="str">
            <v>G2511-0175</v>
          </cell>
          <cell r="D952" t="str">
            <v>000042944239002612</v>
          </cell>
          <cell r="E952" t="str">
            <v>螺栓</v>
          </cell>
          <cell r="F952" t="str">
            <v>S10.1.1403</v>
          </cell>
          <cell r="G952" t="str">
            <v>-</v>
          </cell>
        </row>
        <row r="953">
          <cell r="B953" t="str">
            <v>7101091255</v>
          </cell>
          <cell r="C953" t="str">
            <v>G2511-0175</v>
          </cell>
          <cell r="D953" t="str">
            <v>000042944239002612</v>
          </cell>
          <cell r="E953" t="str">
            <v>螺栓</v>
          </cell>
          <cell r="F953" t="str">
            <v>S10.1.1403</v>
          </cell>
          <cell r="G953" t="str">
            <v>-</v>
          </cell>
        </row>
        <row r="954">
          <cell r="B954" t="str">
            <v>7101091256</v>
          </cell>
          <cell r="C954" t="str">
            <v>G2511-0181</v>
          </cell>
          <cell r="D954" t="str">
            <v>000042944239011751</v>
          </cell>
          <cell r="E954" t="str">
            <v>螺栓</v>
          </cell>
          <cell r="F954" t="str">
            <v>S10.1.1405</v>
          </cell>
          <cell r="G954" t="str">
            <v>-</v>
          </cell>
        </row>
        <row r="955">
          <cell r="B955" t="str">
            <v>7101091257</v>
          </cell>
          <cell r="C955" t="str">
            <v>G2511-0181</v>
          </cell>
          <cell r="D955" t="str">
            <v>000042944239011751</v>
          </cell>
          <cell r="E955" t="str">
            <v>螺栓</v>
          </cell>
          <cell r="F955" t="str">
            <v>S10.1.1405</v>
          </cell>
          <cell r="G955" t="str">
            <v>-</v>
          </cell>
        </row>
        <row r="956">
          <cell r="B956" t="str">
            <v>7101091302</v>
          </cell>
          <cell r="C956" t="str">
            <v>G2601-0334</v>
          </cell>
          <cell r="D956" t="str">
            <v>000042944239128941</v>
          </cell>
          <cell r="E956" t="str">
            <v>十二角头螺栓</v>
          </cell>
          <cell r="F956" t="str">
            <v>AETG96A</v>
          </cell>
          <cell r="G956" t="str">
            <v>061021</v>
          </cell>
        </row>
        <row r="957">
          <cell r="B957" t="str">
            <v>7101091556</v>
          </cell>
          <cell r="C957" t="str">
            <v>G2601-1690</v>
          </cell>
          <cell r="D957" t="str">
            <v>000036200000166962</v>
          </cell>
          <cell r="E957" t="str">
            <v>密封圈</v>
          </cell>
          <cell r="F957" t="str">
            <v>D28.06.061049</v>
          </cell>
          <cell r="G957" t="str">
            <v>-</v>
          </cell>
        </row>
        <row r="958">
          <cell r="B958" t="str">
            <v>7101091558</v>
          </cell>
          <cell r="C958" t="str">
            <v>G2601-1698</v>
          </cell>
          <cell r="D958" t="str">
            <v>000036200000167474</v>
          </cell>
          <cell r="E958" t="str">
            <v>O型密封圈.FX-4氟橡胶</v>
          </cell>
          <cell r="F958" t="str">
            <v>2S5149-1.8×20.8</v>
          </cell>
          <cell r="G958" t="str">
            <v/>
          </cell>
        </row>
        <row r="959">
          <cell r="B959" t="str">
            <v>7101091558</v>
          </cell>
          <cell r="C959" t="str">
            <v>G2601-1860</v>
          </cell>
          <cell r="D959" t="str">
            <v>000036200000167470</v>
          </cell>
          <cell r="E959" t="str">
            <v>O型密封圈.FX-4氟橡胶</v>
          </cell>
          <cell r="F959" t="str">
            <v>2S5149-1.8×28</v>
          </cell>
          <cell r="G959" t="str">
            <v/>
          </cell>
        </row>
        <row r="960">
          <cell r="B960" t="str">
            <v>7101091643</v>
          </cell>
          <cell r="C960" t="str">
            <v>G2512-0473</v>
          </cell>
          <cell r="D960" t="str">
            <v>000042944288002050</v>
          </cell>
          <cell r="E960" t="str">
            <v>托板自锁螺母,MJ螺纹,镀银,材料GH738</v>
          </cell>
          <cell r="F960" t="str">
            <v>Q/S15.1108-2011</v>
          </cell>
          <cell r="G960" t="str">
            <v>6</v>
          </cell>
        </row>
        <row r="961">
          <cell r="B961" t="str">
            <v>7101091644</v>
          </cell>
          <cell r="C961" t="str">
            <v>G2512-0473</v>
          </cell>
          <cell r="D961" t="str">
            <v>000042944288002050</v>
          </cell>
          <cell r="E961" t="str">
            <v>托板自锁螺母,MJ螺纹,镀银,材料GH738</v>
          </cell>
          <cell r="F961" t="str">
            <v>Q/S15.1108-2011</v>
          </cell>
          <cell r="G961" t="str">
            <v>6</v>
          </cell>
        </row>
        <row r="962">
          <cell r="B962" t="str">
            <v>7101091647</v>
          </cell>
          <cell r="C962" t="str">
            <v>G2511-0225</v>
          </cell>
          <cell r="D962" t="str">
            <v>000042944239011767</v>
          </cell>
          <cell r="E962" t="str">
            <v>一级盘后螺栓</v>
          </cell>
          <cell r="F962" t="str">
            <v>S10.1.3122</v>
          </cell>
          <cell r="G962" t="str">
            <v>-</v>
          </cell>
        </row>
        <row r="963">
          <cell r="B963" t="str">
            <v>7101091648</v>
          </cell>
          <cell r="C963" t="str">
            <v>G2511-0225</v>
          </cell>
          <cell r="D963" t="str">
            <v>000042944239011767</v>
          </cell>
          <cell r="E963" t="str">
            <v>一级盘后螺栓</v>
          </cell>
          <cell r="F963" t="str">
            <v>S10.1.3122</v>
          </cell>
          <cell r="G963" t="str">
            <v>-</v>
          </cell>
        </row>
        <row r="964">
          <cell r="B964" t="str">
            <v>7101091649</v>
          </cell>
          <cell r="C964" t="str">
            <v>G2511-0225</v>
          </cell>
          <cell r="D964" t="str">
            <v>000042944239011767</v>
          </cell>
          <cell r="E964" t="str">
            <v>一级盘后螺栓</v>
          </cell>
          <cell r="F964" t="str">
            <v>S10.1.3122</v>
          </cell>
          <cell r="G964" t="str">
            <v>-</v>
          </cell>
        </row>
        <row r="965">
          <cell r="B965" t="str">
            <v>7101091669</v>
          </cell>
          <cell r="C965" t="str">
            <v>G2601-0250</v>
          </cell>
          <cell r="D965" t="str">
            <v>000042944239117326</v>
          </cell>
          <cell r="E965" t="str">
            <v>十角精密螺栓-杆长22</v>
          </cell>
          <cell r="F965" t="str">
            <v>FJ.00.021.B</v>
          </cell>
          <cell r="G965" t="str">
            <v>-</v>
          </cell>
        </row>
        <row r="966">
          <cell r="B966" t="str">
            <v>7101091679</v>
          </cell>
          <cell r="C966" t="str">
            <v>G2601-0308</v>
          </cell>
          <cell r="D966" t="str">
            <v>000042944319119701</v>
          </cell>
          <cell r="E966" t="str">
            <v>托板螺母</v>
          </cell>
          <cell r="F966" t="str">
            <v>FJ.44.024.B</v>
          </cell>
          <cell r="G966" t="str">
            <v>-</v>
          </cell>
        </row>
        <row r="967">
          <cell r="B967" t="str">
            <v>7101091707</v>
          </cell>
          <cell r="C967" t="str">
            <v>G2508-7007</v>
          </cell>
          <cell r="D967" t="str">
            <v>000042944319002131</v>
          </cell>
          <cell r="E967" t="str">
            <v>外套螺母</v>
          </cell>
          <cell r="F967" t="str">
            <v>S20.4.2011</v>
          </cell>
          <cell r="G967" t="str">
            <v>-</v>
          </cell>
        </row>
        <row r="968">
          <cell r="B968" t="str">
            <v>7101091708</v>
          </cell>
          <cell r="C968" t="str">
            <v>G2501-7503</v>
          </cell>
          <cell r="D968" t="str">
            <v>000042944319002138</v>
          </cell>
          <cell r="E968" t="str">
            <v>外套螺母</v>
          </cell>
          <cell r="F968" t="str">
            <v>S20.4.2022</v>
          </cell>
          <cell r="G968" t="str">
            <v>-</v>
          </cell>
        </row>
        <row r="969">
          <cell r="B969" t="str">
            <v>7101091723</v>
          </cell>
          <cell r="C969" t="str">
            <v>G2509-7570</v>
          </cell>
          <cell r="D969" t="str">
            <v>000042944319002131</v>
          </cell>
          <cell r="E969" t="str">
            <v>外套螺母</v>
          </cell>
          <cell r="F969" t="str">
            <v>S20.4.2011</v>
          </cell>
          <cell r="G969" t="str">
            <v>-</v>
          </cell>
        </row>
        <row r="970">
          <cell r="B970" t="str">
            <v>7101091728</v>
          </cell>
          <cell r="C970" t="str">
            <v>G2508-7504</v>
          </cell>
          <cell r="D970" t="str">
            <v>000042944319002138</v>
          </cell>
          <cell r="E970" t="str">
            <v>外套螺母</v>
          </cell>
          <cell r="F970" t="str">
            <v>S20.4.2022</v>
          </cell>
          <cell r="G970" t="str">
            <v>-</v>
          </cell>
        </row>
        <row r="971">
          <cell r="B971" t="str">
            <v>7101091729</v>
          </cell>
          <cell r="C971" t="str">
            <v>G2510-0207</v>
          </cell>
          <cell r="D971" t="str">
            <v>000042944320009720</v>
          </cell>
          <cell r="E971" t="str">
            <v>120°沉头铆钉</v>
          </cell>
          <cell r="F971" t="str">
            <v>HB6319-2002</v>
          </cell>
          <cell r="G971" t="str">
            <v>2.5×11</v>
          </cell>
        </row>
        <row r="972">
          <cell r="B972" t="str">
            <v>7101091733</v>
          </cell>
          <cell r="C972" t="str">
            <v>G2508-0766</v>
          </cell>
          <cell r="D972" t="str">
            <v>000042944319002140</v>
          </cell>
          <cell r="E972" t="str">
            <v>VSV螺母</v>
          </cell>
          <cell r="F972" t="str">
            <v>S20.4.2023</v>
          </cell>
          <cell r="G972" t="str">
            <v>-</v>
          </cell>
        </row>
        <row r="973">
          <cell r="B973" t="str">
            <v>7101091831</v>
          </cell>
          <cell r="C973" t="str">
            <v>G02603-004</v>
          </cell>
          <cell r="D973" t="str">
            <v>000042944039037728</v>
          </cell>
          <cell r="E973" t="str">
            <v>锁紧型有折断槽钢丝螺套</v>
          </cell>
          <cell r="F973" t="str">
            <v>GJB5109-2002</v>
          </cell>
          <cell r="G973" t="str">
            <v>5×0.8×6</v>
          </cell>
        </row>
        <row r="974">
          <cell r="B974" t="str">
            <v>7101091847</v>
          </cell>
          <cell r="C974" t="str">
            <v>G2511-1265</v>
          </cell>
          <cell r="D974" t="str">
            <v>000042944000163522</v>
          </cell>
          <cell r="E974" t="str">
            <v>浮动环</v>
          </cell>
          <cell r="F974" t="str">
            <v>STHF.15.1242</v>
          </cell>
          <cell r="G974" t="str">
            <v>-</v>
          </cell>
        </row>
        <row r="975">
          <cell r="B975" t="str">
            <v>7101092038</v>
          </cell>
          <cell r="C975" t="str">
            <v>G2512-0313</v>
          </cell>
          <cell r="D975" t="str">
            <v>000042944288087585</v>
          </cell>
          <cell r="E975" t="str">
            <v>托板自锁螺母</v>
          </cell>
          <cell r="F975" t="str">
            <v>S15.44.1038N</v>
          </cell>
          <cell r="G975" t="str">
            <v>-</v>
          </cell>
        </row>
        <row r="976">
          <cell r="B976" t="str">
            <v>7101092100</v>
          </cell>
          <cell r="C976" t="str">
            <v>G2508-1824</v>
          </cell>
          <cell r="D976" t="str">
            <v>000042944000117333</v>
          </cell>
          <cell r="E976" t="str">
            <v>四～七级平衡块</v>
          </cell>
          <cell r="F976" t="str">
            <v>FJ.15.035.B</v>
          </cell>
          <cell r="G976" t="str">
            <v>-</v>
          </cell>
        </row>
        <row r="977">
          <cell r="B977" t="str">
            <v>7101092145</v>
          </cell>
          <cell r="C977" t="str">
            <v>G2504-2489</v>
          </cell>
          <cell r="D977" t="str">
            <v>000042944000117347</v>
          </cell>
          <cell r="E977" t="str">
            <v>主油路压帽</v>
          </cell>
          <cell r="F977" t="str">
            <v>FJ.34.004.B</v>
          </cell>
          <cell r="G977" t="str">
            <v>-</v>
          </cell>
        </row>
        <row r="978">
          <cell r="B978" t="str">
            <v>7101092147</v>
          </cell>
          <cell r="C978" t="str">
            <v>G2504-2066</v>
          </cell>
          <cell r="D978" t="str">
            <v>000042944000119700</v>
          </cell>
          <cell r="E978" t="str">
            <v>平衡块</v>
          </cell>
          <cell r="F978" t="str">
            <v>FJ.42.069.B</v>
          </cell>
          <cell r="G978" t="str">
            <v>-</v>
          </cell>
        </row>
        <row r="979">
          <cell r="B979" t="str">
            <v>7101092214</v>
          </cell>
          <cell r="C979" t="str">
            <v>G2507-0495</v>
          </cell>
          <cell r="D979" t="str">
            <v>000036200000156058</v>
          </cell>
          <cell r="E979" t="str">
            <v>圆截面橡胶密封圈</v>
          </cell>
          <cell r="F979" t="str">
            <v>Q/S15.1111-12-2</v>
          </cell>
          <cell r="G979" t="str">
            <v/>
          </cell>
        </row>
        <row r="980">
          <cell r="B980" t="str">
            <v>7101092232</v>
          </cell>
          <cell r="C980" t="str">
            <v>G2401-1756</v>
          </cell>
          <cell r="D980" t="str">
            <v>000042944239011105</v>
          </cell>
          <cell r="E980" t="str">
            <v>螺栓,小十二角头,带减轻孔及保险孔,大径杆,MJ螺纹,螺纹公</v>
          </cell>
          <cell r="F980" t="str">
            <v>Q/S15.1001-2012</v>
          </cell>
          <cell r="G980" t="str">
            <v>8-56</v>
          </cell>
        </row>
        <row r="981">
          <cell r="B981" t="str">
            <v>7101092341</v>
          </cell>
          <cell r="C981" t="str">
            <v>G2510-1874</v>
          </cell>
          <cell r="D981" t="str">
            <v>000042944000126741</v>
          </cell>
          <cell r="E981" t="str">
            <v>垫片</v>
          </cell>
          <cell r="F981" t="str">
            <v>D28.06.061592</v>
          </cell>
          <cell r="G981" t="str">
            <v>-</v>
          </cell>
        </row>
        <row r="982">
          <cell r="B982" t="str">
            <v>7101092342</v>
          </cell>
          <cell r="C982" t="str">
            <v>G2510-1875</v>
          </cell>
          <cell r="D982" t="str">
            <v>000042944000126741</v>
          </cell>
          <cell r="E982" t="str">
            <v>垫片</v>
          </cell>
          <cell r="F982" t="str">
            <v>D28.06.061592</v>
          </cell>
          <cell r="G982" t="str">
            <v>-</v>
          </cell>
        </row>
        <row r="983">
          <cell r="B983" t="str">
            <v>7101092364</v>
          </cell>
          <cell r="C983" t="str">
            <v>G2502-2938</v>
          </cell>
          <cell r="D983" t="str">
            <v>000042944319100888</v>
          </cell>
          <cell r="E983" t="str">
            <v>螺母(左旋)</v>
          </cell>
          <cell r="F983" t="str">
            <v>S20.4.2026</v>
          </cell>
          <cell r="G983" t="str">
            <v>-</v>
          </cell>
        </row>
        <row r="984">
          <cell r="B984" t="str">
            <v>7101092365</v>
          </cell>
          <cell r="C984" t="str">
            <v>G2303-1616</v>
          </cell>
          <cell r="D984" t="str">
            <v>000042944360005931</v>
          </cell>
          <cell r="E984" t="str">
            <v>销子</v>
          </cell>
          <cell r="F984" t="str">
            <v>S20.7.2001</v>
          </cell>
          <cell r="G984" t="str">
            <v>-</v>
          </cell>
        </row>
        <row r="985">
          <cell r="B985" t="str">
            <v>7101092365</v>
          </cell>
          <cell r="C985" t="str">
            <v>G2403-0853</v>
          </cell>
          <cell r="D985" t="str">
            <v>000042944360005931</v>
          </cell>
          <cell r="E985" t="str">
            <v>销子</v>
          </cell>
          <cell r="F985" t="str">
            <v>S20.7.2001</v>
          </cell>
          <cell r="G985" t="str">
            <v>-</v>
          </cell>
        </row>
        <row r="986">
          <cell r="B986" t="str">
            <v>7101092365</v>
          </cell>
          <cell r="C986" t="str">
            <v>G2511-0238</v>
          </cell>
          <cell r="D986" t="str">
            <v>000042944360005931</v>
          </cell>
          <cell r="E986" t="str">
            <v>销子</v>
          </cell>
          <cell r="F986" t="str">
            <v>S20.7.2001</v>
          </cell>
          <cell r="G986" t="str">
            <v>-</v>
          </cell>
        </row>
        <row r="987">
          <cell r="B987" t="str">
            <v>7101090562</v>
          </cell>
          <cell r="C987" t="str">
            <v>G2601-0249</v>
          </cell>
          <cell r="D987" t="str">
            <v>000042944239041009</v>
          </cell>
          <cell r="E987" t="str">
            <v>螺栓,小十二角头,带减轻孔及保险孔,大径杆,MJ螺纹,螺纹公</v>
          </cell>
          <cell r="F987" t="str">
            <v>Q/S15.1001-2012</v>
          </cell>
          <cell r="G987" t="str">
            <v>8-19</v>
          </cell>
        </row>
        <row r="988">
          <cell r="B988" t="str">
            <v>7101090562</v>
          </cell>
          <cell r="C988" t="str">
            <v>G2601-0249</v>
          </cell>
          <cell r="D988" t="str">
            <v>000042944239041009</v>
          </cell>
          <cell r="E988" t="str">
            <v>螺栓,小十二角头,带减轻孔及保险孔,大径杆,MJ螺纹,螺纹公</v>
          </cell>
          <cell r="F988" t="str">
            <v>Q/S15.1001-2012</v>
          </cell>
          <cell r="G988" t="str">
            <v>8-19</v>
          </cell>
        </row>
        <row r="989">
          <cell r="B989" t="str">
            <v>7101090562</v>
          </cell>
          <cell r="C989" t="str">
            <v>G2601-0249</v>
          </cell>
          <cell r="D989" t="str">
            <v>000042944239041009</v>
          </cell>
          <cell r="E989" t="str">
            <v>螺栓,小十二角头,带减轻孔及保险孔,大径杆,MJ螺纹,螺纹公</v>
          </cell>
          <cell r="F989" t="str">
            <v>Q/S15.1001-2012</v>
          </cell>
          <cell r="G989" t="str">
            <v>8-19</v>
          </cell>
        </row>
        <row r="990">
          <cell r="B990" t="str">
            <v>7101090621</v>
          </cell>
          <cell r="C990" t="str">
            <v>G2509-1143</v>
          </cell>
          <cell r="D990" t="str">
            <v>000042944288151254</v>
          </cell>
          <cell r="E990" t="str">
            <v>高压转子间自锁螺母</v>
          </cell>
          <cell r="F990" t="str">
            <v>STHF.44.1071</v>
          </cell>
          <cell r="G990" t="str">
            <v>-</v>
          </cell>
        </row>
        <row r="991">
          <cell r="B991" t="str">
            <v>7101090627</v>
          </cell>
          <cell r="C991" t="str">
            <v>G2509-3321</v>
          </cell>
          <cell r="D991" t="str">
            <v>000042944239070144</v>
          </cell>
          <cell r="E991" t="str">
            <v>二级螺栓组件</v>
          </cell>
          <cell r="F991" t="str">
            <v>S15.15.1855P</v>
          </cell>
          <cell r="G991" t="str">
            <v>-</v>
          </cell>
        </row>
        <row r="992">
          <cell r="B992" t="str">
            <v>7101090628</v>
          </cell>
          <cell r="C992" t="str">
            <v>G2509-3321</v>
          </cell>
          <cell r="D992" t="str">
            <v>000042944239070144</v>
          </cell>
          <cell r="E992" t="str">
            <v>二级螺栓组件</v>
          </cell>
          <cell r="F992" t="str">
            <v>S15.15.1855P</v>
          </cell>
          <cell r="G992" t="str">
            <v>-</v>
          </cell>
        </row>
        <row r="993">
          <cell r="B993" t="str">
            <v>7101090629</v>
          </cell>
          <cell r="C993" t="str">
            <v>G2509-3321</v>
          </cell>
          <cell r="D993" t="str">
            <v>000042944239070144</v>
          </cell>
          <cell r="E993" t="str">
            <v>二级螺栓组件</v>
          </cell>
          <cell r="F993" t="str">
            <v>S15.15.1855P</v>
          </cell>
          <cell r="G993" t="str">
            <v>-</v>
          </cell>
        </row>
        <row r="994">
          <cell r="B994" t="str">
            <v>7101090789</v>
          </cell>
          <cell r="C994" t="str">
            <v>G2512-0291</v>
          </cell>
          <cell r="D994" t="str">
            <v>000042944239093127</v>
          </cell>
          <cell r="E994" t="str">
            <v>精密螺栓</v>
          </cell>
          <cell r="F994" t="str">
            <v>S15.15.1087N</v>
          </cell>
          <cell r="G994" t="str">
            <v>-</v>
          </cell>
        </row>
        <row r="995">
          <cell r="B995" t="str">
            <v>7101090790</v>
          </cell>
          <cell r="C995" t="str">
            <v>G2512-0291</v>
          </cell>
          <cell r="D995" t="str">
            <v>000042944239093127</v>
          </cell>
          <cell r="E995" t="str">
            <v>精密螺栓</v>
          </cell>
          <cell r="F995" t="str">
            <v>S15.15.1087N</v>
          </cell>
          <cell r="G995" t="str">
            <v>-</v>
          </cell>
        </row>
        <row r="996">
          <cell r="B996" t="str">
            <v>7101090843</v>
          </cell>
          <cell r="C996" t="str">
            <v>G2511-0220</v>
          </cell>
          <cell r="D996" t="str">
            <v>000042944000004218</v>
          </cell>
          <cell r="E996" t="str">
            <v>主散热器平接头</v>
          </cell>
          <cell r="F996" t="str">
            <v>S20.8.2085</v>
          </cell>
          <cell r="G996" t="str">
            <v>-</v>
          </cell>
        </row>
        <row r="997">
          <cell r="B997" t="str">
            <v>7101090846</v>
          </cell>
          <cell r="C997" t="str">
            <v>G2508-1406</v>
          </cell>
          <cell r="D997" t="str">
            <v>000042944288002595</v>
          </cell>
          <cell r="E997" t="str">
            <v>自锁螺母</v>
          </cell>
          <cell r="F997" t="str">
            <v>S20.42.017</v>
          </cell>
          <cell r="G997" t="str">
            <v>-</v>
          </cell>
        </row>
        <row r="998">
          <cell r="B998" t="str">
            <v>7101090852</v>
          </cell>
          <cell r="C998" t="str">
            <v>G2504-1208</v>
          </cell>
          <cell r="D998" t="str">
            <v>000042944288002592</v>
          </cell>
          <cell r="E998" t="str">
            <v>自锁螺母</v>
          </cell>
          <cell r="F998" t="str">
            <v>S20.4.503A</v>
          </cell>
          <cell r="G998" t="str">
            <v>-</v>
          </cell>
        </row>
        <row r="999">
          <cell r="B999" t="str">
            <v>7101090873</v>
          </cell>
          <cell r="C999" t="str">
            <v>G2510-1329</v>
          </cell>
          <cell r="D999" t="str">
            <v>000042944288124004</v>
          </cell>
          <cell r="E999" t="str">
            <v>自锁螺母</v>
          </cell>
          <cell r="F999" t="str">
            <v>D28.06.040716</v>
          </cell>
          <cell r="G999" t="str">
            <v>-</v>
          </cell>
        </row>
        <row r="1000">
          <cell r="B1000" t="str">
            <v>7101090890</v>
          </cell>
          <cell r="C1000" t="str">
            <v>G2403-0679</v>
          </cell>
          <cell r="D1000" t="str">
            <v>000042944239129131</v>
          </cell>
          <cell r="E1000" t="str">
            <v>D头螺栓,UNJ螺纹,材料GH4169</v>
          </cell>
          <cell r="F1000" t="str">
            <v>2S5237-2013</v>
          </cell>
          <cell r="G1000" t="str">
            <v>4-20</v>
          </cell>
        </row>
        <row r="1001">
          <cell r="B1001" t="str">
            <v>71010876501</v>
          </cell>
          <cell r="C1001" t="str">
            <v>G2410-1693</v>
          </cell>
          <cell r="D1001" t="str">
            <v>000042944288002507</v>
          </cell>
          <cell r="E1001" t="str">
            <v>十二角自锁螺母</v>
          </cell>
          <cell r="F1001" t="str">
            <v>S10.4.1217</v>
          </cell>
          <cell r="G1001" t="str">
            <v>-</v>
          </cell>
        </row>
        <row r="1002">
          <cell r="B1002" t="str">
            <v>71010876502</v>
          </cell>
          <cell r="C1002" t="str">
            <v>G2502-0764</v>
          </cell>
          <cell r="D1002" t="str">
            <v>000042944288002507</v>
          </cell>
          <cell r="E1002" t="str">
            <v>十二角自锁螺母</v>
          </cell>
          <cell r="F1002" t="str">
            <v>S10.4.1217</v>
          </cell>
          <cell r="G1002" t="str">
            <v>-</v>
          </cell>
        </row>
        <row r="1003">
          <cell r="B1003" t="str">
            <v>7101087654</v>
          </cell>
          <cell r="C1003" t="str">
            <v>G2509-2520</v>
          </cell>
          <cell r="D1003" t="str">
            <v>000042944319001889</v>
          </cell>
          <cell r="E1003" t="str">
            <v>盘后托板螺母</v>
          </cell>
          <cell r="F1003" t="str">
            <v>S10.4.1402</v>
          </cell>
          <cell r="G1003" t="str">
            <v>-</v>
          </cell>
        </row>
        <row r="1004">
          <cell r="B1004" t="str">
            <v>7101087656</v>
          </cell>
          <cell r="C1004" t="str">
            <v>G2502-0275</v>
          </cell>
          <cell r="D1004" t="str">
            <v>000042944239011701</v>
          </cell>
          <cell r="E1004" t="str">
            <v>十二角头螺栓</v>
          </cell>
          <cell r="F1004" t="str">
            <v>S10.1.1203</v>
          </cell>
          <cell r="G1004" t="str">
            <v>-</v>
          </cell>
        </row>
        <row r="1005">
          <cell r="B1005" t="str">
            <v>7101087657</v>
          </cell>
          <cell r="C1005" t="str">
            <v>G2502-0275</v>
          </cell>
          <cell r="D1005" t="str">
            <v>000042944239011701</v>
          </cell>
          <cell r="E1005" t="str">
            <v>十二角头螺栓</v>
          </cell>
          <cell r="F1005" t="str">
            <v>S10.1.1203</v>
          </cell>
          <cell r="G1005" t="str">
            <v>-</v>
          </cell>
        </row>
        <row r="1006">
          <cell r="B1006" t="str">
            <v>7101087658</v>
          </cell>
          <cell r="C1006" t="str">
            <v>G2501-0048</v>
          </cell>
          <cell r="D1006" t="str">
            <v>000042944040002767</v>
          </cell>
          <cell r="E1006" t="str">
            <v>TC4钛合金六角头螺钉</v>
          </cell>
          <cell r="F1006" t="str">
            <v>HB6566-1992</v>
          </cell>
          <cell r="G1006" t="str">
            <v>MJ6×1×14Y</v>
          </cell>
        </row>
        <row r="1007">
          <cell r="B1007" t="str">
            <v>7101087658</v>
          </cell>
          <cell r="C1007" t="str">
            <v>G2501-0049</v>
          </cell>
          <cell r="D1007" t="str">
            <v>000042944040002767</v>
          </cell>
          <cell r="E1007" t="str">
            <v>TC4钛合金六角头螺钉</v>
          </cell>
          <cell r="F1007" t="str">
            <v>HB6566-1992</v>
          </cell>
          <cell r="G1007" t="str">
            <v>MJ6×1×14Y</v>
          </cell>
        </row>
        <row r="1008">
          <cell r="B1008" t="str">
            <v>7101087660</v>
          </cell>
          <cell r="C1008" t="str">
            <v>G2502-0326</v>
          </cell>
          <cell r="D1008" t="str">
            <v>000042944040002767</v>
          </cell>
          <cell r="E1008" t="str">
            <v>TC4钛合金六角头螺钉</v>
          </cell>
          <cell r="F1008" t="str">
            <v>HB6566-92</v>
          </cell>
          <cell r="G1008" t="str">
            <v>MJ6×1×14Y</v>
          </cell>
        </row>
        <row r="1009">
          <cell r="B1009" t="str">
            <v>7101087661</v>
          </cell>
          <cell r="C1009" t="str">
            <v>G2511-0186</v>
          </cell>
          <cell r="D1009" t="str">
            <v>000042944288002504</v>
          </cell>
          <cell r="E1009" t="str">
            <v>十二角自锁螺母</v>
          </cell>
          <cell r="F1009" t="str">
            <v>S10.4.1215</v>
          </cell>
          <cell r="G1009" t="str">
            <v>-</v>
          </cell>
        </row>
        <row r="1010">
          <cell r="B1010" t="str">
            <v>7101087663</v>
          </cell>
          <cell r="C1010" t="str">
            <v>G2401-2571</v>
          </cell>
          <cell r="D1010" t="str">
            <v>000042944288002504</v>
          </cell>
          <cell r="E1010" t="str">
            <v>十二角自锁螺母</v>
          </cell>
          <cell r="F1010" t="str">
            <v>S10.4.1215</v>
          </cell>
          <cell r="G1010" t="str">
            <v>-</v>
          </cell>
        </row>
        <row r="1011">
          <cell r="B1011" t="str">
            <v>7101087742</v>
          </cell>
          <cell r="C1011" t="str">
            <v>G2601-0253</v>
          </cell>
          <cell r="D1011" t="str">
            <v>000042944319117349</v>
          </cell>
          <cell r="E1011" t="str">
            <v>盘前螺母</v>
          </cell>
          <cell r="F1011" t="str">
            <v>FJ.44.069.B</v>
          </cell>
          <cell r="G1011" t="str">
            <v>-</v>
          </cell>
        </row>
        <row r="1012">
          <cell r="B1012" t="str">
            <v>7101087751</v>
          </cell>
          <cell r="C1012" t="str">
            <v>G2507-0139</v>
          </cell>
          <cell r="D1012" t="str">
            <v>000042944239011753</v>
          </cell>
          <cell r="E1012" t="str">
            <v>螺栓</v>
          </cell>
          <cell r="F1012" t="str">
            <v>S10.1.1407</v>
          </cell>
          <cell r="G1012" t="str">
            <v>-</v>
          </cell>
        </row>
        <row r="1013">
          <cell r="B1013" t="str">
            <v>7101087752</v>
          </cell>
          <cell r="C1013" t="str">
            <v>G2509-2753</v>
          </cell>
          <cell r="D1013" t="str">
            <v>000042944239011701</v>
          </cell>
          <cell r="E1013" t="str">
            <v>十二角头螺栓</v>
          </cell>
          <cell r="F1013" t="str">
            <v>S10.1.1203</v>
          </cell>
          <cell r="G1013" t="str">
            <v>-</v>
          </cell>
        </row>
        <row r="1014">
          <cell r="B1014" t="str">
            <v>7101087753</v>
          </cell>
          <cell r="C1014" t="str">
            <v>G2504-0544</v>
          </cell>
          <cell r="D1014" t="str">
            <v>000042944239011767</v>
          </cell>
          <cell r="E1014" t="str">
            <v>一级盘后螺栓</v>
          </cell>
          <cell r="F1014" t="str">
            <v>S10.1.3122</v>
          </cell>
          <cell r="G1014" t="str">
            <v>-</v>
          </cell>
        </row>
        <row r="1015">
          <cell r="B1015" t="str">
            <v>7101087754</v>
          </cell>
          <cell r="C1015" t="str">
            <v>G2509-3103</v>
          </cell>
          <cell r="D1015" t="str">
            <v>000042944239011747</v>
          </cell>
          <cell r="E1015" t="str">
            <v>盘前螺栓</v>
          </cell>
          <cell r="F1015" t="str">
            <v>S10.1.1401</v>
          </cell>
          <cell r="G1015" t="str">
            <v>-</v>
          </cell>
        </row>
        <row r="1016">
          <cell r="B1016" t="str">
            <v>7101087755</v>
          </cell>
          <cell r="C1016" t="str">
            <v>G2509-3103</v>
          </cell>
          <cell r="D1016" t="str">
            <v>000042944239011747</v>
          </cell>
          <cell r="E1016" t="str">
            <v>盘前螺栓</v>
          </cell>
          <cell r="F1016" t="str">
            <v>S10.1.1401</v>
          </cell>
          <cell r="G1016" t="str">
            <v>-</v>
          </cell>
        </row>
        <row r="1017">
          <cell r="B1017" t="str">
            <v>7101087756</v>
          </cell>
          <cell r="C1017" t="str">
            <v>G2502-0390</v>
          </cell>
          <cell r="D1017" t="str">
            <v>000042944044009164</v>
          </cell>
          <cell r="E1017" t="str">
            <v>高扭矩十字槽螺钉</v>
          </cell>
          <cell r="F1017" t="str">
            <v>S10.2.1204</v>
          </cell>
          <cell r="G1017" t="str">
            <v>-</v>
          </cell>
        </row>
        <row r="1018">
          <cell r="B1018" t="str">
            <v>7101087757</v>
          </cell>
          <cell r="C1018" t="str">
            <v>G2510-1434</v>
          </cell>
          <cell r="D1018" t="str">
            <v>000042944000122903</v>
          </cell>
          <cell r="E1018" t="str">
            <v>配重块</v>
          </cell>
          <cell r="F1018" t="str">
            <v>S10EA.12.1046</v>
          </cell>
          <cell r="G1018" t="str">
            <v>Ⅰ</v>
          </cell>
        </row>
        <row r="1019">
          <cell r="B1019" t="str">
            <v>7101087758</v>
          </cell>
          <cell r="C1019" t="str">
            <v>G2508-2129</v>
          </cell>
          <cell r="D1019" t="str">
            <v>000042944044009164</v>
          </cell>
          <cell r="E1019" t="str">
            <v>高扭矩十字槽螺钉</v>
          </cell>
          <cell r="F1019" t="str">
            <v>S10.2.1204</v>
          </cell>
          <cell r="G1019" t="str">
            <v>-</v>
          </cell>
        </row>
        <row r="1020">
          <cell r="B1020" t="str">
            <v>7101087758</v>
          </cell>
          <cell r="C1020" t="str">
            <v>G2507-1609</v>
          </cell>
          <cell r="D1020" t="str">
            <v>000042944044009164</v>
          </cell>
          <cell r="E1020" t="str">
            <v>高扭矩十字槽螺钉</v>
          </cell>
          <cell r="F1020" t="str">
            <v>S10.2.1204</v>
          </cell>
          <cell r="G1020" t="str">
            <v>-</v>
          </cell>
        </row>
        <row r="1021">
          <cell r="B1021" t="str">
            <v>7101087759</v>
          </cell>
          <cell r="C1021" t="str">
            <v>G2502-0548</v>
          </cell>
          <cell r="D1021" t="str">
            <v>000042944239011713</v>
          </cell>
          <cell r="E1021" t="str">
            <v>十二角头螺栓</v>
          </cell>
          <cell r="F1021" t="str">
            <v>S10.1.1223</v>
          </cell>
          <cell r="G1021" t="str">
            <v>-</v>
          </cell>
        </row>
        <row r="1022">
          <cell r="B1022" t="str">
            <v>7101087760</v>
          </cell>
          <cell r="C1022" t="str">
            <v>G2506-0249</v>
          </cell>
          <cell r="D1022" t="str">
            <v>000042944239011713</v>
          </cell>
          <cell r="E1022" t="str">
            <v>十二角头螺栓</v>
          </cell>
          <cell r="F1022" t="str">
            <v>S10.1.1223</v>
          </cell>
          <cell r="G1022" t="str">
            <v>-</v>
          </cell>
        </row>
        <row r="1023">
          <cell r="B1023" t="str">
            <v>7101087761</v>
          </cell>
          <cell r="C1023" t="str">
            <v>G2512-0524</v>
          </cell>
          <cell r="D1023" t="str">
            <v>000042944239011725</v>
          </cell>
          <cell r="E1023" t="str">
            <v>十二角头螺栓</v>
          </cell>
          <cell r="F1023" t="str">
            <v>S10.1.1237</v>
          </cell>
          <cell r="G1023" t="str">
            <v>-</v>
          </cell>
        </row>
        <row r="1024">
          <cell r="B1024" t="str">
            <v>7101087762</v>
          </cell>
          <cell r="C1024" t="str">
            <v>G2509-1832</v>
          </cell>
          <cell r="D1024" t="str">
            <v>000042944440000108</v>
          </cell>
          <cell r="E1024" t="str">
            <v>孔用弹性挡圈-A型</v>
          </cell>
          <cell r="F1024" t="str">
            <v>GB893.1-1986</v>
          </cell>
          <cell r="G1024" t="str">
            <v>28</v>
          </cell>
        </row>
        <row r="1025">
          <cell r="B1025" t="str">
            <v>7101087763</v>
          </cell>
          <cell r="C1025" t="str">
            <v>G2509-1832</v>
          </cell>
          <cell r="D1025" t="str">
            <v>000042944440000108</v>
          </cell>
          <cell r="E1025" t="str">
            <v>孔用弹性挡圈-A型</v>
          </cell>
          <cell r="F1025" t="str">
            <v>GB893.1-1986</v>
          </cell>
          <cell r="G1025" t="str">
            <v>28</v>
          </cell>
        </row>
        <row r="1026">
          <cell r="B1026" t="str">
            <v>7101087764</v>
          </cell>
          <cell r="C1026" t="str">
            <v>G2512-0524</v>
          </cell>
          <cell r="D1026" t="str">
            <v>000042944239011725</v>
          </cell>
          <cell r="E1026" t="str">
            <v>十二角头螺栓</v>
          </cell>
          <cell r="F1026" t="str">
            <v>S10.1.1237</v>
          </cell>
          <cell r="G1026" t="str">
            <v>-</v>
          </cell>
        </row>
        <row r="1027">
          <cell r="B1027" t="str">
            <v>7101087765</v>
          </cell>
          <cell r="C1027" t="str">
            <v>G2309-1859</v>
          </cell>
          <cell r="D1027" t="str">
            <v>000042944000122902</v>
          </cell>
          <cell r="E1027" t="str">
            <v>堵盖</v>
          </cell>
          <cell r="F1027" t="str">
            <v>S10EA.30.1076</v>
          </cell>
          <cell r="G1027" t="str">
            <v>-</v>
          </cell>
        </row>
        <row r="1028">
          <cell r="B1028" t="str">
            <v>7101087766</v>
          </cell>
          <cell r="C1028" t="str">
            <v>G2309-1859</v>
          </cell>
          <cell r="D1028" t="str">
            <v>000042944000122902</v>
          </cell>
          <cell r="E1028" t="str">
            <v>堵盖</v>
          </cell>
          <cell r="F1028" t="str">
            <v>S10EA.30.1076</v>
          </cell>
          <cell r="G1028" t="str">
            <v>-</v>
          </cell>
        </row>
        <row r="1029">
          <cell r="B1029" t="str">
            <v>7101087787</v>
          </cell>
          <cell r="C1029" t="str">
            <v>G2602-0025</v>
          </cell>
          <cell r="D1029" t="str">
            <v>000042944000159030</v>
          </cell>
          <cell r="E1029" t="str">
            <v>主动轮调整垫</v>
          </cell>
          <cell r="F1029" t="str">
            <v>STHF.68.1052</v>
          </cell>
          <cell r="G1029" t="str">
            <v>5</v>
          </cell>
        </row>
        <row r="1030">
          <cell r="B1030" t="str">
            <v>7101087788</v>
          </cell>
          <cell r="C1030" t="str">
            <v>G2401-0836</v>
          </cell>
          <cell r="D1030" t="str">
            <v>000042944000126740</v>
          </cell>
          <cell r="E1030" t="str">
            <v>垫片</v>
          </cell>
          <cell r="F1030" t="str">
            <v>D28.02.010163</v>
          </cell>
          <cell r="G1030" t="str">
            <v>-</v>
          </cell>
        </row>
        <row r="1031">
          <cell r="B1031" t="str">
            <v>7101087789</v>
          </cell>
          <cell r="C1031" t="str">
            <v>G2401-0836</v>
          </cell>
          <cell r="D1031" t="str">
            <v>000042944000126740</v>
          </cell>
          <cell r="E1031" t="str">
            <v>垫片</v>
          </cell>
          <cell r="F1031" t="str">
            <v>D28.02.010163</v>
          </cell>
          <cell r="G1031" t="str">
            <v>-</v>
          </cell>
        </row>
        <row r="1032">
          <cell r="B1032" t="str">
            <v>7101087790</v>
          </cell>
          <cell r="C1032" t="str">
            <v>G2406-1234</v>
          </cell>
          <cell r="D1032" t="str">
            <v>000042944000136758</v>
          </cell>
          <cell r="E1032" t="str">
            <v>起动机进气管箍带拉杆</v>
          </cell>
          <cell r="F1032" t="str">
            <v>S20.00.2766</v>
          </cell>
          <cell r="G1032" t="str">
            <v>-</v>
          </cell>
        </row>
        <row r="1033">
          <cell r="B1033" t="str">
            <v>7101087791</v>
          </cell>
          <cell r="C1033" t="str">
            <v>G2406-1234</v>
          </cell>
          <cell r="D1033" t="str">
            <v>000042944000136758</v>
          </cell>
          <cell r="E1033" t="str">
            <v>起动机进气管箍带拉杆</v>
          </cell>
          <cell r="F1033" t="str">
            <v>S20.00.2766</v>
          </cell>
          <cell r="G1033" t="str">
            <v>-</v>
          </cell>
        </row>
        <row r="1034">
          <cell r="B1034" t="str">
            <v>7101087792</v>
          </cell>
          <cell r="C1034" t="str">
            <v>G2406-1235</v>
          </cell>
          <cell r="D1034" t="str">
            <v>000042944000136759</v>
          </cell>
          <cell r="E1034" t="str">
            <v>起动机进气管拉杆</v>
          </cell>
          <cell r="F1034" t="str">
            <v>S20.00.2310</v>
          </cell>
          <cell r="G1034" t="str">
            <v>-</v>
          </cell>
        </row>
        <row r="1035">
          <cell r="B1035" t="str">
            <v>7101087793</v>
          </cell>
          <cell r="C1035" t="str">
            <v>G2503-2330</v>
          </cell>
          <cell r="D1035" t="str">
            <v>000042944000148055</v>
          </cell>
          <cell r="E1035" t="str">
            <v>U型卡箍(D=46,H=20,W=78)</v>
          </cell>
          <cell r="F1035" t="str">
            <v>SH40.04.334</v>
          </cell>
          <cell r="G1035" t="str">
            <v>-</v>
          </cell>
        </row>
        <row r="1036">
          <cell r="B1036" t="str">
            <v>7101087794</v>
          </cell>
          <cell r="C1036" t="str">
            <v>G2503-0742</v>
          </cell>
          <cell r="D1036" t="str">
            <v>000042944000149152</v>
          </cell>
          <cell r="E1036" t="str">
            <v>四孔密封铜垫(L=46)</v>
          </cell>
          <cell r="F1036" t="str">
            <v>SH40.04.464</v>
          </cell>
          <cell r="G1036" t="str">
            <v>-</v>
          </cell>
        </row>
        <row r="1037">
          <cell r="B1037" t="str">
            <v>7101087795</v>
          </cell>
          <cell r="C1037" t="str">
            <v>G2406-1235</v>
          </cell>
          <cell r="D1037" t="str">
            <v>000042944000136759</v>
          </cell>
          <cell r="E1037" t="str">
            <v>起动机进气管拉杆</v>
          </cell>
          <cell r="F1037" t="str">
            <v>S20.00.2310</v>
          </cell>
          <cell r="G1037" t="str">
            <v>-</v>
          </cell>
        </row>
        <row r="1038">
          <cell r="B1038" t="str">
            <v>7101087796</v>
          </cell>
          <cell r="C1038" t="str">
            <v>G2503-2330</v>
          </cell>
          <cell r="D1038" t="str">
            <v>000042944000148055</v>
          </cell>
          <cell r="E1038" t="str">
            <v>U型卡箍(D=46,H=20,W=78)</v>
          </cell>
          <cell r="F1038" t="str">
            <v>SH40.04.334</v>
          </cell>
          <cell r="G1038" t="str">
            <v>-</v>
          </cell>
        </row>
        <row r="1039">
          <cell r="B1039" t="str">
            <v>7101087797</v>
          </cell>
          <cell r="C1039" t="str">
            <v>G2503-0742</v>
          </cell>
          <cell r="D1039" t="str">
            <v>000042944000149152</v>
          </cell>
          <cell r="E1039" t="str">
            <v>四孔密封铜垫(L=46)</v>
          </cell>
          <cell r="F1039" t="str">
            <v>SH40.04.464</v>
          </cell>
          <cell r="G1039" t="str">
            <v>-</v>
          </cell>
        </row>
        <row r="1040">
          <cell r="B1040" t="str">
            <v>7101087798</v>
          </cell>
          <cell r="C1040" t="str">
            <v>G2507-0671</v>
          </cell>
          <cell r="D1040" t="str">
            <v>000042944160010465</v>
          </cell>
          <cell r="E1040" t="str">
            <v>十二角螺钉</v>
          </cell>
          <cell r="F1040" t="str">
            <v>2S5003-2008</v>
          </cell>
          <cell r="G1040" t="str">
            <v>4-16</v>
          </cell>
        </row>
        <row r="1041">
          <cell r="B1041" t="str">
            <v>7101087799</v>
          </cell>
          <cell r="C1041" t="str">
            <v>G2207-2217</v>
          </cell>
          <cell r="D1041" t="str">
            <v>000042944239102916</v>
          </cell>
          <cell r="E1041" t="str">
            <v>螺栓</v>
          </cell>
          <cell r="F1041" t="str">
            <v>S10.1.1152</v>
          </cell>
          <cell r="G1041" t="str">
            <v>-</v>
          </cell>
        </row>
        <row r="1042">
          <cell r="B1042" t="str">
            <v>7101087800</v>
          </cell>
          <cell r="C1042" t="str">
            <v>G2508-2099</v>
          </cell>
          <cell r="D1042" t="str">
            <v>000042944319136764</v>
          </cell>
          <cell r="E1042" t="str">
            <v>十角自锁螺母,材料GH2132,镀银</v>
          </cell>
          <cell r="F1042" t="str">
            <v>2S5120-2013</v>
          </cell>
          <cell r="G1042" t="str">
            <v>4</v>
          </cell>
        </row>
        <row r="1043">
          <cell r="B1043" t="str">
            <v>7101087801</v>
          </cell>
          <cell r="C1043" t="str">
            <v>G2506-1367</v>
          </cell>
          <cell r="D1043" t="str">
            <v>000042944999004879</v>
          </cell>
          <cell r="E1043" t="str">
            <v>扩口式管接头的堵盖</v>
          </cell>
          <cell r="F1043" t="str">
            <v>HB4-69FA-2002</v>
          </cell>
          <cell r="G1043" t="str">
            <v>2-18</v>
          </cell>
        </row>
        <row r="1044">
          <cell r="B1044" t="str">
            <v>7101087802</v>
          </cell>
          <cell r="C1044" t="str">
            <v>G2507-0671</v>
          </cell>
          <cell r="D1044" t="str">
            <v>000042944160010465</v>
          </cell>
          <cell r="E1044" t="str">
            <v>十二角螺钉</v>
          </cell>
          <cell r="F1044" t="str">
            <v>2S5003-2008</v>
          </cell>
          <cell r="G1044" t="str">
            <v>4-16</v>
          </cell>
        </row>
        <row r="1045">
          <cell r="B1045" t="str">
            <v>7101087803</v>
          </cell>
          <cell r="C1045" t="str">
            <v>G2207-2217</v>
          </cell>
          <cell r="D1045" t="str">
            <v>000042944239102916</v>
          </cell>
          <cell r="E1045" t="str">
            <v>螺栓</v>
          </cell>
          <cell r="F1045" t="str">
            <v>S10.1.1152</v>
          </cell>
          <cell r="G1045" t="str">
            <v>-</v>
          </cell>
        </row>
        <row r="1046">
          <cell r="B1046" t="str">
            <v>7101087804</v>
          </cell>
          <cell r="C1046" t="str">
            <v>G2508-2099</v>
          </cell>
          <cell r="D1046" t="str">
            <v>000042944319136764</v>
          </cell>
          <cell r="E1046" t="str">
            <v>十角自锁螺母,材料GH2132,镀银</v>
          </cell>
          <cell r="F1046" t="str">
            <v>2S5120-2013</v>
          </cell>
          <cell r="G1046" t="str">
            <v>4</v>
          </cell>
        </row>
        <row r="1047">
          <cell r="B1047" t="str">
            <v>7101087805</v>
          </cell>
          <cell r="C1047" t="str">
            <v>G2506-1367</v>
          </cell>
          <cell r="D1047" t="str">
            <v>000042944999004879</v>
          </cell>
          <cell r="E1047" t="str">
            <v>扩口式管接头的堵盖</v>
          </cell>
          <cell r="F1047" t="str">
            <v>HB4-69FA-2002</v>
          </cell>
          <cell r="G1047" t="str">
            <v>2-18</v>
          </cell>
        </row>
        <row r="1048">
          <cell r="B1048" t="str">
            <v>7101085721</v>
          </cell>
          <cell r="C1048" t="str">
            <v>G2511-1511</v>
          </cell>
          <cell r="D1048" t="str">
            <v>000042944360153219</v>
          </cell>
          <cell r="E1048" t="str">
            <v>销钉2</v>
          </cell>
          <cell r="F1048" t="str">
            <v>J4646-314</v>
          </cell>
          <cell r="G1048" t="str">
            <v>-</v>
          </cell>
        </row>
        <row r="1049">
          <cell r="B1049" t="str">
            <v>7101085888</v>
          </cell>
          <cell r="C1049" t="str">
            <v>G2601-0339</v>
          </cell>
          <cell r="D1049" t="str">
            <v>000042944239041012</v>
          </cell>
          <cell r="E1049" t="str">
            <v>精密螺栓,小十二角头,带减轻孔,光杆公差g6,MJ螺纹,螺纹</v>
          </cell>
          <cell r="F1049" t="str">
            <v>Q/S15.1020-2011</v>
          </cell>
          <cell r="G1049" t="str">
            <v>8-48</v>
          </cell>
        </row>
        <row r="1050">
          <cell r="B1050" t="str">
            <v>7101085900</v>
          </cell>
          <cell r="C1050" t="str">
            <v>G2504-2577</v>
          </cell>
          <cell r="D1050" t="str">
            <v>000036200000117045</v>
          </cell>
          <cell r="E1050" t="str">
            <v>矩形密封圈∏</v>
          </cell>
          <cell r="F1050" t="str">
            <v>FJ.66.123.B</v>
          </cell>
          <cell r="G1050" t="str">
            <v>-</v>
          </cell>
        </row>
        <row r="1051">
          <cell r="B1051" t="str">
            <v>7101086021</v>
          </cell>
          <cell r="C1051" t="str">
            <v>G2511-0267</v>
          </cell>
          <cell r="D1051" t="str">
            <v>000042944000100880</v>
          </cell>
          <cell r="E1051" t="str">
            <v>芯轴</v>
          </cell>
          <cell r="F1051" t="str">
            <v>S20.00.2043</v>
          </cell>
          <cell r="G1051" t="str">
            <v>-</v>
          </cell>
        </row>
        <row r="1052">
          <cell r="B1052" t="str">
            <v>7101086021</v>
          </cell>
          <cell r="C1052" t="str">
            <v>G2601-2449</v>
          </cell>
          <cell r="D1052" t="str">
            <v>000042944000100881</v>
          </cell>
          <cell r="E1052" t="str">
            <v>套筒</v>
          </cell>
          <cell r="F1052" t="str">
            <v>S20.00.2044(B版)</v>
          </cell>
          <cell r="G1052" t="str">
            <v>-</v>
          </cell>
        </row>
        <row r="1053">
          <cell r="B1053" t="str">
            <v>7101086101</v>
          </cell>
          <cell r="C1053" t="str">
            <v>G2512-0995</v>
          </cell>
          <cell r="D1053" t="str">
            <v>000042944288001445</v>
          </cell>
          <cell r="E1053" t="str">
            <v>六角自锁螺母</v>
          </cell>
          <cell r="F1053" t="str">
            <v>2S5124-2013</v>
          </cell>
          <cell r="G1053" t="str">
            <v>4</v>
          </cell>
        </row>
        <row r="1054">
          <cell r="B1054" t="str">
            <v>7101086113</v>
          </cell>
          <cell r="C1054" t="str">
            <v>G2601-2449</v>
          </cell>
          <cell r="D1054" t="str">
            <v>000042944000100881</v>
          </cell>
          <cell r="E1054" t="str">
            <v>套筒</v>
          </cell>
          <cell r="F1054" t="str">
            <v>S20.00.2044(B版)</v>
          </cell>
          <cell r="G1054" t="str">
            <v>-</v>
          </cell>
        </row>
        <row r="1055">
          <cell r="B1055" t="str">
            <v>7101086113</v>
          </cell>
          <cell r="C1055" t="str">
            <v>G2511-0267</v>
          </cell>
          <cell r="D1055" t="str">
            <v>000042944000100880</v>
          </cell>
          <cell r="E1055" t="str">
            <v>芯轴</v>
          </cell>
          <cell r="F1055" t="str">
            <v>S20.00.2043</v>
          </cell>
          <cell r="G1055" t="str">
            <v>-</v>
          </cell>
        </row>
        <row r="1056">
          <cell r="B1056" t="str">
            <v>7101080064</v>
          </cell>
          <cell r="C1056" t="str">
            <v>G2511-0184</v>
          </cell>
          <cell r="D1056" t="str">
            <v>000042944288002498</v>
          </cell>
          <cell r="E1056" t="str">
            <v>十角自锁螺母</v>
          </cell>
          <cell r="F1056" t="str">
            <v>S10.4.1212</v>
          </cell>
          <cell r="G1056" t="str">
            <v>-</v>
          </cell>
        </row>
        <row r="1057">
          <cell r="B1057" t="str">
            <v>7101080066</v>
          </cell>
          <cell r="C1057" t="str">
            <v>G2511-0184</v>
          </cell>
          <cell r="D1057" t="str">
            <v>000042944288002498</v>
          </cell>
          <cell r="E1057" t="str">
            <v>十角自锁螺母</v>
          </cell>
          <cell r="F1057" t="str">
            <v>S10.4.1212</v>
          </cell>
          <cell r="G1057" t="str">
            <v>-</v>
          </cell>
        </row>
        <row r="1058">
          <cell r="B1058" t="str">
            <v>7101080634</v>
          </cell>
          <cell r="C1058" t="str">
            <v>G2601-1002</v>
          </cell>
          <cell r="D1058" t="str">
            <v>000042944360159127</v>
          </cell>
          <cell r="E1058" t="str">
            <v>Φ8扩口销</v>
          </cell>
          <cell r="F1058" t="str">
            <v>STHF.52.1019</v>
          </cell>
          <cell r="G1058" t="str">
            <v>-</v>
          </cell>
        </row>
        <row r="1059">
          <cell r="B1059" t="str">
            <v>7101080914</v>
          </cell>
          <cell r="C1059" t="str">
            <v>G2602-0906</v>
          </cell>
          <cell r="D1059" t="str">
            <v>000042944000169114</v>
          </cell>
          <cell r="E1059" t="str">
            <v>滚轮</v>
          </cell>
          <cell r="F1059" t="str">
            <v>JSTH.54A.004</v>
          </cell>
          <cell r="G1059" t="str">
            <v>-</v>
          </cell>
        </row>
        <row r="1060">
          <cell r="B1060" t="str">
            <v>7101081736</v>
          </cell>
          <cell r="C1060" t="str">
            <v>G2504-1501</v>
          </cell>
          <cell r="D1060" t="str">
            <v>000042944000106862</v>
          </cell>
          <cell r="E1060" t="str">
            <v>密封座</v>
          </cell>
          <cell r="F1060" t="str">
            <v>S15.15.1241N</v>
          </cell>
          <cell r="G1060" t="str">
            <v>-</v>
          </cell>
        </row>
        <row r="1061">
          <cell r="B1061" t="str">
            <v>7101081752</v>
          </cell>
          <cell r="C1061" t="str">
            <v>G2512-0477</v>
          </cell>
          <cell r="D1061" t="str">
            <v>000042944439070157</v>
          </cell>
          <cell r="E1061" t="str">
            <v>榫底垫片</v>
          </cell>
          <cell r="F1061" t="str">
            <v>S15.44.1072P</v>
          </cell>
          <cell r="G1061" t="str">
            <v>-</v>
          </cell>
        </row>
        <row r="1062">
          <cell r="B1062" t="str">
            <v>7101081756</v>
          </cell>
          <cell r="C1062" t="str">
            <v>G2508-2362</v>
          </cell>
          <cell r="D1062" t="str">
            <v>000042944288000010</v>
          </cell>
          <cell r="E1062" t="str">
            <v>十二角自锁螺母</v>
          </cell>
          <cell r="F1062" t="str">
            <v>11S40096</v>
          </cell>
          <cell r="G1062" t="str">
            <v>-</v>
          </cell>
        </row>
        <row r="1063">
          <cell r="B1063" t="str">
            <v>7101081901</v>
          </cell>
          <cell r="C1063" t="str">
            <v>G2511-0185</v>
          </cell>
          <cell r="D1063" t="str">
            <v>000042944288002504</v>
          </cell>
          <cell r="E1063" t="str">
            <v>十二角自锁螺母</v>
          </cell>
          <cell r="F1063" t="str">
            <v>S10.4.1215</v>
          </cell>
          <cell r="G1063" t="str">
            <v>-</v>
          </cell>
        </row>
        <row r="1064">
          <cell r="B1064" t="str">
            <v>7101081917</v>
          </cell>
          <cell r="C1064" t="str">
            <v>G2508-2341</v>
          </cell>
          <cell r="D1064" t="str">
            <v>000042944239011729</v>
          </cell>
          <cell r="E1064" t="str">
            <v>十二角头螺栓</v>
          </cell>
          <cell r="F1064" t="str">
            <v>S10.1.1246</v>
          </cell>
          <cell r="G1064" t="str">
            <v>-</v>
          </cell>
        </row>
        <row r="1065">
          <cell r="B1065" t="str">
            <v>7101081940</v>
          </cell>
          <cell r="C1065" t="str">
            <v>G2512-0771</v>
          </cell>
          <cell r="D1065" t="str">
            <v>000042944319001897</v>
          </cell>
          <cell r="E1065" t="str">
            <v>托板螺母</v>
          </cell>
          <cell r="F1065" t="str">
            <v>S10.4.1405</v>
          </cell>
          <cell r="G1065" t="str">
            <v>-</v>
          </cell>
        </row>
        <row r="1066">
          <cell r="B1066" t="str">
            <v>7101082104</v>
          </cell>
          <cell r="C1066" t="str">
            <v>G2512-0293</v>
          </cell>
          <cell r="D1066" t="str">
            <v>000042944240084473</v>
          </cell>
          <cell r="E1066" t="str">
            <v>螺柱</v>
          </cell>
          <cell r="F1066" t="str">
            <v>11S30071</v>
          </cell>
          <cell r="G1066" t="str">
            <v>Ⅲ</v>
          </cell>
        </row>
        <row r="1067">
          <cell r="B1067" t="str">
            <v>7101082106</v>
          </cell>
          <cell r="C1067" t="str">
            <v>G2512-0293</v>
          </cell>
          <cell r="D1067" t="str">
            <v>000042944240084473</v>
          </cell>
          <cell r="E1067" t="str">
            <v>螺柱</v>
          </cell>
          <cell r="F1067" t="str">
            <v>11S30071</v>
          </cell>
          <cell r="G1067" t="str">
            <v>Ⅲ</v>
          </cell>
        </row>
        <row r="1068">
          <cell r="B1068" t="str">
            <v>7101082107</v>
          </cell>
          <cell r="C1068" t="str">
            <v>G2512-0293</v>
          </cell>
          <cell r="D1068" t="str">
            <v>000042944240084473</v>
          </cell>
          <cell r="E1068" t="str">
            <v>螺柱</v>
          </cell>
          <cell r="F1068" t="str">
            <v>11S30071</v>
          </cell>
          <cell r="G1068" t="str">
            <v>Ⅲ</v>
          </cell>
        </row>
        <row r="1069">
          <cell r="B1069" t="str">
            <v>7101082111</v>
          </cell>
          <cell r="C1069" t="str">
            <v>G2511-0178</v>
          </cell>
          <cell r="D1069" t="str">
            <v>000042944239011744</v>
          </cell>
          <cell r="E1069" t="str">
            <v>螺栓</v>
          </cell>
          <cell r="F1069" t="str">
            <v>S10.1.1302</v>
          </cell>
          <cell r="G1069" t="str">
            <v>-</v>
          </cell>
        </row>
        <row r="1070">
          <cell r="B1070" t="str">
            <v>7101082114</v>
          </cell>
          <cell r="C1070" t="str">
            <v>G2506-1924</v>
          </cell>
          <cell r="D1070" t="str">
            <v>000042944239011744</v>
          </cell>
          <cell r="E1070" t="str">
            <v>螺栓</v>
          </cell>
          <cell r="F1070" t="str">
            <v>S10.1.1302</v>
          </cell>
          <cell r="G1070" t="str">
            <v>-</v>
          </cell>
        </row>
        <row r="1071">
          <cell r="B1071" t="str">
            <v>7101082114</v>
          </cell>
          <cell r="C1071" t="str">
            <v>G2511-0178</v>
          </cell>
          <cell r="D1071" t="str">
            <v>000042944239011744</v>
          </cell>
          <cell r="E1071" t="str">
            <v>螺栓</v>
          </cell>
          <cell r="F1071" t="str">
            <v>S10.1.1302</v>
          </cell>
          <cell r="G1071" t="str">
            <v>-</v>
          </cell>
        </row>
        <row r="1072">
          <cell r="B1072" t="str">
            <v>7101082117</v>
          </cell>
          <cell r="C1072" t="str">
            <v>G2601-0491</v>
          </cell>
          <cell r="D1072" t="str">
            <v>000042944288002505</v>
          </cell>
          <cell r="E1072" t="str">
            <v>十二角自锁螺母</v>
          </cell>
          <cell r="F1072" t="str">
            <v>S10.4.1216</v>
          </cell>
          <cell r="G1072" t="str">
            <v>-</v>
          </cell>
        </row>
        <row r="1073">
          <cell r="B1073" t="str">
            <v>7101082119</v>
          </cell>
          <cell r="C1073" t="str">
            <v>G2502-0294</v>
          </cell>
          <cell r="D1073" t="str">
            <v>000042944288002505</v>
          </cell>
          <cell r="E1073" t="str">
            <v>十二角自锁螺母</v>
          </cell>
          <cell r="F1073" t="str">
            <v>S10.4.1216</v>
          </cell>
          <cell r="G1073" t="str">
            <v>-</v>
          </cell>
        </row>
        <row r="1074">
          <cell r="B1074" t="str">
            <v>7101082159</v>
          </cell>
          <cell r="C1074" t="str">
            <v>G2512-1496</v>
          </cell>
          <cell r="D1074" t="str">
            <v>000042944239011701</v>
          </cell>
          <cell r="E1074" t="str">
            <v>十二角头螺栓</v>
          </cell>
          <cell r="F1074" t="str">
            <v>S10.1.1203</v>
          </cell>
          <cell r="G1074" t="str">
            <v>-</v>
          </cell>
        </row>
        <row r="1075">
          <cell r="B1075" t="str">
            <v>7101082164</v>
          </cell>
          <cell r="C1075" t="str">
            <v>G2512-0323</v>
          </cell>
          <cell r="D1075" t="str">
            <v>000042944360084304</v>
          </cell>
          <cell r="E1075" t="str">
            <v>导叶上定位销</v>
          </cell>
          <cell r="F1075" t="str">
            <v>S15.44.1034PE</v>
          </cell>
          <cell r="G1075" t="str">
            <v>-</v>
          </cell>
        </row>
        <row r="1076">
          <cell r="B1076" t="str">
            <v>7101082166</v>
          </cell>
          <cell r="C1076" t="str">
            <v>G2512-0323</v>
          </cell>
          <cell r="D1076" t="str">
            <v>000042944360084304</v>
          </cell>
          <cell r="E1076" t="str">
            <v>导叶上定位销</v>
          </cell>
          <cell r="F1076" t="str">
            <v>S15.44.1034PE</v>
          </cell>
          <cell r="G1076" t="str">
            <v>-</v>
          </cell>
        </row>
        <row r="1077">
          <cell r="B1077" t="str">
            <v>7101082396</v>
          </cell>
          <cell r="C1077" t="str">
            <v>G2512-0284</v>
          </cell>
          <cell r="D1077" t="str">
            <v>000042944288162768</v>
          </cell>
          <cell r="E1077" t="str">
            <v>托板自锁螺母</v>
          </cell>
          <cell r="F1077" t="str">
            <v>S15.33.1042</v>
          </cell>
          <cell r="G1077" t="str">
            <v>-</v>
          </cell>
        </row>
        <row r="1078">
          <cell r="B1078" t="str">
            <v>7101082397</v>
          </cell>
          <cell r="C1078" t="str">
            <v>G2512-0284</v>
          </cell>
          <cell r="D1078" t="str">
            <v>000042944288162768</v>
          </cell>
          <cell r="E1078" t="str">
            <v>托板自锁螺母</v>
          </cell>
          <cell r="F1078" t="str">
            <v>S15.33.1042</v>
          </cell>
          <cell r="G1078" t="str">
            <v>-</v>
          </cell>
        </row>
        <row r="1079">
          <cell r="B1079" t="str">
            <v>7101082399</v>
          </cell>
          <cell r="C1079" t="str">
            <v>G2512-0284</v>
          </cell>
          <cell r="D1079" t="str">
            <v>000042944288162768</v>
          </cell>
          <cell r="E1079" t="str">
            <v>托板自锁螺母</v>
          </cell>
          <cell r="F1079" t="str">
            <v>S15.33.1042</v>
          </cell>
          <cell r="G1079" t="str">
            <v>-</v>
          </cell>
        </row>
        <row r="1080">
          <cell r="B1080" t="str">
            <v>7101082400</v>
          </cell>
          <cell r="C1080" t="str">
            <v>G2511-0112</v>
          </cell>
          <cell r="D1080" t="str">
            <v>000042944040002770</v>
          </cell>
          <cell r="E1080" t="str">
            <v>TC4钛合金六角头螺钉</v>
          </cell>
          <cell r="F1080" t="str">
            <v>HB6566-1992</v>
          </cell>
          <cell r="G1080" t="str">
            <v>MJ6×1×16Y</v>
          </cell>
        </row>
        <row r="1081">
          <cell r="B1081" t="str">
            <v>7101082406</v>
          </cell>
          <cell r="C1081" t="str">
            <v>G2511-0186</v>
          </cell>
          <cell r="D1081" t="str">
            <v>000042944288002504</v>
          </cell>
          <cell r="E1081" t="str">
            <v>十二角自锁螺母</v>
          </cell>
          <cell r="F1081" t="str">
            <v>S10.4.1215</v>
          </cell>
          <cell r="G1081" t="str">
            <v>-</v>
          </cell>
        </row>
        <row r="1082">
          <cell r="B1082" t="str">
            <v>7101082424</v>
          </cell>
          <cell r="C1082" t="str">
            <v>G2511-0186</v>
          </cell>
          <cell r="D1082" t="str">
            <v>000042944288002504</v>
          </cell>
          <cell r="E1082" t="str">
            <v>十二角自锁螺母</v>
          </cell>
          <cell r="F1082" t="str">
            <v>S10.4.1215</v>
          </cell>
          <cell r="G1082" t="str">
            <v>-</v>
          </cell>
        </row>
        <row r="1083">
          <cell r="B1083" t="str">
            <v>7101082429</v>
          </cell>
          <cell r="C1083" t="str">
            <v>G2512-1892</v>
          </cell>
          <cell r="D1083" t="str">
            <v>000042944440122844</v>
          </cell>
          <cell r="E1083" t="str">
            <v>挡圈</v>
          </cell>
          <cell r="F1083" t="str">
            <v>S15.34.1063UA</v>
          </cell>
          <cell r="G1083" t="str">
            <v>-</v>
          </cell>
        </row>
        <row r="1084">
          <cell r="B1084" t="str">
            <v>7101082433</v>
          </cell>
          <cell r="C1084" t="str">
            <v>G2512-0295</v>
          </cell>
          <cell r="D1084" t="str">
            <v>000042944288002020</v>
          </cell>
          <cell r="E1084" t="str">
            <v>开槽自锁螺母,十二角,MJ螺纹,螺纹公差带4H6H,镀银,材</v>
          </cell>
          <cell r="F1084" t="str">
            <v>Q/S15.1084-2016</v>
          </cell>
          <cell r="G1084" t="str">
            <v>5</v>
          </cell>
        </row>
        <row r="1085">
          <cell r="B1085" t="str">
            <v>7101082436</v>
          </cell>
          <cell r="C1085" t="str">
            <v>G2512-0295</v>
          </cell>
          <cell r="D1085" t="str">
            <v>000042944288002020</v>
          </cell>
          <cell r="E1085" t="str">
            <v>开槽自锁螺母,十二角,MJ螺纹,螺纹公差带4H6H,镀银,材</v>
          </cell>
          <cell r="F1085" t="str">
            <v>Q/S15.1084-2016</v>
          </cell>
          <cell r="G1085" t="str">
            <v>5</v>
          </cell>
        </row>
        <row r="1086">
          <cell r="B1086" t="str">
            <v>7101082437</v>
          </cell>
          <cell r="C1086" t="str">
            <v>G2512-0295</v>
          </cell>
          <cell r="D1086" t="str">
            <v>000042944288002020</v>
          </cell>
          <cell r="E1086" t="str">
            <v>开槽自锁螺母,十二角,MJ螺纹,螺纹公差带4H6H,镀银,材</v>
          </cell>
          <cell r="F1086" t="str">
            <v>Q/S15.1084-2016</v>
          </cell>
          <cell r="G1086" t="str">
            <v>5</v>
          </cell>
        </row>
        <row r="1087">
          <cell r="B1087" t="str">
            <v>7101082439</v>
          </cell>
          <cell r="C1087" t="str">
            <v>G2512-0311</v>
          </cell>
          <cell r="D1087" t="str">
            <v>000042944240084472</v>
          </cell>
          <cell r="E1087" t="str">
            <v>螺柱</v>
          </cell>
          <cell r="F1087" t="str">
            <v>11S30071</v>
          </cell>
          <cell r="G1087" t="str">
            <v>Ⅱ</v>
          </cell>
        </row>
        <row r="1088">
          <cell r="B1088" t="str">
            <v>7101082441</v>
          </cell>
          <cell r="C1088" t="str">
            <v>G2512-0311</v>
          </cell>
          <cell r="D1088" t="str">
            <v>000042944240084472</v>
          </cell>
          <cell r="E1088" t="str">
            <v>螺柱</v>
          </cell>
          <cell r="F1088" t="str">
            <v>11S30071</v>
          </cell>
          <cell r="G1088" t="str">
            <v>Ⅱ</v>
          </cell>
        </row>
        <row r="1089">
          <cell r="B1089" t="str">
            <v>7101082537</v>
          </cell>
          <cell r="C1089" t="str">
            <v>G2510-0227</v>
          </cell>
          <cell r="D1089" t="str">
            <v>000042944239087363</v>
          </cell>
          <cell r="E1089" t="str">
            <v>高压转子间螺栓组件</v>
          </cell>
          <cell r="F1089" t="str">
            <v>S15.44.1827PE</v>
          </cell>
          <cell r="G1089" t="str">
            <v>-</v>
          </cell>
        </row>
        <row r="1090">
          <cell r="B1090" t="str">
            <v>7101082549</v>
          </cell>
          <cell r="C1090" t="str">
            <v>G2511-0120</v>
          </cell>
          <cell r="D1090" t="str">
            <v>000042944239011753</v>
          </cell>
          <cell r="E1090" t="str">
            <v>螺栓</v>
          </cell>
          <cell r="F1090" t="str">
            <v>S10.1.1407</v>
          </cell>
          <cell r="G1090" t="str">
            <v>-</v>
          </cell>
        </row>
        <row r="1091">
          <cell r="B1091" t="str">
            <v>7101082930</v>
          </cell>
          <cell r="C1091" t="str">
            <v>G2306-2871</v>
          </cell>
          <cell r="D1091" t="str">
            <v>000042944044009163</v>
          </cell>
          <cell r="E1091" t="str">
            <v>高扭矩十字槽螺钉</v>
          </cell>
          <cell r="F1091" t="str">
            <v>S10.2.1201</v>
          </cell>
          <cell r="G1091" t="str">
            <v>-</v>
          </cell>
        </row>
        <row r="1092">
          <cell r="B1092" t="str">
            <v>7101082935</v>
          </cell>
          <cell r="C1092" t="str">
            <v>G2501-0432</v>
          </cell>
          <cell r="D1092" t="str">
            <v>000042944288002486</v>
          </cell>
          <cell r="E1092" t="str">
            <v>六角自锁螺母</v>
          </cell>
          <cell r="F1092" t="str">
            <v>S10.4.1202</v>
          </cell>
          <cell r="G1092" t="str">
            <v>-</v>
          </cell>
        </row>
        <row r="1093">
          <cell r="B1093" t="str">
            <v>7101082940</v>
          </cell>
          <cell r="C1093" t="str">
            <v>G2502-0775</v>
          </cell>
          <cell r="D1093" t="str">
            <v>000042944288125282</v>
          </cell>
          <cell r="E1093" t="str">
            <v>双耳托盘自锁螺母</v>
          </cell>
          <cell r="F1093" t="str">
            <v>019155034901</v>
          </cell>
          <cell r="G1093" t="str">
            <v>-</v>
          </cell>
        </row>
        <row r="1094">
          <cell r="B1094" t="str">
            <v>7101082977</v>
          </cell>
          <cell r="C1094" t="str">
            <v>G2512-0866</v>
          </cell>
          <cell r="D1094" t="str">
            <v>000042944000124887</v>
          </cell>
          <cell r="E1094" t="str">
            <v>锁片</v>
          </cell>
          <cell r="F1094" t="str">
            <v>11S50425</v>
          </cell>
          <cell r="G1094" t="str">
            <v>-</v>
          </cell>
        </row>
        <row r="1095">
          <cell r="B1095" t="str">
            <v>7101082979</v>
          </cell>
          <cell r="C1095" t="str">
            <v>G2512-0866</v>
          </cell>
          <cell r="D1095" t="str">
            <v>000042944000124887</v>
          </cell>
          <cell r="E1095" t="str">
            <v>锁片</v>
          </cell>
          <cell r="F1095" t="str">
            <v>11S50425</v>
          </cell>
          <cell r="G1095" t="str">
            <v>-</v>
          </cell>
        </row>
        <row r="1096">
          <cell r="B1096" t="str">
            <v>7101082980</v>
          </cell>
          <cell r="C1096" t="str">
            <v>G2512-0866</v>
          </cell>
          <cell r="D1096" t="str">
            <v>000042944000124887</v>
          </cell>
          <cell r="E1096" t="str">
            <v>锁片</v>
          </cell>
          <cell r="F1096" t="str">
            <v>11S50425</v>
          </cell>
          <cell r="G1096" t="str">
            <v>-</v>
          </cell>
        </row>
        <row r="1097">
          <cell r="B1097" t="str">
            <v>7101082981</v>
          </cell>
          <cell r="C1097" t="str">
            <v>G2512-0866</v>
          </cell>
          <cell r="D1097" t="str">
            <v>000042944000124887</v>
          </cell>
          <cell r="E1097" t="str">
            <v>锁片</v>
          </cell>
          <cell r="F1097" t="str">
            <v>11S50425</v>
          </cell>
          <cell r="G1097" t="str">
            <v>-</v>
          </cell>
        </row>
        <row r="1098">
          <cell r="B1098" t="str">
            <v>7101082982</v>
          </cell>
          <cell r="C1098" t="str">
            <v>G2512-0866</v>
          </cell>
          <cell r="D1098" t="str">
            <v>000042944000124887</v>
          </cell>
          <cell r="E1098" t="str">
            <v>锁片</v>
          </cell>
          <cell r="F1098" t="str">
            <v>11S50425</v>
          </cell>
          <cell r="G1098" t="str">
            <v>-</v>
          </cell>
        </row>
        <row r="1099">
          <cell r="B1099" t="str">
            <v>7101082983</v>
          </cell>
          <cell r="C1099" t="str">
            <v>G2512-0866</v>
          </cell>
          <cell r="D1099" t="str">
            <v>000042944000124887</v>
          </cell>
          <cell r="E1099" t="str">
            <v>锁片</v>
          </cell>
          <cell r="F1099" t="str">
            <v>11S50425</v>
          </cell>
          <cell r="G1099" t="str">
            <v>-</v>
          </cell>
        </row>
        <row r="1100">
          <cell r="B1100" t="str">
            <v>7101083015</v>
          </cell>
          <cell r="C1100" t="str">
            <v>G2602-1275</v>
          </cell>
          <cell r="D1100" t="str">
            <v>000042944439168810</v>
          </cell>
          <cell r="E1100" t="str">
            <v>垫圈</v>
          </cell>
          <cell r="F1100" t="str">
            <v>QS.15.361</v>
          </cell>
          <cell r="G1100" t="str">
            <v>-</v>
          </cell>
        </row>
        <row r="1101">
          <cell r="B1101" t="str">
            <v>7101083017</v>
          </cell>
          <cell r="C1101" t="str">
            <v>G2602-1275</v>
          </cell>
          <cell r="D1101" t="str">
            <v>000042944439168810</v>
          </cell>
          <cell r="E1101" t="str">
            <v>垫圈</v>
          </cell>
          <cell r="F1101" t="str">
            <v>QS.15.361</v>
          </cell>
          <cell r="G1101" t="str">
            <v>-</v>
          </cell>
        </row>
        <row r="1102">
          <cell r="B1102" t="str">
            <v>7101083086</v>
          </cell>
          <cell r="C1102" t="str">
            <v>G2601-0335</v>
          </cell>
          <cell r="D1102" t="str">
            <v>000042944239153560</v>
          </cell>
          <cell r="E1102" t="str">
            <v>十二角头螺栓</v>
          </cell>
          <cell r="F1102" t="str">
            <v>AETG94(QC500)</v>
          </cell>
          <cell r="G1102" t="str">
            <v>081035</v>
          </cell>
        </row>
        <row r="1103">
          <cell r="B1103" t="str">
            <v>7101083197</v>
          </cell>
          <cell r="C1103" t="str">
            <v>G2512-0296</v>
          </cell>
          <cell r="D1103" t="str">
            <v>000042944288002020</v>
          </cell>
          <cell r="E1103" t="str">
            <v>开槽自锁螺母,十二角,MJ螺纹,螺纹公差带4H6H,镀银,材</v>
          </cell>
          <cell r="F1103" t="str">
            <v>Q/S15.1084-2016</v>
          </cell>
          <cell r="G1103" t="str">
            <v>5</v>
          </cell>
        </row>
        <row r="1104">
          <cell r="B1104" t="str">
            <v>7101083210</v>
          </cell>
          <cell r="C1104" t="str">
            <v>G2512-0168</v>
          </cell>
          <cell r="D1104" t="str">
            <v>000042944288002018</v>
          </cell>
          <cell r="E1104" t="str">
            <v>薄自锁螺母,六角,MJ螺纹,螺纹公差带4H5H,镀银,材料G</v>
          </cell>
          <cell r="F1104" t="str">
            <v>Q/S15.1082-2016</v>
          </cell>
          <cell r="G1104" t="str">
            <v>6</v>
          </cell>
        </row>
        <row r="1105">
          <cell r="B1105" t="str">
            <v>7101083213</v>
          </cell>
          <cell r="C1105" t="str">
            <v>G2512-0168</v>
          </cell>
          <cell r="D1105" t="str">
            <v>000042944288002018</v>
          </cell>
          <cell r="E1105" t="str">
            <v>薄自锁螺母,六角,MJ螺纹,螺纹公差带4H5H,镀银,材料G</v>
          </cell>
          <cell r="F1105" t="str">
            <v>Q/S15.1082-2016</v>
          </cell>
          <cell r="G1105" t="str">
            <v>6</v>
          </cell>
        </row>
        <row r="1106">
          <cell r="B1106" t="str">
            <v>7101083223</v>
          </cell>
          <cell r="C1106" t="str">
            <v>G2601-0492</v>
          </cell>
          <cell r="D1106" t="str">
            <v>000042944288002505</v>
          </cell>
          <cell r="E1106" t="str">
            <v>十二角自锁螺母</v>
          </cell>
          <cell r="F1106" t="str">
            <v>S10.4.1216</v>
          </cell>
          <cell r="G1106" t="str">
            <v>-</v>
          </cell>
        </row>
        <row r="1107">
          <cell r="B1107" t="str">
            <v>7101083227</v>
          </cell>
          <cell r="C1107" t="str">
            <v>G2601-0492</v>
          </cell>
          <cell r="D1107" t="str">
            <v>000042944288002505</v>
          </cell>
          <cell r="E1107" t="str">
            <v>十二角自锁螺母</v>
          </cell>
          <cell r="F1107" t="str">
            <v>S10.4.1216</v>
          </cell>
          <cell r="G1107" t="str">
            <v>-</v>
          </cell>
        </row>
        <row r="1108">
          <cell r="B1108" t="str">
            <v>7101083237</v>
          </cell>
          <cell r="C1108" t="str">
            <v>G2601-0491</v>
          </cell>
          <cell r="D1108" t="str">
            <v>000042944288002505</v>
          </cell>
          <cell r="E1108" t="str">
            <v>十二角自锁螺母</v>
          </cell>
          <cell r="F1108" t="str">
            <v>S10.4.1216</v>
          </cell>
          <cell r="G1108" t="str">
            <v>-</v>
          </cell>
        </row>
        <row r="1109">
          <cell r="B1109" t="str">
            <v>7101083263</v>
          </cell>
          <cell r="C1109" t="str">
            <v>G2103-1642</v>
          </cell>
          <cell r="D1109" t="str">
            <v>000042944288001445</v>
          </cell>
          <cell r="E1109" t="str">
            <v>六角自锁螺母</v>
          </cell>
          <cell r="F1109" t="str">
            <v>2S5124-2013</v>
          </cell>
          <cell r="G1109" t="str">
            <v>4</v>
          </cell>
        </row>
        <row r="1110">
          <cell r="B1110" t="str">
            <v>7101083263</v>
          </cell>
          <cell r="C1110" t="str">
            <v>G2408-0580</v>
          </cell>
          <cell r="D1110" t="str">
            <v>000042944288001445</v>
          </cell>
          <cell r="E1110" t="str">
            <v>六角自锁螺母</v>
          </cell>
          <cell r="F1110" t="str">
            <v>2S5124-2013</v>
          </cell>
          <cell r="G1110" t="str">
            <v>4</v>
          </cell>
        </row>
        <row r="1111">
          <cell r="B1111" t="str">
            <v>7101083518</v>
          </cell>
          <cell r="C1111" t="str">
            <v>G2504-3577</v>
          </cell>
          <cell r="D1111" t="str">
            <v>000042944239117327</v>
          </cell>
          <cell r="E1111" t="str">
            <v>螺栓</v>
          </cell>
          <cell r="F1111" t="str">
            <v>FJ.00.058.B</v>
          </cell>
          <cell r="G1111" t="str">
            <v>-</v>
          </cell>
        </row>
        <row r="1112">
          <cell r="B1112" t="str">
            <v>7101083519</v>
          </cell>
          <cell r="C1112" t="str">
            <v>G2504-3577</v>
          </cell>
          <cell r="D1112" t="str">
            <v>000042944239117327</v>
          </cell>
          <cell r="E1112" t="str">
            <v>螺栓</v>
          </cell>
          <cell r="F1112" t="str">
            <v>FJ.00.058.B</v>
          </cell>
          <cell r="G1112" t="str">
            <v>-</v>
          </cell>
        </row>
        <row r="1113">
          <cell r="B1113" t="str">
            <v>7101083536</v>
          </cell>
          <cell r="C1113" t="str">
            <v>G2602-0338</v>
          </cell>
          <cell r="D1113" t="str">
            <v>000042944360128943</v>
          </cell>
          <cell r="E1113" t="str">
            <v>上缘板后销钉</v>
          </cell>
          <cell r="F1113" t="str">
            <v>ACE16-2022.44.140</v>
          </cell>
          <cell r="G1113" t="str">
            <v>-</v>
          </cell>
        </row>
        <row r="1114">
          <cell r="B1114" t="str">
            <v>7101083539</v>
          </cell>
          <cell r="C1114" t="str">
            <v>G2602-0338</v>
          </cell>
          <cell r="D1114" t="str">
            <v>000042944360128943</v>
          </cell>
          <cell r="E1114" t="str">
            <v>上缘板后销钉</v>
          </cell>
          <cell r="F1114" t="str">
            <v>ACE16-2022.44.140</v>
          </cell>
          <cell r="G1114" t="str">
            <v>-</v>
          </cell>
        </row>
        <row r="1115">
          <cell r="B1115" t="str">
            <v>7101083973</v>
          </cell>
          <cell r="C1115" t="str">
            <v>G2601-0347</v>
          </cell>
          <cell r="D1115" t="str">
            <v>000042944360113297</v>
          </cell>
          <cell r="E1115" t="str">
            <v>止动销</v>
          </cell>
          <cell r="F1115" t="str">
            <v>11S70157</v>
          </cell>
          <cell r="G1115" t="str">
            <v>-</v>
          </cell>
        </row>
        <row r="1116">
          <cell r="B1116" t="str">
            <v>7101083975</v>
          </cell>
          <cell r="C1116" t="str">
            <v>G2601-0347</v>
          </cell>
          <cell r="D1116" t="str">
            <v>000042944360113297</v>
          </cell>
          <cell r="E1116" t="str">
            <v>止动销</v>
          </cell>
          <cell r="F1116" t="str">
            <v>11S70157</v>
          </cell>
          <cell r="G1116" t="str">
            <v>-</v>
          </cell>
        </row>
        <row r="1117">
          <cell r="B1117" t="str">
            <v>7101083977</v>
          </cell>
          <cell r="C1117" t="str">
            <v>G2601-0347</v>
          </cell>
          <cell r="D1117" t="str">
            <v>000042944360113297</v>
          </cell>
          <cell r="E1117" t="str">
            <v>止动销</v>
          </cell>
          <cell r="F1117" t="str">
            <v>11S70157</v>
          </cell>
          <cell r="G1117" t="str">
            <v>-</v>
          </cell>
        </row>
        <row r="1118">
          <cell r="B1118" t="str">
            <v>7101083983</v>
          </cell>
          <cell r="C1118" t="str">
            <v>G2601-0347</v>
          </cell>
          <cell r="D1118" t="str">
            <v>000042944360113297</v>
          </cell>
          <cell r="E1118" t="str">
            <v>止动销</v>
          </cell>
          <cell r="F1118" t="str">
            <v>11S70157</v>
          </cell>
          <cell r="G1118" t="str">
            <v>-</v>
          </cell>
        </row>
        <row r="1119">
          <cell r="B1119" t="str">
            <v>7101083987</v>
          </cell>
          <cell r="C1119" t="str">
            <v>G2602-0365</v>
          </cell>
          <cell r="D1119" t="str">
            <v>000042944404000550</v>
          </cell>
          <cell r="E1119" t="str">
            <v>角型垂直单耳止动垫圈</v>
          </cell>
          <cell r="F1119" t="str">
            <v>Q/S15.1165-2011</v>
          </cell>
          <cell r="G1119" t="str">
            <v>6-12</v>
          </cell>
        </row>
        <row r="1120">
          <cell r="B1120" t="str">
            <v>7101083989</v>
          </cell>
          <cell r="C1120" t="str">
            <v>G2602-0365</v>
          </cell>
          <cell r="D1120" t="str">
            <v>000042944404000550</v>
          </cell>
          <cell r="E1120" t="str">
            <v>角型垂直单耳止动垫圈</v>
          </cell>
          <cell r="F1120" t="str">
            <v>Q/S15.1165-2011</v>
          </cell>
          <cell r="G1120" t="str">
            <v>6-12</v>
          </cell>
        </row>
        <row r="1121">
          <cell r="B1121" t="str">
            <v>7101084361</v>
          </cell>
          <cell r="C1121" t="str">
            <v>G2601-1728</v>
          </cell>
          <cell r="D1121" t="str">
            <v>000042944201159077</v>
          </cell>
          <cell r="E1121" t="str">
            <v>六角头螺栓</v>
          </cell>
          <cell r="F1121" t="str">
            <v>STHF.14.1029</v>
          </cell>
          <cell r="G1121" t="str">
            <v>-</v>
          </cell>
        </row>
        <row r="1122">
          <cell r="B1122" t="str">
            <v>7101084370</v>
          </cell>
          <cell r="C1122" t="str">
            <v>G2512-0307</v>
          </cell>
          <cell r="D1122" t="str">
            <v>000042944239075210</v>
          </cell>
          <cell r="E1122" t="str">
            <v>D头螺栓</v>
          </cell>
          <cell r="F1122" t="str">
            <v>S15.15.1108P</v>
          </cell>
          <cell r="G1122" t="str">
            <v>-</v>
          </cell>
        </row>
        <row r="1123">
          <cell r="B1123" t="str">
            <v>7101084383</v>
          </cell>
          <cell r="C1123" t="str">
            <v>G2506-1921</v>
          </cell>
          <cell r="D1123" t="str">
            <v>000042944239011744</v>
          </cell>
          <cell r="E1123" t="str">
            <v>螺栓</v>
          </cell>
          <cell r="F1123" t="str">
            <v>S10.1.1302</v>
          </cell>
          <cell r="G1123" t="str">
            <v>-</v>
          </cell>
        </row>
        <row r="1124">
          <cell r="B1124" t="str">
            <v>7101084385</v>
          </cell>
          <cell r="C1124" t="str">
            <v>G2506-1921</v>
          </cell>
          <cell r="D1124" t="str">
            <v>000042944239011744</v>
          </cell>
          <cell r="E1124" t="str">
            <v>螺栓</v>
          </cell>
          <cell r="F1124" t="str">
            <v>S10.1.1302</v>
          </cell>
          <cell r="G1124" t="str">
            <v>-</v>
          </cell>
        </row>
        <row r="1125">
          <cell r="B1125" t="str">
            <v>7101084467</v>
          </cell>
          <cell r="C1125" t="str">
            <v>G2602-1799</v>
          </cell>
          <cell r="D1125" t="str">
            <v>000042944366110684</v>
          </cell>
          <cell r="E1125" t="str">
            <v>销轴</v>
          </cell>
          <cell r="F1125" t="str">
            <v>019155018501</v>
          </cell>
          <cell r="G1125" t="str">
            <v>-</v>
          </cell>
        </row>
        <row r="1126">
          <cell r="B1126" t="str">
            <v>7101084468</v>
          </cell>
          <cell r="C1126" t="str">
            <v>G2602-1799</v>
          </cell>
          <cell r="D1126" t="str">
            <v>000042944366110684</v>
          </cell>
          <cell r="E1126" t="str">
            <v>销轴</v>
          </cell>
          <cell r="F1126" t="str">
            <v>019155018501</v>
          </cell>
          <cell r="G1126" t="str">
            <v>-</v>
          </cell>
        </row>
        <row r="1127">
          <cell r="B1127" t="str">
            <v>7101084573</v>
          </cell>
          <cell r="C1127" t="str">
            <v>G2511-0118</v>
          </cell>
          <cell r="D1127" t="str">
            <v>000042944239011753</v>
          </cell>
          <cell r="E1127" t="str">
            <v>螺栓</v>
          </cell>
          <cell r="F1127" t="str">
            <v>S10.1.1407</v>
          </cell>
          <cell r="G1127" t="str">
            <v>-</v>
          </cell>
        </row>
        <row r="1128">
          <cell r="B1128" t="str">
            <v>7101084578</v>
          </cell>
          <cell r="C1128" t="str">
            <v>G2512-1894</v>
          </cell>
          <cell r="D1128" t="str">
            <v>000042944000142061</v>
          </cell>
          <cell r="E1128" t="str">
            <v>孔探座锁片</v>
          </cell>
          <cell r="F1128" t="str">
            <v>STH.15.1203.A</v>
          </cell>
          <cell r="G1128" t="str">
            <v>-</v>
          </cell>
        </row>
        <row r="1129">
          <cell r="B1129" t="str">
            <v>7101084990</v>
          </cell>
          <cell r="C1129" t="str">
            <v>G02511-045</v>
          </cell>
          <cell r="D1129" t="str">
            <v>000042944039037728</v>
          </cell>
          <cell r="E1129" t="str">
            <v>锁紧型有折断槽钢丝螺套</v>
          </cell>
          <cell r="F1129" t="str">
            <v>GJB5109-2002</v>
          </cell>
          <cell r="G1129" t="str">
            <v>5×0.8×6</v>
          </cell>
        </row>
        <row r="1130">
          <cell r="B1130" t="str">
            <v>7101085033</v>
          </cell>
          <cell r="C1130" t="str">
            <v>G2502-0778</v>
          </cell>
          <cell r="D1130" t="str">
            <v>000042944319001884</v>
          </cell>
          <cell r="E1130" t="str">
            <v>托板螺母</v>
          </cell>
          <cell r="F1130" t="str">
            <v>S10.33.1025</v>
          </cell>
          <cell r="G1130" t="str">
            <v>-</v>
          </cell>
        </row>
        <row r="1131">
          <cell r="B1131" t="str">
            <v>7101085034</v>
          </cell>
          <cell r="C1131" t="str">
            <v>G2502-0778</v>
          </cell>
          <cell r="D1131" t="str">
            <v>000042944319001884</v>
          </cell>
          <cell r="E1131" t="str">
            <v>托板螺母</v>
          </cell>
          <cell r="F1131" t="str">
            <v>S10.33.1025</v>
          </cell>
          <cell r="G1131" t="str">
            <v>-</v>
          </cell>
        </row>
        <row r="1132">
          <cell r="B1132" t="str">
            <v>7101085067</v>
          </cell>
          <cell r="C1132" t="str">
            <v>G2504-1556</v>
          </cell>
          <cell r="D1132" t="str">
            <v>000042944000107070</v>
          </cell>
          <cell r="E1132" t="str">
            <v>衬套</v>
          </cell>
          <cell r="F1132" t="str">
            <v>019155005101</v>
          </cell>
          <cell r="G1132" t="str">
            <v>-</v>
          </cell>
        </row>
        <row r="1133">
          <cell r="B1133" t="str">
            <v>7101085069</v>
          </cell>
          <cell r="C1133" t="str">
            <v>G2501-0823</v>
          </cell>
          <cell r="D1133" t="str">
            <v>000042944239002612</v>
          </cell>
          <cell r="E1133" t="str">
            <v>螺栓</v>
          </cell>
          <cell r="F1133" t="str">
            <v>S10.1.1403</v>
          </cell>
          <cell r="G1133" t="str">
            <v>-</v>
          </cell>
        </row>
        <row r="1134">
          <cell r="B1134" t="str">
            <v>7101085069</v>
          </cell>
          <cell r="C1134" t="str">
            <v>G2509-2431</v>
          </cell>
          <cell r="D1134" t="str">
            <v>000042944239002612</v>
          </cell>
          <cell r="E1134" t="str">
            <v>螺栓</v>
          </cell>
          <cell r="F1134" t="str">
            <v>S10.1.1403</v>
          </cell>
          <cell r="G1134" t="str">
            <v>-</v>
          </cell>
        </row>
        <row r="1135">
          <cell r="B1135" t="str">
            <v>7101085070</v>
          </cell>
          <cell r="C1135" t="str">
            <v>G2306-2851</v>
          </cell>
          <cell r="D1135" t="str">
            <v>000042944239002612</v>
          </cell>
          <cell r="E1135" t="str">
            <v>螺栓</v>
          </cell>
          <cell r="F1135" t="str">
            <v>S10.1.1403</v>
          </cell>
          <cell r="G1135" t="str">
            <v>-</v>
          </cell>
        </row>
        <row r="1136">
          <cell r="B1136" t="str">
            <v>7101085086</v>
          </cell>
          <cell r="C1136" t="str">
            <v>G2506-0248</v>
          </cell>
          <cell r="D1136" t="str">
            <v>000042944239002612</v>
          </cell>
          <cell r="E1136" t="str">
            <v>螺栓</v>
          </cell>
          <cell r="F1136" t="str">
            <v>S10.1.1403</v>
          </cell>
          <cell r="G1136" t="str">
            <v>-</v>
          </cell>
        </row>
        <row r="1137">
          <cell r="B1137" t="str">
            <v>7101085086</v>
          </cell>
          <cell r="C1137" t="str">
            <v>G2509-2431</v>
          </cell>
          <cell r="D1137" t="str">
            <v>000042944239002612</v>
          </cell>
          <cell r="E1137" t="str">
            <v>螺栓</v>
          </cell>
          <cell r="F1137" t="str">
            <v>S10.1.1403</v>
          </cell>
          <cell r="G1137" t="str">
            <v>-</v>
          </cell>
        </row>
        <row r="1138">
          <cell r="B1138" t="str">
            <v>7101085087</v>
          </cell>
          <cell r="C1138" t="str">
            <v>G2306-2851</v>
          </cell>
          <cell r="D1138" t="str">
            <v>000042944239002612</v>
          </cell>
          <cell r="E1138" t="str">
            <v>螺栓</v>
          </cell>
          <cell r="F1138" t="str">
            <v>S10.1.1403</v>
          </cell>
          <cell r="G1138" t="str">
            <v>-</v>
          </cell>
        </row>
        <row r="1139">
          <cell r="B1139" t="str">
            <v>71010850871</v>
          </cell>
          <cell r="C1139" t="str">
            <v>G2509-2431</v>
          </cell>
          <cell r="D1139" t="str">
            <v>000042944239002612</v>
          </cell>
          <cell r="E1139" t="str">
            <v>螺栓</v>
          </cell>
          <cell r="F1139" t="str">
            <v>S10.1.1403</v>
          </cell>
          <cell r="G1139" t="str">
            <v>-</v>
          </cell>
        </row>
        <row r="1140">
          <cell r="B1140" t="str">
            <v>71010850872</v>
          </cell>
          <cell r="C1140" t="str">
            <v>G2507-1946</v>
          </cell>
          <cell r="D1140" t="str">
            <v>000042944239002612</v>
          </cell>
          <cell r="E1140" t="str">
            <v>螺栓</v>
          </cell>
          <cell r="F1140" t="str">
            <v>S10.1.1403</v>
          </cell>
          <cell r="G1140" t="str">
            <v>-</v>
          </cell>
        </row>
        <row r="1141">
          <cell r="B1141" t="str">
            <v>7101085194</v>
          </cell>
          <cell r="C1141" t="str">
            <v>G2603-0650</v>
          </cell>
          <cell r="D1141" t="str">
            <v>000042944000100880</v>
          </cell>
          <cell r="E1141" t="str">
            <v>芯轴</v>
          </cell>
          <cell r="F1141" t="str">
            <v>S20.00.2043</v>
          </cell>
          <cell r="G1141" t="str">
            <v>-</v>
          </cell>
        </row>
        <row r="1142">
          <cell r="B1142" t="str">
            <v>7101085194</v>
          </cell>
          <cell r="C1142" t="str">
            <v>G2603-0651</v>
          </cell>
          <cell r="D1142" t="str">
            <v>000042944000100881</v>
          </cell>
          <cell r="E1142" t="str">
            <v>套筒</v>
          </cell>
          <cell r="F1142" t="str">
            <v>S20.00.2044(B版)</v>
          </cell>
          <cell r="G1142" t="str">
            <v>-</v>
          </cell>
        </row>
        <row r="1143">
          <cell r="B1143" t="str">
            <v>7101085400</v>
          </cell>
          <cell r="C1143" t="str">
            <v>G2511-0114</v>
          </cell>
          <cell r="D1143" t="str">
            <v>000042944239011703</v>
          </cell>
          <cell r="E1143" t="str">
            <v>十二角头螺栓</v>
          </cell>
          <cell r="F1143" t="str">
            <v>S10.1.1204</v>
          </cell>
          <cell r="G1143" t="str">
            <v>-</v>
          </cell>
        </row>
        <row r="1144">
          <cell r="B1144" t="str">
            <v>7101085403</v>
          </cell>
          <cell r="C1144" t="str">
            <v>G2511-0114</v>
          </cell>
          <cell r="D1144" t="str">
            <v>000042944239011703</v>
          </cell>
          <cell r="E1144" t="str">
            <v>十二角头螺栓</v>
          </cell>
          <cell r="F1144" t="str">
            <v>S10.1.1204</v>
          </cell>
          <cell r="G1144" t="str">
            <v>-</v>
          </cell>
        </row>
        <row r="1145">
          <cell r="B1145" t="str">
            <v>7101085406</v>
          </cell>
          <cell r="C1145" t="str">
            <v>G2511-0114</v>
          </cell>
          <cell r="D1145" t="str">
            <v>000042944239011703</v>
          </cell>
          <cell r="E1145" t="str">
            <v>十二角头螺栓</v>
          </cell>
          <cell r="F1145" t="str">
            <v>S10.1.1204</v>
          </cell>
          <cell r="G1145" t="str">
            <v>-</v>
          </cell>
        </row>
        <row r="1146">
          <cell r="B1146" t="str">
            <v>7101085449</v>
          </cell>
          <cell r="C1146" t="str">
            <v>G2507-1148</v>
          </cell>
          <cell r="D1146" t="str">
            <v>000042944288153581</v>
          </cell>
          <cell r="E1146" t="str">
            <v>十角自锁螺母</v>
          </cell>
          <cell r="F1146" t="str">
            <v>AETG152(QC500)</v>
          </cell>
          <cell r="G1146" t="str">
            <v>0610</v>
          </cell>
        </row>
        <row r="1147">
          <cell r="B1147" t="str">
            <v>7101085476</v>
          </cell>
          <cell r="C1147" t="str">
            <v>G2512-0298</v>
          </cell>
          <cell r="D1147" t="str">
            <v>000042944319075213</v>
          </cell>
          <cell r="E1147" t="str">
            <v>托板螺母</v>
          </cell>
          <cell r="F1147" t="str">
            <v>S15.15.1155P</v>
          </cell>
          <cell r="G1147" t="str">
            <v>-</v>
          </cell>
        </row>
        <row r="1148">
          <cell r="B1148" t="str">
            <v>7101085477</v>
          </cell>
          <cell r="C1148" t="str">
            <v>G2512-0298</v>
          </cell>
          <cell r="D1148" t="str">
            <v>000042944319075213</v>
          </cell>
          <cell r="E1148" t="str">
            <v>托板螺母</v>
          </cell>
          <cell r="F1148" t="str">
            <v>S15.15.1155P</v>
          </cell>
          <cell r="G1148" t="str">
            <v>-</v>
          </cell>
        </row>
        <row r="1149">
          <cell r="B1149" t="str">
            <v>7101085479</v>
          </cell>
          <cell r="C1149" t="str">
            <v>G2512-0298</v>
          </cell>
          <cell r="D1149" t="str">
            <v>000042944319075213</v>
          </cell>
          <cell r="E1149" t="str">
            <v>托板螺母</v>
          </cell>
          <cell r="F1149" t="str">
            <v>S15.15.1155P</v>
          </cell>
          <cell r="G1149" t="str">
            <v>-</v>
          </cell>
        </row>
        <row r="1150">
          <cell r="B1150" t="str">
            <v>7101085491</v>
          </cell>
          <cell r="C1150" t="str">
            <v>G2511-0554</v>
          </cell>
          <cell r="D1150" t="str">
            <v>000042944288002636</v>
          </cell>
          <cell r="E1150" t="str">
            <v>自锁螺母</v>
          </cell>
          <cell r="F1150" t="str">
            <v>TY04-0873</v>
          </cell>
          <cell r="G1150" t="str">
            <v>-</v>
          </cell>
        </row>
        <row r="1151">
          <cell r="B1151" t="str">
            <v>7101085509</v>
          </cell>
          <cell r="C1151" t="str">
            <v>G2509-1959</v>
          </cell>
          <cell r="D1151" t="str">
            <v>000042944000159101</v>
          </cell>
          <cell r="E1151" t="str">
            <v>调整垫片</v>
          </cell>
          <cell r="F1151" t="str">
            <v>STHF.30.1013</v>
          </cell>
          <cell r="G1151" t="str">
            <v>5.4</v>
          </cell>
        </row>
        <row r="1152">
          <cell r="B1152" t="str">
            <v>7101085539</v>
          </cell>
          <cell r="C1152" t="str">
            <v>G2511-1510</v>
          </cell>
          <cell r="D1152" t="str">
            <v>000042944360153218</v>
          </cell>
          <cell r="E1152" t="str">
            <v>销钉1</v>
          </cell>
          <cell r="F1152" t="str">
            <v>J4646-313</v>
          </cell>
          <cell r="G1152" t="str">
            <v>-</v>
          </cell>
        </row>
        <row r="1153">
          <cell r="B1153" t="str">
            <v>7101085540</v>
          </cell>
          <cell r="C1153" t="str">
            <v>G2509-1957</v>
          </cell>
          <cell r="D1153" t="str">
            <v>000042944000159099</v>
          </cell>
          <cell r="E1153" t="str">
            <v>调整垫片</v>
          </cell>
          <cell r="F1153" t="str">
            <v>STHF.30.1013</v>
          </cell>
          <cell r="G1153" t="str">
            <v>5</v>
          </cell>
        </row>
        <row r="1154">
          <cell r="B1154" t="str">
            <v>7101085542</v>
          </cell>
          <cell r="C1154" t="str">
            <v>G2601-1202</v>
          </cell>
          <cell r="D1154" t="str">
            <v>000042944239139844</v>
          </cell>
          <cell r="E1154" t="str">
            <v>十二角头螺栓</v>
          </cell>
          <cell r="F1154" t="str">
            <v>AETG201</v>
          </cell>
          <cell r="G1154" t="str">
            <v>101228</v>
          </cell>
        </row>
        <row r="1155">
          <cell r="B1155" t="str">
            <v>7101085543</v>
          </cell>
          <cell r="C1155" t="str">
            <v>G2601-1202</v>
          </cell>
          <cell r="D1155" t="str">
            <v>000042944239139844</v>
          </cell>
          <cell r="E1155" t="str">
            <v>十二角头螺栓</v>
          </cell>
          <cell r="F1155" t="str">
            <v>AETG201</v>
          </cell>
          <cell r="G1155" t="str">
            <v>101228</v>
          </cell>
        </row>
        <row r="1156">
          <cell r="B1156" t="str">
            <v>7101085546</v>
          </cell>
          <cell r="C1156" t="str">
            <v>G2601-0342</v>
          </cell>
          <cell r="D1156" t="str">
            <v>000042944288129149</v>
          </cell>
          <cell r="E1156" t="str">
            <v>十二角自锁螺母</v>
          </cell>
          <cell r="F1156" t="str">
            <v>11S40208</v>
          </cell>
          <cell r="G1156" t="str">
            <v>-</v>
          </cell>
        </row>
        <row r="1157">
          <cell r="B1157" t="str">
            <v>7101085546</v>
          </cell>
          <cell r="C1157" t="str">
            <v>G2601-0342</v>
          </cell>
          <cell r="D1157" t="str">
            <v>000042944288129149</v>
          </cell>
          <cell r="E1157" t="str">
            <v>十二角自锁螺母</v>
          </cell>
          <cell r="F1157" t="str">
            <v>11S40208</v>
          </cell>
          <cell r="G1157" t="str">
            <v>-</v>
          </cell>
        </row>
        <row r="1158">
          <cell r="B1158" t="str">
            <v>7101085550</v>
          </cell>
          <cell r="C1158" t="str">
            <v>G2509-1958</v>
          </cell>
          <cell r="D1158" t="str">
            <v>000042944000159100</v>
          </cell>
          <cell r="E1158" t="str">
            <v>调整垫片</v>
          </cell>
          <cell r="F1158" t="str">
            <v>STHF.30.1013</v>
          </cell>
          <cell r="G1158" t="str">
            <v>5.2</v>
          </cell>
        </row>
        <row r="1159">
          <cell r="B1159" t="str">
            <v>7101085561</v>
          </cell>
          <cell r="C1159" t="str">
            <v>G2601-0974</v>
          </cell>
          <cell r="D1159" t="str">
            <v>000042944288146391</v>
          </cell>
          <cell r="E1159" t="str">
            <v>十角自锁螺母</v>
          </cell>
          <cell r="F1159" t="str">
            <v>AETG202</v>
          </cell>
          <cell r="G1159" t="str">
            <v>0810</v>
          </cell>
        </row>
        <row r="1160">
          <cell r="B1160" t="str">
            <v>7101085562</v>
          </cell>
          <cell r="C1160" t="str">
            <v>G2601-0974</v>
          </cell>
          <cell r="D1160" t="str">
            <v>000042944288146391</v>
          </cell>
          <cell r="E1160" t="str">
            <v>十角自锁螺母</v>
          </cell>
          <cell r="F1160" t="str">
            <v>AETG202</v>
          </cell>
          <cell r="G1160" t="str">
            <v>0810</v>
          </cell>
        </row>
        <row r="1161">
          <cell r="B1161" t="str">
            <v>7101085564</v>
          </cell>
          <cell r="C1161" t="str">
            <v>G2601-0343</v>
          </cell>
          <cell r="D1161" t="str">
            <v>000042944288153558</v>
          </cell>
          <cell r="E1161" t="str">
            <v>十角自锁螺母</v>
          </cell>
          <cell r="F1161" t="str">
            <v>AETG152(QC500)</v>
          </cell>
          <cell r="G1161" t="str">
            <v>0810</v>
          </cell>
        </row>
        <row r="1162">
          <cell r="B1162" t="str">
            <v>7101085567</v>
          </cell>
          <cell r="C1162" t="str">
            <v>G2509-1955</v>
          </cell>
          <cell r="D1162" t="str">
            <v>000042944000159097</v>
          </cell>
          <cell r="E1162" t="str">
            <v>调整垫片</v>
          </cell>
          <cell r="F1162" t="str">
            <v>STHF.30.1013</v>
          </cell>
          <cell r="G1162" t="str">
            <v>4.6</v>
          </cell>
        </row>
        <row r="1163">
          <cell r="B1163" t="str">
            <v>7101085581</v>
          </cell>
          <cell r="C1163" t="str">
            <v>G2509-3103</v>
          </cell>
          <cell r="D1163" t="str">
            <v>000042944239011747</v>
          </cell>
          <cell r="E1163" t="str">
            <v>盘前螺栓</v>
          </cell>
          <cell r="F1163" t="str">
            <v>S10.1.1401</v>
          </cell>
          <cell r="G1163" t="str">
            <v>-</v>
          </cell>
        </row>
        <row r="1164">
          <cell r="B1164" t="str">
            <v>7101085583</v>
          </cell>
          <cell r="C1164" t="str">
            <v>G2509-3103</v>
          </cell>
          <cell r="D1164" t="str">
            <v>000042944239011747</v>
          </cell>
          <cell r="E1164" t="str">
            <v>盘前螺栓</v>
          </cell>
          <cell r="F1164" t="str">
            <v>S10.1.1401</v>
          </cell>
          <cell r="G1164" t="str">
            <v>-</v>
          </cell>
        </row>
        <row r="1165">
          <cell r="B1165" t="str">
            <v>7101085592</v>
          </cell>
          <cell r="C1165" t="str">
            <v>G2601-0316</v>
          </cell>
          <cell r="D1165" t="str">
            <v>000042944000117336</v>
          </cell>
          <cell r="E1165" t="str">
            <v>一至四级孔探座</v>
          </cell>
          <cell r="F1165" t="str">
            <v>FJ.15.088.B</v>
          </cell>
          <cell r="G1165" t="str">
            <v>-</v>
          </cell>
        </row>
        <row r="1166">
          <cell r="B1166" t="str">
            <v>7101085610</v>
          </cell>
          <cell r="C1166" t="str">
            <v>G2511-1512</v>
          </cell>
          <cell r="D1166" t="str">
            <v>000042944360153220</v>
          </cell>
          <cell r="E1166" t="str">
            <v>销钉3</v>
          </cell>
          <cell r="F1166" t="str">
            <v>J4646-315</v>
          </cell>
          <cell r="G1166" t="str">
            <v>-</v>
          </cell>
        </row>
        <row r="1167">
          <cell r="B1167" t="str">
            <v>7101057065</v>
          </cell>
          <cell r="C1167" t="str">
            <v>G2504-1682</v>
          </cell>
          <cell r="D1167" t="str">
            <v>000042944401041117</v>
          </cell>
          <cell r="E1167" t="str">
            <v>孔用弹性挡圈</v>
          </cell>
          <cell r="F1167" t="str">
            <v>11S50188</v>
          </cell>
          <cell r="G1167" t="str">
            <v>-</v>
          </cell>
        </row>
        <row r="1168">
          <cell r="B1168" t="str">
            <v>7101057620</v>
          </cell>
          <cell r="C1168" t="str">
            <v>G2511-0700</v>
          </cell>
          <cell r="D1168" t="str">
            <v>000042944288002505</v>
          </cell>
          <cell r="E1168" t="str">
            <v>十二角自锁螺母</v>
          </cell>
          <cell r="F1168" t="str">
            <v>S10.4.1216</v>
          </cell>
          <cell r="G1168" t="str">
            <v>-</v>
          </cell>
        </row>
        <row r="1169">
          <cell r="B1169" t="str">
            <v>7101057706</v>
          </cell>
          <cell r="C1169" t="str">
            <v>G2509-1285</v>
          </cell>
          <cell r="D1169" t="str">
            <v>000042944404000548</v>
          </cell>
          <cell r="E1169" t="str">
            <v>角形垂直单耳止动垫圈</v>
          </cell>
          <cell r="F1169" t="str">
            <v>Q/S15.1165-2011</v>
          </cell>
          <cell r="G1169" t="str">
            <v>5-10</v>
          </cell>
        </row>
        <row r="1170">
          <cell r="B1170" t="str">
            <v>7101057706</v>
          </cell>
          <cell r="C1170" t="str">
            <v>G2512-0466</v>
          </cell>
          <cell r="D1170" t="str">
            <v>000042944404000548</v>
          </cell>
          <cell r="E1170" t="str">
            <v>角形垂直单耳止动垫圈</v>
          </cell>
          <cell r="F1170" t="str">
            <v>Q/S15.1165-2011</v>
          </cell>
          <cell r="G1170" t="str">
            <v>5-10</v>
          </cell>
        </row>
        <row r="1171">
          <cell r="B1171" t="str">
            <v>7101057752</v>
          </cell>
          <cell r="C1171" t="str">
            <v>G2403-1088</v>
          </cell>
          <cell r="D1171" t="str">
            <v>000042944201017713</v>
          </cell>
          <cell r="E1171" t="str">
            <v>六角头螺栓</v>
          </cell>
          <cell r="F1171" t="str">
            <v>ΦDU5045</v>
          </cell>
          <cell r="G1171" t="str">
            <v>-</v>
          </cell>
        </row>
        <row r="1172">
          <cell r="B1172" t="str">
            <v>7101057762</v>
          </cell>
          <cell r="C1172" t="str">
            <v>G2401-2414</v>
          </cell>
          <cell r="D1172" t="str">
            <v>000042944439127333</v>
          </cell>
          <cell r="E1172" t="str">
            <v>垫片</v>
          </cell>
          <cell r="F1172" t="str">
            <v>D28.06.060071</v>
          </cell>
          <cell r="G1172" t="str">
            <v>-</v>
          </cell>
        </row>
        <row r="1173">
          <cell r="B1173" t="str">
            <v>7101057764</v>
          </cell>
          <cell r="C1173" t="str">
            <v>G2507-1183</v>
          </cell>
          <cell r="D1173" t="str">
            <v>000042944439127335</v>
          </cell>
          <cell r="E1173" t="str">
            <v>垫片</v>
          </cell>
          <cell r="F1173" t="str">
            <v>D28.06.061387</v>
          </cell>
          <cell r="G1173" t="str">
            <v>-</v>
          </cell>
        </row>
        <row r="1174">
          <cell r="B1174" t="str">
            <v>7101057786</v>
          </cell>
          <cell r="C1174" t="str">
            <v>G2406-1765</v>
          </cell>
          <cell r="D1174" t="str">
            <v>000036900000040572</v>
          </cell>
          <cell r="E1174" t="str">
            <v>密封圈</v>
          </cell>
          <cell r="F1174" t="str">
            <v>11S00016</v>
          </cell>
          <cell r="G1174" t="str">
            <v>-</v>
          </cell>
        </row>
        <row r="1175">
          <cell r="B1175" t="str">
            <v>7101058280</v>
          </cell>
          <cell r="C1175" t="str">
            <v>G2510-0354</v>
          </cell>
          <cell r="D1175" t="str">
            <v>000042944000125319</v>
          </cell>
          <cell r="E1175" t="str">
            <v>定距套F</v>
          </cell>
          <cell r="F1175" t="str">
            <v>019154161502</v>
          </cell>
          <cell r="G1175" t="str">
            <v>-</v>
          </cell>
        </row>
        <row r="1176">
          <cell r="B1176" t="str">
            <v>7101058494</v>
          </cell>
          <cell r="C1176" t="str">
            <v>G2504-2608</v>
          </cell>
          <cell r="D1176" t="str">
            <v>000036900000040573</v>
          </cell>
          <cell r="E1176" t="str">
            <v>密封圈</v>
          </cell>
          <cell r="F1176" t="str">
            <v>11S00037</v>
          </cell>
          <cell r="G1176" t="str">
            <v>-</v>
          </cell>
        </row>
        <row r="1177">
          <cell r="B1177" t="str">
            <v>7101058496</v>
          </cell>
          <cell r="C1177" t="str">
            <v>G2504-2608</v>
          </cell>
          <cell r="D1177" t="str">
            <v>000036900000040573</v>
          </cell>
          <cell r="E1177" t="str">
            <v>密封圈</v>
          </cell>
          <cell r="F1177" t="str">
            <v>11S00037</v>
          </cell>
          <cell r="G1177" t="str">
            <v>-</v>
          </cell>
        </row>
        <row r="1178">
          <cell r="B1178" t="str">
            <v>7101058499</v>
          </cell>
          <cell r="C1178" t="str">
            <v>G2504-2608</v>
          </cell>
          <cell r="D1178" t="str">
            <v>000036900000040573</v>
          </cell>
          <cell r="E1178" t="str">
            <v>密封圈</v>
          </cell>
          <cell r="F1178" t="str">
            <v>11S00037</v>
          </cell>
          <cell r="G1178" t="str">
            <v>-</v>
          </cell>
        </row>
        <row r="1179">
          <cell r="B1179" t="str">
            <v>7101058587</v>
          </cell>
          <cell r="C1179" t="str">
            <v>G2503-0276</v>
          </cell>
          <cell r="D1179" t="str">
            <v>000042944201110908</v>
          </cell>
          <cell r="E1179" t="str">
            <v>六角头螺栓</v>
          </cell>
          <cell r="F1179" t="str">
            <v>11S10444</v>
          </cell>
          <cell r="G1179" t="str">
            <v>-</v>
          </cell>
        </row>
        <row r="1180">
          <cell r="B1180" t="str">
            <v>7101058587</v>
          </cell>
          <cell r="C1180" t="str">
            <v>G2503-0276</v>
          </cell>
          <cell r="D1180" t="str">
            <v>000042944201110908</v>
          </cell>
          <cell r="E1180" t="str">
            <v>六角头螺栓</v>
          </cell>
          <cell r="F1180" t="str">
            <v>11S10444</v>
          </cell>
          <cell r="G1180" t="str">
            <v>-</v>
          </cell>
        </row>
        <row r="1181">
          <cell r="B1181" t="str">
            <v>7101058587</v>
          </cell>
          <cell r="C1181" t="str">
            <v>G2503-0276</v>
          </cell>
          <cell r="D1181" t="str">
            <v>000042944201110908</v>
          </cell>
          <cell r="E1181" t="str">
            <v>六角头螺栓</v>
          </cell>
          <cell r="F1181" t="str">
            <v>11S10444</v>
          </cell>
          <cell r="G1181" t="str">
            <v>-</v>
          </cell>
        </row>
        <row r="1182">
          <cell r="B1182" t="str">
            <v>7101058607</v>
          </cell>
          <cell r="C1182" t="str">
            <v>G2504-0162</v>
          </cell>
          <cell r="D1182" t="str">
            <v>000042944360113861</v>
          </cell>
          <cell r="E1182" t="str">
            <v>回油销</v>
          </cell>
          <cell r="F1182" t="str">
            <v>019111001601</v>
          </cell>
          <cell r="G1182" t="str">
            <v>-</v>
          </cell>
        </row>
        <row r="1183">
          <cell r="B1183" t="str">
            <v>7101058640</v>
          </cell>
          <cell r="C1183" t="str">
            <v>G2505-1884</v>
          </cell>
          <cell r="D1183" t="str">
            <v>000042944288000017</v>
          </cell>
          <cell r="E1183" t="str">
            <v>六角自锁螺母</v>
          </cell>
          <cell r="F1183" t="str">
            <v>11S40100</v>
          </cell>
          <cell r="G1183" t="str">
            <v>-</v>
          </cell>
        </row>
        <row r="1184">
          <cell r="B1184" t="str">
            <v>7101058980</v>
          </cell>
          <cell r="C1184" t="str">
            <v>G2509-2754</v>
          </cell>
          <cell r="D1184" t="str">
            <v>000042944040002770</v>
          </cell>
          <cell r="E1184" t="str">
            <v>TC4钛合金六角头螺钉</v>
          </cell>
          <cell r="F1184" t="str">
            <v>HB6566-1992</v>
          </cell>
          <cell r="G1184" t="str">
            <v>MJ6×1×16Y</v>
          </cell>
        </row>
        <row r="1185">
          <cell r="B1185" t="str">
            <v>7101058981</v>
          </cell>
          <cell r="C1185" t="str">
            <v>G2509-2754</v>
          </cell>
          <cell r="D1185" t="str">
            <v>000042944040002770</v>
          </cell>
          <cell r="E1185" t="str">
            <v>TC4钛合金六角头螺钉</v>
          </cell>
          <cell r="F1185" t="str">
            <v>HB6566-1992</v>
          </cell>
          <cell r="G1185" t="str">
            <v>MJ6×1×16Y</v>
          </cell>
        </row>
        <row r="1186">
          <cell r="B1186" t="str">
            <v>7101058982</v>
          </cell>
          <cell r="C1186" t="str">
            <v>G2509-2754</v>
          </cell>
          <cell r="D1186" t="str">
            <v>000042944040002770</v>
          </cell>
          <cell r="E1186" t="str">
            <v>TC4钛合金六角头螺钉</v>
          </cell>
          <cell r="F1186" t="str">
            <v>HB6566-1992</v>
          </cell>
          <cell r="G1186" t="str">
            <v>MJ6×1×16Y</v>
          </cell>
        </row>
        <row r="1187">
          <cell r="B1187" t="str">
            <v>7101059263</v>
          </cell>
          <cell r="C1187" t="str">
            <v>G2504-3982</v>
          </cell>
          <cell r="D1187" t="str">
            <v>000042944239102912</v>
          </cell>
          <cell r="E1187" t="str">
            <v>十二齿花键螺栓</v>
          </cell>
          <cell r="F1187" t="str">
            <v>Q/2S5021-2008</v>
          </cell>
          <cell r="G1187" t="str">
            <v>6-32</v>
          </cell>
        </row>
        <row r="1188">
          <cell r="B1188" t="str">
            <v>7101059300</v>
          </cell>
          <cell r="C1188" t="str">
            <v>G2512-0325</v>
          </cell>
          <cell r="D1188" t="str">
            <v>000042944401001328</v>
          </cell>
          <cell r="E1188" t="str">
            <v>平垫圈</v>
          </cell>
          <cell r="F1188" t="str">
            <v>Q/S15.1157-2011</v>
          </cell>
          <cell r="G1188" t="str">
            <v>C-8.5-15-1</v>
          </cell>
        </row>
        <row r="1189">
          <cell r="B1189" t="str">
            <v>7101059393</v>
          </cell>
          <cell r="C1189" t="str">
            <v>G2207-1365</v>
          </cell>
          <cell r="D1189" t="str">
            <v>000042944439102921</v>
          </cell>
          <cell r="E1189" t="str">
            <v>垫圈</v>
          </cell>
          <cell r="F1189" t="str">
            <v>S10.5.1151</v>
          </cell>
          <cell r="G1189" t="str">
            <v>-</v>
          </cell>
        </row>
        <row r="1190">
          <cell r="B1190" t="str">
            <v>7101059394</v>
          </cell>
          <cell r="C1190" t="str">
            <v>G2411-0470</v>
          </cell>
          <cell r="D1190" t="str">
            <v>000042944239102917</v>
          </cell>
          <cell r="E1190" t="str">
            <v>螺栓</v>
          </cell>
          <cell r="F1190" t="str">
            <v>S10.1.1153</v>
          </cell>
          <cell r="G1190" t="str">
            <v>-</v>
          </cell>
        </row>
        <row r="1191">
          <cell r="B1191" t="str">
            <v>7101059478</v>
          </cell>
          <cell r="C1191" t="str">
            <v>G2503-0276</v>
          </cell>
          <cell r="D1191" t="str">
            <v>000042944201110908</v>
          </cell>
          <cell r="E1191" t="str">
            <v>六角头螺栓</v>
          </cell>
          <cell r="F1191" t="str">
            <v>11S10444</v>
          </cell>
          <cell r="G1191" t="str">
            <v>-</v>
          </cell>
        </row>
        <row r="1192">
          <cell r="B1192" t="str">
            <v>7101059486</v>
          </cell>
          <cell r="C1192" t="str">
            <v>G2508-1373</v>
          </cell>
          <cell r="D1192" t="str">
            <v>000042944360127104</v>
          </cell>
          <cell r="E1192" t="str">
            <v>销子</v>
          </cell>
          <cell r="F1192" t="str">
            <v>019155019001</v>
          </cell>
          <cell r="G1192" t="str">
            <v>-</v>
          </cell>
        </row>
        <row r="1193">
          <cell r="B1193" t="str">
            <v>7101059564</v>
          </cell>
          <cell r="C1193" t="str">
            <v>G2508-1777</v>
          </cell>
          <cell r="D1193" t="str">
            <v>000042944239157225</v>
          </cell>
          <cell r="E1193" t="str">
            <v>螺栓</v>
          </cell>
          <cell r="F1193" t="str">
            <v>S15.15.1119P</v>
          </cell>
          <cell r="G1193" t="str">
            <v>-</v>
          </cell>
        </row>
        <row r="1194">
          <cell r="B1194" t="str">
            <v>7101059570</v>
          </cell>
          <cell r="C1194" t="str">
            <v>G2508-2344</v>
          </cell>
          <cell r="D1194" t="str">
            <v>000042944239070159</v>
          </cell>
          <cell r="E1194" t="str">
            <v>盘后平衡螺栓</v>
          </cell>
          <cell r="F1194" t="str">
            <v>S15.44.1081P</v>
          </cell>
          <cell r="G1194" t="str">
            <v>-</v>
          </cell>
        </row>
        <row r="1195">
          <cell r="B1195" t="str">
            <v>7101059572</v>
          </cell>
          <cell r="C1195" t="str">
            <v>G2508-2344</v>
          </cell>
          <cell r="D1195" t="str">
            <v>000042944239070159</v>
          </cell>
          <cell r="E1195" t="str">
            <v>盘后平衡螺栓</v>
          </cell>
          <cell r="F1195" t="str">
            <v>S15.44.1081P</v>
          </cell>
          <cell r="G1195" t="str">
            <v>-</v>
          </cell>
        </row>
        <row r="1196">
          <cell r="B1196" t="str">
            <v>7101059576</v>
          </cell>
          <cell r="C1196" t="str">
            <v>G2508-1777</v>
          </cell>
          <cell r="D1196" t="str">
            <v>000042944239157225</v>
          </cell>
          <cell r="E1196" t="str">
            <v>螺栓</v>
          </cell>
          <cell r="F1196" t="str">
            <v>S15.15.1119P</v>
          </cell>
          <cell r="G1196" t="str">
            <v>-</v>
          </cell>
        </row>
        <row r="1197">
          <cell r="B1197" t="str">
            <v>7101059578</v>
          </cell>
          <cell r="C1197" t="str">
            <v>G2508-1777</v>
          </cell>
          <cell r="D1197" t="str">
            <v>000042944239157225</v>
          </cell>
          <cell r="E1197" t="str">
            <v>螺栓</v>
          </cell>
          <cell r="F1197" t="str">
            <v>S15.15.1119P</v>
          </cell>
          <cell r="G1197" t="str">
            <v>-</v>
          </cell>
        </row>
        <row r="1198">
          <cell r="B1198" t="str">
            <v>7101059580</v>
          </cell>
          <cell r="C1198" t="str">
            <v>G2402-1239</v>
          </cell>
          <cell r="D1198" t="str">
            <v>000042944000114546</v>
          </cell>
          <cell r="E1198" t="str">
            <v>盘前平衡块</v>
          </cell>
          <cell r="F1198" t="str">
            <v>S15.44.1076U</v>
          </cell>
          <cell r="G1198" t="str">
            <v>Ⅰ</v>
          </cell>
        </row>
        <row r="1199">
          <cell r="B1199" t="str">
            <v>7101059583</v>
          </cell>
          <cell r="C1199" t="str">
            <v>G2509-2054</v>
          </cell>
          <cell r="D1199" t="str">
            <v>000042944239070158</v>
          </cell>
          <cell r="E1199" t="str">
            <v>盘后螺栓</v>
          </cell>
          <cell r="F1199" t="str">
            <v>S15.44.1080P</v>
          </cell>
          <cell r="G1199" t="str">
            <v>-</v>
          </cell>
        </row>
        <row r="1200">
          <cell r="B1200" t="str">
            <v>7101059621</v>
          </cell>
          <cell r="C1200" t="str">
            <v>G2505-0335</v>
          </cell>
          <cell r="D1200" t="str">
            <v>000036200000061556</v>
          </cell>
          <cell r="E1200" t="str">
            <v>密封圈</v>
          </cell>
          <cell r="F1200" t="str">
            <v>11S00166</v>
          </cell>
          <cell r="G1200" t="str">
            <v>-</v>
          </cell>
        </row>
        <row r="1201">
          <cell r="B1201" t="str">
            <v>7101059665</v>
          </cell>
          <cell r="C1201" t="str">
            <v>G2508-0896</v>
          </cell>
          <cell r="D1201" t="str">
            <v>000036900000040571</v>
          </cell>
          <cell r="E1201" t="str">
            <v>密封圈</v>
          </cell>
          <cell r="F1201" t="str">
            <v>11S00015</v>
          </cell>
          <cell r="G1201" t="str">
            <v>-</v>
          </cell>
        </row>
        <row r="1202">
          <cell r="B1202" t="str">
            <v>7101059665</v>
          </cell>
          <cell r="C1202" t="str">
            <v>G2508-0551</v>
          </cell>
          <cell r="D1202" t="str">
            <v>000036900000040571</v>
          </cell>
          <cell r="E1202" t="str">
            <v>密封圈</v>
          </cell>
          <cell r="F1202" t="str">
            <v>11S00015</v>
          </cell>
          <cell r="G1202" t="str">
            <v>-</v>
          </cell>
        </row>
        <row r="1203">
          <cell r="B1203" t="str">
            <v>7101060052</v>
          </cell>
          <cell r="C1203" t="str">
            <v>G2508-2129</v>
          </cell>
          <cell r="D1203" t="str">
            <v>000042944044009164</v>
          </cell>
          <cell r="E1203" t="str">
            <v>高扭矩十字槽螺钉</v>
          </cell>
          <cell r="F1203" t="str">
            <v>S10.2.1204</v>
          </cell>
          <cell r="G1203" t="str">
            <v>-</v>
          </cell>
        </row>
        <row r="1204">
          <cell r="B1204" t="str">
            <v>7101060053</v>
          </cell>
          <cell r="C1204" t="str">
            <v>G2508-2129</v>
          </cell>
          <cell r="D1204" t="str">
            <v>000042944044009164</v>
          </cell>
          <cell r="E1204" t="str">
            <v>高扭矩十字槽螺钉</v>
          </cell>
          <cell r="F1204" t="str">
            <v>S10.2.1204</v>
          </cell>
          <cell r="G1204" t="str">
            <v>-</v>
          </cell>
        </row>
        <row r="1205">
          <cell r="B1205" t="str">
            <v>7101060066</v>
          </cell>
          <cell r="C1205" t="str">
            <v>G2504-1472</v>
          </cell>
          <cell r="D1205" t="str">
            <v>000042944288002863</v>
          </cell>
          <cell r="E1205" t="str">
            <v>十二角自锁螺母</v>
          </cell>
          <cell r="F1205" t="str">
            <v>ΦU125947</v>
          </cell>
          <cell r="G1205" t="str">
            <v>-</v>
          </cell>
        </row>
        <row r="1206">
          <cell r="B1206" t="str">
            <v>7101060316</v>
          </cell>
          <cell r="C1206" t="str">
            <v>G2511-0224</v>
          </cell>
          <cell r="D1206" t="str">
            <v>000042944239011752</v>
          </cell>
          <cell r="E1206" t="str">
            <v>螺栓</v>
          </cell>
          <cell r="F1206" t="str">
            <v>S10.1.1406</v>
          </cell>
          <cell r="G1206" t="str">
            <v>-</v>
          </cell>
        </row>
        <row r="1207">
          <cell r="B1207" t="str">
            <v>7101060593</v>
          </cell>
          <cell r="C1207" t="str">
            <v>G2506-1943</v>
          </cell>
          <cell r="D1207" t="str">
            <v>000042944239102912</v>
          </cell>
          <cell r="E1207" t="str">
            <v>十二齿花键螺栓</v>
          </cell>
          <cell r="F1207" t="str">
            <v>2S5021-2008</v>
          </cell>
          <cell r="G1207" t="str">
            <v>6-32</v>
          </cell>
        </row>
        <row r="1208">
          <cell r="B1208" t="str">
            <v>7101060593</v>
          </cell>
          <cell r="C1208" t="str">
            <v>G2504-3982</v>
          </cell>
          <cell r="D1208" t="str">
            <v>000042944239102912</v>
          </cell>
          <cell r="E1208" t="str">
            <v>十二齿花键螺栓</v>
          </cell>
          <cell r="F1208" t="str">
            <v>2S5021-2008</v>
          </cell>
          <cell r="G1208" t="str">
            <v>6-32</v>
          </cell>
        </row>
        <row r="1209">
          <cell r="B1209" t="str">
            <v>7101060658</v>
          </cell>
          <cell r="C1209" t="str">
            <v>G2506-0012</v>
          </cell>
          <cell r="D1209" t="str">
            <v>000042944288146391</v>
          </cell>
          <cell r="E1209" t="str">
            <v>十角自锁螺母</v>
          </cell>
          <cell r="F1209" t="str">
            <v>AETG202</v>
          </cell>
          <cell r="G1209" t="str">
            <v>0810</v>
          </cell>
        </row>
        <row r="1210">
          <cell r="B1210" t="str">
            <v>7101060658</v>
          </cell>
          <cell r="C1210" t="str">
            <v>G2505-0852</v>
          </cell>
          <cell r="D1210" t="str">
            <v>000042944288146391</v>
          </cell>
          <cell r="E1210" t="str">
            <v>十角自锁螺母</v>
          </cell>
          <cell r="F1210" t="str">
            <v>AETG202</v>
          </cell>
          <cell r="G1210" t="str">
            <v>0810</v>
          </cell>
        </row>
        <row r="1211">
          <cell r="B1211" t="str">
            <v>7101060660</v>
          </cell>
          <cell r="C1211" t="str">
            <v>G2505-0670</v>
          </cell>
          <cell r="D1211" t="str">
            <v>000042944160019242</v>
          </cell>
          <cell r="E1211" t="str">
            <v>十二角螺钉</v>
          </cell>
          <cell r="F1211" t="str">
            <v>2S5003-2008</v>
          </cell>
          <cell r="G1211" t="str">
            <v>4-20</v>
          </cell>
        </row>
        <row r="1212">
          <cell r="B1212" t="str">
            <v>7101060661</v>
          </cell>
          <cell r="C1212" t="str">
            <v>G2507-2468</v>
          </cell>
          <cell r="D1212" t="str">
            <v>000042944160102907</v>
          </cell>
          <cell r="E1212" t="str">
            <v>十二角螺钉</v>
          </cell>
          <cell r="F1212" t="str">
            <v>2S5006-2008</v>
          </cell>
          <cell r="G1212" t="str">
            <v>4-19</v>
          </cell>
        </row>
        <row r="1213">
          <cell r="B1213" t="str">
            <v>7101060664</v>
          </cell>
          <cell r="C1213" t="str">
            <v>G2504-4383</v>
          </cell>
          <cell r="D1213" t="str">
            <v>000042944239152542</v>
          </cell>
          <cell r="E1213" t="str">
            <v>十二角头螺栓,MJ,大杆径,GH4169</v>
          </cell>
          <cell r="F1213" t="str">
            <v>2S5215-2013</v>
          </cell>
          <cell r="G1213" t="str">
            <v>MJ8×1×30</v>
          </cell>
        </row>
        <row r="1214">
          <cell r="B1214" t="str">
            <v>7101060677</v>
          </cell>
          <cell r="C1214" t="str">
            <v>G2504-2612</v>
          </cell>
          <cell r="D1214" t="str">
            <v>000036900000040578</v>
          </cell>
          <cell r="E1214" t="str">
            <v>密封圈</v>
          </cell>
          <cell r="F1214" t="str">
            <v>11S00178</v>
          </cell>
          <cell r="G1214" t="str">
            <v>-</v>
          </cell>
        </row>
        <row r="1215">
          <cell r="B1215" t="str">
            <v>7101060678</v>
          </cell>
          <cell r="C1215" t="str">
            <v>G2504-2612</v>
          </cell>
          <cell r="D1215" t="str">
            <v>000036900000040578</v>
          </cell>
          <cell r="E1215" t="str">
            <v>密封圈</v>
          </cell>
          <cell r="F1215" t="str">
            <v>11S00178</v>
          </cell>
          <cell r="G1215" t="str">
            <v>-</v>
          </cell>
        </row>
        <row r="1216">
          <cell r="B1216" t="str">
            <v>7101060688</v>
          </cell>
          <cell r="C1216" t="str">
            <v>G2508-0881</v>
          </cell>
          <cell r="D1216" t="str">
            <v>000036900000040581</v>
          </cell>
          <cell r="E1216" t="str">
            <v>密封圈</v>
          </cell>
          <cell r="F1216" t="str">
            <v>11S00225</v>
          </cell>
          <cell r="G1216" t="str">
            <v>-</v>
          </cell>
        </row>
        <row r="1217">
          <cell r="B1217" t="str">
            <v>7101060688</v>
          </cell>
          <cell r="C1217" t="str">
            <v>G2503-0607</v>
          </cell>
          <cell r="D1217" t="str">
            <v>000036900000040581</v>
          </cell>
          <cell r="E1217" t="str">
            <v>密封圈</v>
          </cell>
          <cell r="F1217" t="str">
            <v>11S00225</v>
          </cell>
          <cell r="G1217" t="str">
            <v>-</v>
          </cell>
        </row>
        <row r="1218">
          <cell r="B1218" t="str">
            <v>7101060688</v>
          </cell>
          <cell r="C1218" t="str">
            <v>G2501-2966</v>
          </cell>
          <cell r="D1218" t="str">
            <v>000036900000040581</v>
          </cell>
          <cell r="E1218" t="str">
            <v>密封圈</v>
          </cell>
          <cell r="F1218" t="str">
            <v>11S00225</v>
          </cell>
          <cell r="G1218" t="str">
            <v>-</v>
          </cell>
        </row>
        <row r="1219">
          <cell r="B1219" t="str">
            <v>7101060705</v>
          </cell>
          <cell r="C1219" t="str">
            <v>G02511-045</v>
          </cell>
          <cell r="D1219" t="str">
            <v>000042944039037728</v>
          </cell>
          <cell r="E1219" t="str">
            <v>锁紧型有折断槽钢丝螺套</v>
          </cell>
          <cell r="F1219" t="str">
            <v>GJB5109-2002</v>
          </cell>
          <cell r="G1219" t="str">
            <v>5×0.8×6</v>
          </cell>
        </row>
        <row r="1220">
          <cell r="B1220" t="str">
            <v>7101060795</v>
          </cell>
          <cell r="C1220" t="str">
            <v>G2504-1025</v>
          </cell>
          <cell r="D1220" t="str">
            <v>000042944000131923</v>
          </cell>
          <cell r="E1220" t="str">
            <v>驱动臂衬套</v>
          </cell>
          <cell r="F1220" t="str">
            <v>019111009801</v>
          </cell>
          <cell r="G1220" t="str">
            <v>-</v>
          </cell>
        </row>
        <row r="1221">
          <cell r="B1221" t="str">
            <v>7101060807</v>
          </cell>
          <cell r="C1221" t="str">
            <v>G2511-1251</v>
          </cell>
          <cell r="D1221" t="str">
            <v>000042944239003780</v>
          </cell>
          <cell r="E1221" t="str">
            <v>滑油泵壳体台阶螺栓</v>
          </cell>
          <cell r="F1221" t="str">
            <v>ΦEU43013</v>
          </cell>
          <cell r="G1221" t="str">
            <v>-</v>
          </cell>
        </row>
        <row r="1222">
          <cell r="B1222" t="str">
            <v>7101060807</v>
          </cell>
          <cell r="C1222" t="str">
            <v>G2307-0971</v>
          </cell>
          <cell r="D1222" t="str">
            <v>000042944239003780</v>
          </cell>
          <cell r="E1222" t="str">
            <v>滑油泵壳体台阶螺栓</v>
          </cell>
          <cell r="F1222" t="str">
            <v>ΦEU43013</v>
          </cell>
          <cell r="G1222" t="str">
            <v>-</v>
          </cell>
        </row>
        <row r="1223">
          <cell r="B1223" t="str">
            <v>7101060814</v>
          </cell>
          <cell r="C1223" t="str">
            <v>G2510-0523</v>
          </cell>
          <cell r="D1223" t="str">
            <v>000042944360006172</v>
          </cell>
          <cell r="E1223" t="str">
            <v>锥形销</v>
          </cell>
          <cell r="F1223" t="str">
            <v>ΦKB3859</v>
          </cell>
          <cell r="G1223" t="str">
            <v>-</v>
          </cell>
        </row>
        <row r="1224">
          <cell r="B1224" t="str">
            <v>7101060828</v>
          </cell>
          <cell r="C1224" t="str">
            <v>G2510-0523</v>
          </cell>
          <cell r="D1224" t="str">
            <v>000042944360006172</v>
          </cell>
          <cell r="E1224" t="str">
            <v>锥形销</v>
          </cell>
          <cell r="F1224" t="str">
            <v>ΦKB3859</v>
          </cell>
          <cell r="G1224" t="str">
            <v>-</v>
          </cell>
        </row>
        <row r="1225">
          <cell r="B1225" t="str">
            <v>7101060840</v>
          </cell>
          <cell r="C1225" t="str">
            <v>G2509-2753</v>
          </cell>
          <cell r="D1225" t="str">
            <v>000042944239011701</v>
          </cell>
          <cell r="E1225" t="str">
            <v>十二角头螺栓</v>
          </cell>
          <cell r="F1225" t="str">
            <v>S10.1.1203</v>
          </cell>
          <cell r="G1225" t="str">
            <v>-</v>
          </cell>
        </row>
        <row r="1226">
          <cell r="B1226" t="str">
            <v>7101060930</v>
          </cell>
          <cell r="C1226" t="str">
            <v>G2503-3329</v>
          </cell>
          <cell r="D1226" t="str">
            <v>000042944239102908</v>
          </cell>
          <cell r="E1226" t="str">
            <v>十二角螺栓,不带锁丝孔，无镀层</v>
          </cell>
          <cell r="F1226" t="str">
            <v>2S5018-2008</v>
          </cell>
          <cell r="G1226" t="str">
            <v>7-33</v>
          </cell>
        </row>
        <row r="1227">
          <cell r="B1227" t="str">
            <v>7101060957</v>
          </cell>
          <cell r="C1227" t="str">
            <v>G2508-2344</v>
          </cell>
          <cell r="D1227" t="str">
            <v>000042944239070159</v>
          </cell>
          <cell r="E1227" t="str">
            <v>盘后平衡螺栓</v>
          </cell>
          <cell r="F1227" t="str">
            <v>S15.44.1081P</v>
          </cell>
          <cell r="G1227" t="str">
            <v>-</v>
          </cell>
        </row>
        <row r="1228">
          <cell r="B1228" t="str">
            <v>7101060959</v>
          </cell>
          <cell r="C1228" t="str">
            <v>G2508-2344</v>
          </cell>
          <cell r="D1228" t="str">
            <v>000042944239070159</v>
          </cell>
          <cell r="E1228" t="str">
            <v>盘后平衡螺栓</v>
          </cell>
          <cell r="F1228" t="str">
            <v>S15.44.1081P</v>
          </cell>
          <cell r="G1228" t="str">
            <v>-</v>
          </cell>
        </row>
        <row r="1229">
          <cell r="B1229" t="str">
            <v>7101060961</v>
          </cell>
          <cell r="C1229" t="str">
            <v>G2508-2344</v>
          </cell>
          <cell r="D1229" t="str">
            <v>000042944239070159</v>
          </cell>
          <cell r="E1229" t="str">
            <v>盘后平衡螺栓</v>
          </cell>
          <cell r="F1229" t="str">
            <v>S15.44.1081P</v>
          </cell>
          <cell r="G1229" t="str">
            <v>-</v>
          </cell>
        </row>
        <row r="1230">
          <cell r="B1230" t="str">
            <v>7101060962</v>
          </cell>
          <cell r="C1230" t="str">
            <v>G2508-2344</v>
          </cell>
          <cell r="D1230" t="str">
            <v>000042944239070159</v>
          </cell>
          <cell r="E1230" t="str">
            <v>盘后平衡螺栓</v>
          </cell>
          <cell r="F1230" t="str">
            <v>S15.44.1081P</v>
          </cell>
          <cell r="G1230" t="str">
            <v>-</v>
          </cell>
        </row>
        <row r="1231">
          <cell r="B1231" t="str">
            <v>7101060964</v>
          </cell>
          <cell r="C1231" t="str">
            <v>G2504-0123</v>
          </cell>
          <cell r="D1231" t="str">
            <v>000042944240110900</v>
          </cell>
          <cell r="E1231" t="str">
            <v>螺桩</v>
          </cell>
          <cell r="F1231" t="str">
            <v>11S30121</v>
          </cell>
          <cell r="G1231" t="str">
            <v>4</v>
          </cell>
        </row>
        <row r="1232">
          <cell r="B1232" t="str">
            <v>7101060965</v>
          </cell>
          <cell r="C1232" t="str">
            <v>G2504-0123</v>
          </cell>
          <cell r="D1232" t="str">
            <v>000042944240110900</v>
          </cell>
          <cell r="E1232" t="str">
            <v>螺桩</v>
          </cell>
          <cell r="F1232" t="str">
            <v>11S30121</v>
          </cell>
          <cell r="G1232" t="str">
            <v>4</v>
          </cell>
        </row>
        <row r="1233">
          <cell r="B1233" t="str">
            <v>7101060968</v>
          </cell>
          <cell r="C1233" t="str">
            <v>G2504-0123</v>
          </cell>
          <cell r="D1233" t="str">
            <v>000042944240110900</v>
          </cell>
          <cell r="E1233" t="str">
            <v>螺桩</v>
          </cell>
          <cell r="F1233" t="str">
            <v>11S30121</v>
          </cell>
          <cell r="G1233" t="str">
            <v>4</v>
          </cell>
        </row>
        <row r="1234">
          <cell r="B1234" t="str">
            <v>7101060973</v>
          </cell>
          <cell r="C1234" t="str">
            <v>G2511-0097</v>
          </cell>
          <cell r="D1234" t="str">
            <v>000042944319001895</v>
          </cell>
          <cell r="E1234" t="str">
            <v>鼓筒前连接螺母</v>
          </cell>
          <cell r="F1234" t="str">
            <v>S10.4.1404</v>
          </cell>
          <cell r="G1234" t="str">
            <v>-</v>
          </cell>
        </row>
        <row r="1235">
          <cell r="B1235" t="str">
            <v>7101060983</v>
          </cell>
          <cell r="C1235" t="str">
            <v>G2508-0838</v>
          </cell>
          <cell r="D1235" t="str">
            <v>000042944319002116</v>
          </cell>
          <cell r="E1235" t="str">
            <v>螺母</v>
          </cell>
          <cell r="F1235" t="str">
            <v>S20.00.2063</v>
          </cell>
          <cell r="G1235" t="str">
            <v>-</v>
          </cell>
        </row>
        <row r="1236">
          <cell r="B1236" t="str">
            <v>7101060984</v>
          </cell>
          <cell r="C1236" t="str">
            <v>G2508-0838</v>
          </cell>
          <cell r="D1236" t="str">
            <v>000042944319002116</v>
          </cell>
          <cell r="E1236" t="str">
            <v>螺母</v>
          </cell>
          <cell r="F1236" t="str">
            <v>S20.00.2063</v>
          </cell>
          <cell r="G1236" t="str">
            <v>-</v>
          </cell>
        </row>
        <row r="1237">
          <cell r="B1237" t="str">
            <v>7101060985</v>
          </cell>
          <cell r="C1237" t="str">
            <v>G2504-0349</v>
          </cell>
          <cell r="D1237" t="str">
            <v>000042944319002116</v>
          </cell>
          <cell r="E1237" t="str">
            <v>螺母</v>
          </cell>
          <cell r="F1237" t="str">
            <v>S20.00.2063</v>
          </cell>
          <cell r="G1237" t="str">
            <v>-</v>
          </cell>
        </row>
        <row r="1238">
          <cell r="B1238" t="str">
            <v>7101060987</v>
          </cell>
          <cell r="C1238" t="str">
            <v>G2508-1974</v>
          </cell>
          <cell r="D1238" t="str">
            <v>000042944320014383</v>
          </cell>
          <cell r="E1238" t="str">
            <v>100°沉头铆钉</v>
          </cell>
          <cell r="F1238" t="str">
            <v>ΦAS16692</v>
          </cell>
          <cell r="G1238" t="str">
            <v>-</v>
          </cell>
        </row>
        <row r="1239">
          <cell r="B1239" t="str">
            <v>7101060993</v>
          </cell>
          <cell r="C1239" t="str">
            <v>G2508-1373</v>
          </cell>
          <cell r="D1239" t="str">
            <v>000042944360127104</v>
          </cell>
          <cell r="E1239" t="str">
            <v>销子</v>
          </cell>
          <cell r="F1239" t="str">
            <v>019155019001</v>
          </cell>
          <cell r="G1239" t="str">
            <v>-</v>
          </cell>
        </row>
        <row r="1240">
          <cell r="B1240" t="str">
            <v>7101060995</v>
          </cell>
          <cell r="C1240" t="str">
            <v>G2512-1421</v>
          </cell>
          <cell r="D1240" t="str">
            <v>000042944401001328</v>
          </cell>
          <cell r="E1240" t="str">
            <v>平垫圈</v>
          </cell>
          <cell r="F1240" t="str">
            <v>Q/S15.1157-2011</v>
          </cell>
          <cell r="G1240" t="str">
            <v>C-8.5-15-1</v>
          </cell>
        </row>
        <row r="1241">
          <cell r="B1241" t="str">
            <v>7101079973</v>
          </cell>
          <cell r="C1241" t="str">
            <v>G2209-0152</v>
          </cell>
          <cell r="D1241" t="str">
            <v>000042944288002498</v>
          </cell>
          <cell r="E1241" t="str">
            <v>十角自锁螺母</v>
          </cell>
          <cell r="F1241" t="str">
            <v>S10.4.1212</v>
          </cell>
          <cell r="G1241" t="str">
            <v>-</v>
          </cell>
        </row>
        <row r="1242">
          <cell r="B1242" t="str">
            <v>7101079973</v>
          </cell>
          <cell r="C1242" t="str">
            <v>G2209-0214</v>
          </cell>
          <cell r="D1242" t="str">
            <v>000042944288002498</v>
          </cell>
          <cell r="E1242" t="str">
            <v>十角自锁螺母</v>
          </cell>
          <cell r="F1242" t="str">
            <v>S10.4.1212</v>
          </cell>
          <cell r="G1242" t="str">
            <v>-</v>
          </cell>
        </row>
        <row r="1243">
          <cell r="B1243" t="str">
            <v>7101060996</v>
          </cell>
          <cell r="C1243" t="str">
            <v>G2512-1421</v>
          </cell>
          <cell r="D1243" t="str">
            <v>000042944401001328</v>
          </cell>
          <cell r="E1243" t="str">
            <v>平垫圈</v>
          </cell>
          <cell r="F1243" t="str">
            <v>Q/S15.1157-2011</v>
          </cell>
          <cell r="G1243" t="str">
            <v>C-8.5-15-1</v>
          </cell>
        </row>
        <row r="1244">
          <cell r="B1244" t="str">
            <v>7101061187</v>
          </cell>
          <cell r="C1244" t="str">
            <v>G2507-1507</v>
          </cell>
          <cell r="D1244" t="str">
            <v>000042944288002867</v>
          </cell>
          <cell r="E1244" t="str">
            <v>加长十二角自锁螺母</v>
          </cell>
          <cell r="F1244" t="str">
            <v>ΦU129172</v>
          </cell>
          <cell r="G1244" t="str">
            <v>-</v>
          </cell>
        </row>
        <row r="1245">
          <cell r="B1245" t="str">
            <v>7101061188</v>
          </cell>
          <cell r="C1245" t="str">
            <v>G2509-2235</v>
          </cell>
          <cell r="D1245" t="str">
            <v>000042944239075210</v>
          </cell>
          <cell r="E1245" t="str">
            <v>D头螺栓</v>
          </cell>
          <cell r="F1245" t="str">
            <v>S15.15.1108P</v>
          </cell>
          <cell r="G1245" t="str">
            <v>-</v>
          </cell>
        </row>
        <row r="1246">
          <cell r="B1246" t="str">
            <v>7101061189</v>
          </cell>
          <cell r="C1246" t="str">
            <v>G2508-0479</v>
          </cell>
          <cell r="D1246" t="str">
            <v>000042944239075210</v>
          </cell>
          <cell r="E1246" t="str">
            <v>D头螺栓</v>
          </cell>
          <cell r="F1246" t="str">
            <v>S15.15.1108P</v>
          </cell>
          <cell r="G1246" t="str">
            <v>-</v>
          </cell>
        </row>
        <row r="1247">
          <cell r="B1247" t="str">
            <v>7101061189</v>
          </cell>
          <cell r="C1247" t="str">
            <v>G2509-2235</v>
          </cell>
          <cell r="D1247" t="str">
            <v>000042944239075210</v>
          </cell>
          <cell r="E1247" t="str">
            <v>D头螺栓</v>
          </cell>
          <cell r="F1247" t="str">
            <v>S15.15.1108P</v>
          </cell>
          <cell r="G1247" t="str">
            <v>-</v>
          </cell>
        </row>
        <row r="1248">
          <cell r="B1248" t="str">
            <v>7101061532</v>
          </cell>
          <cell r="C1248" t="str">
            <v>G2508-0838</v>
          </cell>
          <cell r="D1248" t="str">
            <v>000042944319002116</v>
          </cell>
          <cell r="E1248" t="str">
            <v>螺母</v>
          </cell>
          <cell r="F1248" t="str">
            <v>S20.00.2063</v>
          </cell>
          <cell r="G1248" t="str">
            <v>-</v>
          </cell>
        </row>
        <row r="1249">
          <cell r="B1249" t="str">
            <v>7101061533</v>
          </cell>
          <cell r="C1249" t="str">
            <v>G2509-0283</v>
          </cell>
          <cell r="D1249" t="str">
            <v>000042944320014394</v>
          </cell>
          <cell r="E1249" t="str">
            <v>圆头铆钉</v>
          </cell>
          <cell r="F1249" t="str">
            <v>ΦEU48880</v>
          </cell>
          <cell r="G1249" t="str">
            <v>-</v>
          </cell>
        </row>
        <row r="1250">
          <cell r="B1250" t="str">
            <v>7101061534</v>
          </cell>
          <cell r="C1250" t="str">
            <v>G2512-0476</v>
          </cell>
          <cell r="D1250" t="str">
            <v>000042944404000553</v>
          </cell>
          <cell r="E1250" t="str">
            <v>角形垂直单耳止动垫圈</v>
          </cell>
          <cell r="F1250" t="str">
            <v>Q/S15.1165-2011</v>
          </cell>
          <cell r="G1250" t="str">
            <v>A-6-10</v>
          </cell>
        </row>
        <row r="1251">
          <cell r="B1251" t="str">
            <v>7101061535</v>
          </cell>
          <cell r="C1251" t="str">
            <v>G2511-0722</v>
          </cell>
          <cell r="D1251" t="str">
            <v>000042944404000556</v>
          </cell>
          <cell r="E1251" t="str">
            <v>角形垂直单耳止动垫圈</v>
          </cell>
          <cell r="F1251" t="str">
            <v>Q/S15.1165-2011</v>
          </cell>
          <cell r="G1251" t="str">
            <v>A-6-9.5</v>
          </cell>
        </row>
        <row r="1252">
          <cell r="B1252" t="str">
            <v>7101061536</v>
          </cell>
          <cell r="C1252" t="str">
            <v>G2504-0226</v>
          </cell>
          <cell r="D1252" t="str">
            <v>000042944999000130</v>
          </cell>
          <cell r="E1252" t="str">
            <v>轴用钢丝卡圈</v>
          </cell>
          <cell r="F1252" t="str">
            <v>11S50214</v>
          </cell>
          <cell r="G1252" t="str">
            <v>-</v>
          </cell>
        </row>
        <row r="1253">
          <cell r="B1253" t="str">
            <v>7101061537</v>
          </cell>
          <cell r="C1253" t="str">
            <v>G2508-1047</v>
          </cell>
          <cell r="D1253" t="str">
            <v>000042944999000130</v>
          </cell>
          <cell r="E1253" t="str">
            <v>轴用钢丝卡圈</v>
          </cell>
          <cell r="F1253" t="str">
            <v>11S50214</v>
          </cell>
          <cell r="G1253" t="str">
            <v>-</v>
          </cell>
        </row>
        <row r="1254">
          <cell r="B1254" t="str">
            <v>7101061538</v>
          </cell>
          <cell r="C1254" t="str">
            <v>G2504-0226</v>
          </cell>
          <cell r="D1254" t="str">
            <v>000042944999000130</v>
          </cell>
          <cell r="E1254" t="str">
            <v>轴用钢丝卡圈</v>
          </cell>
          <cell r="F1254" t="str">
            <v>11S50214</v>
          </cell>
          <cell r="G1254" t="str">
            <v>-</v>
          </cell>
        </row>
        <row r="1255">
          <cell r="B1255" t="str">
            <v>7101061624</v>
          </cell>
          <cell r="C1255" t="str">
            <v>G2112-0933</v>
          </cell>
          <cell r="D1255" t="str">
            <v>000042944401001330</v>
          </cell>
          <cell r="E1255" t="str">
            <v>平垫圈</v>
          </cell>
          <cell r="F1255" t="str">
            <v>Q/S15.1157-2011</v>
          </cell>
          <cell r="G1255" t="str">
            <v>D-5.5-12-1</v>
          </cell>
        </row>
        <row r="1256">
          <cell r="B1256" t="str">
            <v>7101061625</v>
          </cell>
          <cell r="C1256" t="str">
            <v>G2205-0783</v>
          </cell>
          <cell r="D1256" t="str">
            <v>000042944401001330</v>
          </cell>
          <cell r="E1256" t="str">
            <v>平垫圈</v>
          </cell>
          <cell r="F1256" t="str">
            <v>Q/S15.1157-2011</v>
          </cell>
          <cell r="G1256" t="str">
            <v>D-5.5-12-1</v>
          </cell>
        </row>
        <row r="1257">
          <cell r="B1257" t="str">
            <v>7101061892</v>
          </cell>
          <cell r="C1257" t="str">
            <v>G2508-2331</v>
          </cell>
          <cell r="D1257" t="str">
            <v>000042944160050115</v>
          </cell>
          <cell r="E1257" t="str">
            <v>联动环限位螺钉</v>
          </cell>
          <cell r="F1257" t="str">
            <v>S15.15.1063N</v>
          </cell>
          <cell r="G1257" t="str">
            <v>-</v>
          </cell>
        </row>
        <row r="1258">
          <cell r="B1258" t="str">
            <v>7101061893</v>
          </cell>
          <cell r="C1258" t="str">
            <v>G2508-2331</v>
          </cell>
          <cell r="D1258" t="str">
            <v>000042944160050115</v>
          </cell>
          <cell r="E1258" t="str">
            <v>联动环限位螺钉</v>
          </cell>
          <cell r="F1258" t="str">
            <v>S15.15.1063N</v>
          </cell>
          <cell r="G1258" t="str">
            <v>-</v>
          </cell>
        </row>
        <row r="1259">
          <cell r="B1259" t="str">
            <v>7101061894</v>
          </cell>
          <cell r="C1259" t="str">
            <v>G2508-2331</v>
          </cell>
          <cell r="D1259" t="str">
            <v>000042944160050115</v>
          </cell>
          <cell r="E1259" t="str">
            <v>联动环限位螺钉</v>
          </cell>
          <cell r="F1259" t="str">
            <v>S15.15.1063N</v>
          </cell>
          <cell r="G1259" t="str">
            <v>-</v>
          </cell>
        </row>
        <row r="1260">
          <cell r="B1260" t="str">
            <v>7101061897</v>
          </cell>
          <cell r="C1260" t="str">
            <v>G2508-2331</v>
          </cell>
          <cell r="D1260" t="str">
            <v>000042944160050115</v>
          </cell>
          <cell r="E1260" t="str">
            <v>联动环限位螺钉</v>
          </cell>
          <cell r="F1260" t="str">
            <v>S15.15.1063N</v>
          </cell>
          <cell r="G1260" t="str">
            <v>-</v>
          </cell>
        </row>
        <row r="1261">
          <cell r="B1261" t="str">
            <v>7101061899</v>
          </cell>
          <cell r="C1261" t="str">
            <v>G2508-2331</v>
          </cell>
          <cell r="D1261" t="str">
            <v>000042944160050115</v>
          </cell>
          <cell r="E1261" t="str">
            <v>联动环限位螺钉</v>
          </cell>
          <cell r="F1261" t="str">
            <v>S15.15.1063N</v>
          </cell>
          <cell r="G1261" t="str">
            <v>-</v>
          </cell>
        </row>
        <row r="1262">
          <cell r="B1262" t="str">
            <v>7101062069</v>
          </cell>
          <cell r="C1262" t="str">
            <v>G2511-0102</v>
          </cell>
          <cell r="D1262" t="str">
            <v>000042944319002116</v>
          </cell>
          <cell r="E1262" t="str">
            <v>螺母</v>
          </cell>
          <cell r="F1262" t="str">
            <v>S20.00.2063</v>
          </cell>
          <cell r="G1262" t="str">
            <v>-</v>
          </cell>
        </row>
        <row r="1263">
          <cell r="B1263" t="str">
            <v>7101062139</v>
          </cell>
          <cell r="C1263" t="str">
            <v>G2502-0146</v>
          </cell>
          <cell r="D1263" t="str">
            <v>000042944319001887</v>
          </cell>
          <cell r="E1263" t="str">
            <v>盘前托板螺母</v>
          </cell>
          <cell r="F1263" t="str">
            <v>S10.4.1401</v>
          </cell>
          <cell r="G1263" t="str">
            <v>-</v>
          </cell>
        </row>
        <row r="1264">
          <cell r="B1264" t="str">
            <v>7101062408</v>
          </cell>
          <cell r="C1264" t="str">
            <v>G2504-4357</v>
          </cell>
          <cell r="D1264" t="str">
            <v>000042944360153218</v>
          </cell>
          <cell r="E1264" t="str">
            <v>销钉1</v>
          </cell>
          <cell r="F1264" t="str">
            <v>J4646-313</v>
          </cell>
          <cell r="G1264" t="str">
            <v>-</v>
          </cell>
        </row>
        <row r="1265">
          <cell r="B1265" t="str">
            <v>7101062409</v>
          </cell>
          <cell r="C1265" t="str">
            <v>G2504-4448</v>
          </cell>
          <cell r="D1265" t="str">
            <v>000042944360153220</v>
          </cell>
          <cell r="E1265" t="str">
            <v>销钉3</v>
          </cell>
          <cell r="F1265" t="str">
            <v>J4646-315</v>
          </cell>
          <cell r="G1265" t="str">
            <v>-</v>
          </cell>
        </row>
        <row r="1266">
          <cell r="B1266" t="str">
            <v>7101062441</v>
          </cell>
          <cell r="C1266" t="str">
            <v>G2502-2276</v>
          </cell>
          <cell r="D1266" t="str">
            <v>000042944000148054</v>
          </cell>
          <cell r="E1266" t="str">
            <v>铜衬套32</v>
          </cell>
          <cell r="F1266" t="str">
            <v>SH40.04.642</v>
          </cell>
          <cell r="G1266" t="str">
            <v>-</v>
          </cell>
        </row>
        <row r="1267">
          <cell r="B1267" t="str">
            <v>7101062594</v>
          </cell>
          <cell r="C1267" t="str">
            <v>G2507-0130</v>
          </cell>
          <cell r="D1267" t="str">
            <v>000042944239002614</v>
          </cell>
          <cell r="E1267" t="str">
            <v>螺栓</v>
          </cell>
          <cell r="F1267" t="str">
            <v>S10.1.1409</v>
          </cell>
          <cell r="G1267" t="str">
            <v>-</v>
          </cell>
        </row>
        <row r="1268">
          <cell r="B1268" t="str">
            <v>7101062663</v>
          </cell>
          <cell r="C1268" t="str">
            <v>G2502-0555</v>
          </cell>
          <cell r="D1268" t="str">
            <v>000042944239011743</v>
          </cell>
          <cell r="E1268" t="str">
            <v>十二花键螺栓</v>
          </cell>
          <cell r="F1268" t="str">
            <v>S10.1.1301</v>
          </cell>
          <cell r="G1268" t="str">
            <v>-</v>
          </cell>
        </row>
        <row r="1269">
          <cell r="B1269" t="str">
            <v>7101062668</v>
          </cell>
          <cell r="C1269" t="str">
            <v>G2509-0881</v>
          </cell>
          <cell r="D1269" t="str">
            <v>000042944319001895</v>
          </cell>
          <cell r="E1269" t="str">
            <v>鼓筒前连接螺母</v>
          </cell>
          <cell r="F1269" t="str">
            <v>S10.4.1404</v>
          </cell>
          <cell r="G1269" t="str">
            <v>-</v>
          </cell>
        </row>
        <row r="1270">
          <cell r="B1270" t="str">
            <v>7101062672</v>
          </cell>
          <cell r="C1270" t="str">
            <v>G2502-1032</v>
          </cell>
          <cell r="D1270" t="str">
            <v>000042944999000130</v>
          </cell>
          <cell r="E1270" t="str">
            <v>轴用钢丝卡圈</v>
          </cell>
          <cell r="F1270" t="str">
            <v>11S50214</v>
          </cell>
          <cell r="G1270" t="str">
            <v>-</v>
          </cell>
        </row>
        <row r="1271">
          <cell r="B1271" t="str">
            <v>7101062675</v>
          </cell>
          <cell r="C1271" t="str">
            <v>G2502-0779</v>
          </cell>
          <cell r="D1271" t="str">
            <v>000042944319001884</v>
          </cell>
          <cell r="E1271" t="str">
            <v>托板螺母</v>
          </cell>
          <cell r="F1271" t="str">
            <v>S10.33.1025</v>
          </cell>
          <cell r="G1271" t="str">
            <v>-</v>
          </cell>
        </row>
        <row r="1272">
          <cell r="B1272" t="str">
            <v>7101062676</v>
          </cell>
          <cell r="C1272" t="str">
            <v>G2502-0779</v>
          </cell>
          <cell r="D1272" t="str">
            <v>000042944319001884</v>
          </cell>
          <cell r="E1272" t="str">
            <v>托板螺母</v>
          </cell>
          <cell r="F1272" t="str">
            <v>S10.33.1025</v>
          </cell>
          <cell r="G1272" t="str">
            <v>-</v>
          </cell>
        </row>
        <row r="1273">
          <cell r="B1273" t="str">
            <v>7101062678</v>
          </cell>
          <cell r="C1273" t="str">
            <v>G2502-0779</v>
          </cell>
          <cell r="D1273" t="str">
            <v>000042944319001884</v>
          </cell>
          <cell r="E1273" t="str">
            <v>托板螺母</v>
          </cell>
          <cell r="F1273" t="str">
            <v>S10.33.1025</v>
          </cell>
          <cell r="G1273" t="str">
            <v>-</v>
          </cell>
        </row>
        <row r="1274">
          <cell r="B1274" t="str">
            <v>7101062727</v>
          </cell>
          <cell r="C1274" t="str">
            <v>G2302-3347</v>
          </cell>
          <cell r="D1274" t="str">
            <v>000042944240110900</v>
          </cell>
          <cell r="E1274" t="str">
            <v>螺桩</v>
          </cell>
          <cell r="F1274" t="str">
            <v>11S30121</v>
          </cell>
          <cell r="G1274" t="str">
            <v>4</v>
          </cell>
        </row>
        <row r="1275">
          <cell r="B1275" t="str">
            <v>7101062729</v>
          </cell>
          <cell r="C1275" t="str">
            <v>G2403-2977</v>
          </cell>
          <cell r="D1275" t="str">
            <v>000042944240110900</v>
          </cell>
          <cell r="E1275" t="str">
            <v>螺桩</v>
          </cell>
          <cell r="F1275" t="str">
            <v>11S30121</v>
          </cell>
          <cell r="G1275" t="str">
            <v>4</v>
          </cell>
        </row>
        <row r="1276">
          <cell r="B1276" t="str">
            <v>7101062731</v>
          </cell>
          <cell r="C1276" t="str">
            <v>G2301-3217</v>
          </cell>
          <cell r="D1276" t="str">
            <v>000042944240110900</v>
          </cell>
          <cell r="E1276" t="str">
            <v>螺桩</v>
          </cell>
          <cell r="F1276" t="str">
            <v>11S30121</v>
          </cell>
          <cell r="G1276" t="str">
            <v>4</v>
          </cell>
        </row>
        <row r="1277">
          <cell r="B1277" t="str">
            <v>7101062792</v>
          </cell>
          <cell r="C1277" t="str">
            <v>G2301-3217</v>
          </cell>
          <cell r="D1277" t="str">
            <v>000042944240110900</v>
          </cell>
          <cell r="E1277" t="str">
            <v>螺桩</v>
          </cell>
          <cell r="F1277" t="str">
            <v>11S30121</v>
          </cell>
          <cell r="G1277" t="str">
            <v>4</v>
          </cell>
        </row>
        <row r="1278">
          <cell r="B1278" t="str">
            <v>7101062901</v>
          </cell>
          <cell r="C1278" t="str">
            <v>G2601-0256</v>
          </cell>
          <cell r="D1278" t="str">
            <v>000042944000113875</v>
          </cell>
          <cell r="E1278" t="str">
            <v>垫片</v>
          </cell>
          <cell r="F1278" t="str">
            <v>019111002401</v>
          </cell>
          <cell r="G1278" t="str">
            <v>-</v>
          </cell>
        </row>
        <row r="1279">
          <cell r="B1279" t="str">
            <v>7101062902</v>
          </cell>
          <cell r="C1279" t="str">
            <v>G2601-0256</v>
          </cell>
          <cell r="D1279" t="str">
            <v>000042944000113875</v>
          </cell>
          <cell r="E1279" t="str">
            <v>垫片</v>
          </cell>
          <cell r="F1279" t="str">
            <v>019111002401</v>
          </cell>
          <cell r="G1279" t="str">
            <v>-</v>
          </cell>
        </row>
        <row r="1280">
          <cell r="B1280" t="str">
            <v>7101062903</v>
          </cell>
          <cell r="C1280" t="str">
            <v>G2601-0256</v>
          </cell>
          <cell r="D1280" t="str">
            <v>000042944000113875</v>
          </cell>
          <cell r="E1280" t="str">
            <v>垫片</v>
          </cell>
          <cell r="F1280" t="str">
            <v>019111002401</v>
          </cell>
          <cell r="G1280" t="str">
            <v>-</v>
          </cell>
        </row>
        <row r="1281">
          <cell r="B1281" t="str">
            <v>7101062905</v>
          </cell>
          <cell r="C1281" t="str">
            <v>G2601-0256</v>
          </cell>
          <cell r="D1281" t="str">
            <v>000042944000113875</v>
          </cell>
          <cell r="E1281" t="str">
            <v>垫片</v>
          </cell>
          <cell r="F1281" t="str">
            <v>019111002401</v>
          </cell>
          <cell r="G1281" t="str">
            <v>-</v>
          </cell>
        </row>
        <row r="1282">
          <cell r="B1282" t="str">
            <v>7101062952</v>
          </cell>
          <cell r="C1282" t="str">
            <v>G2508-0766</v>
          </cell>
          <cell r="D1282" t="str">
            <v>000042944319002140</v>
          </cell>
          <cell r="E1282" t="str">
            <v>VSV螺母</v>
          </cell>
          <cell r="F1282" t="str">
            <v>S20.4.2023</v>
          </cell>
          <cell r="G1282" t="str">
            <v>-</v>
          </cell>
        </row>
        <row r="1283">
          <cell r="B1283" t="str">
            <v>7101062955</v>
          </cell>
          <cell r="C1283" t="str">
            <v>G2508-0766</v>
          </cell>
          <cell r="D1283" t="str">
            <v>000042944319002140</v>
          </cell>
          <cell r="E1283" t="str">
            <v>VSV螺母</v>
          </cell>
          <cell r="F1283" t="str">
            <v>S20.4.2023</v>
          </cell>
          <cell r="G1283" t="str">
            <v>-</v>
          </cell>
        </row>
        <row r="1284">
          <cell r="B1284" t="str">
            <v>7101063112</v>
          </cell>
          <cell r="C1284" t="str">
            <v>G2507-1943</v>
          </cell>
          <cell r="D1284" t="str">
            <v>000042944201016205</v>
          </cell>
          <cell r="E1284" t="str">
            <v>六角头螺栓</v>
          </cell>
          <cell r="F1284" t="str">
            <v>S10.1.1266</v>
          </cell>
          <cell r="G1284" t="str">
            <v>-</v>
          </cell>
        </row>
        <row r="1285">
          <cell r="B1285" t="str">
            <v>7101063163</v>
          </cell>
          <cell r="C1285" t="str">
            <v>G2504-1812</v>
          </cell>
          <cell r="D1285" t="str">
            <v>000042944000126743</v>
          </cell>
          <cell r="E1285" t="str">
            <v>连杆</v>
          </cell>
          <cell r="F1285" t="str">
            <v>019155040201</v>
          </cell>
          <cell r="G1285" t="str">
            <v>-</v>
          </cell>
        </row>
        <row r="1286">
          <cell r="B1286" t="str">
            <v>7101063164</v>
          </cell>
          <cell r="C1286" t="str">
            <v>G2504-1812</v>
          </cell>
          <cell r="D1286" t="str">
            <v>000042944000126743</v>
          </cell>
          <cell r="E1286" t="str">
            <v>连杆</v>
          </cell>
          <cell r="F1286" t="str">
            <v>019155040201</v>
          </cell>
          <cell r="G1286" t="str">
            <v>-</v>
          </cell>
        </row>
        <row r="1287">
          <cell r="B1287" t="str">
            <v>7101063261</v>
          </cell>
          <cell r="C1287" t="str">
            <v>G2404-1353</v>
          </cell>
          <cell r="D1287" t="str">
            <v>000042944288002855</v>
          </cell>
          <cell r="E1287" t="str">
            <v>十二角自锁螺母</v>
          </cell>
          <cell r="F1287" t="str">
            <v>ΦU125924</v>
          </cell>
          <cell r="G1287" t="str">
            <v>-</v>
          </cell>
        </row>
        <row r="1288">
          <cell r="B1288" t="str">
            <v>7101063695</v>
          </cell>
          <cell r="C1288" t="str">
            <v>G2512-0302</v>
          </cell>
          <cell r="D1288" t="str">
            <v>000042944404000556</v>
          </cell>
          <cell r="E1288" t="str">
            <v>角形垂直单耳止动垫圈</v>
          </cell>
          <cell r="F1288" t="str">
            <v>Q/S15.1165-2011</v>
          </cell>
          <cell r="G1288" t="str">
            <v>A-6-9.5</v>
          </cell>
        </row>
        <row r="1289">
          <cell r="B1289" t="str">
            <v>7101063696</v>
          </cell>
          <cell r="C1289" t="str">
            <v>G2512-0302</v>
          </cell>
          <cell r="D1289" t="str">
            <v>000042944404000556</v>
          </cell>
          <cell r="E1289" t="str">
            <v>角形垂直单耳止动垫圈</v>
          </cell>
          <cell r="F1289" t="str">
            <v>Q/S15.1165-2011</v>
          </cell>
          <cell r="G1289" t="str">
            <v>A-6-9.5</v>
          </cell>
        </row>
        <row r="1290">
          <cell r="B1290" t="str">
            <v>7101063698</v>
          </cell>
          <cell r="C1290" t="str">
            <v>G2504-0162</v>
          </cell>
          <cell r="D1290" t="str">
            <v>000042944360113861</v>
          </cell>
          <cell r="E1290" t="str">
            <v>回油销</v>
          </cell>
          <cell r="F1290" t="str">
            <v>019111001601</v>
          </cell>
          <cell r="G1290" t="str">
            <v>-</v>
          </cell>
        </row>
        <row r="1291">
          <cell r="B1291" t="str">
            <v>7101063699</v>
          </cell>
          <cell r="C1291" t="str">
            <v>G2502-0867</v>
          </cell>
          <cell r="D1291" t="str">
            <v>000042944360075211</v>
          </cell>
          <cell r="E1291" t="str">
            <v>台阶销</v>
          </cell>
          <cell r="F1291" t="str">
            <v>S15.15.1109P</v>
          </cell>
          <cell r="G1291" t="str">
            <v>-</v>
          </cell>
        </row>
        <row r="1292">
          <cell r="B1292" t="str">
            <v>7101063699</v>
          </cell>
          <cell r="C1292" t="str">
            <v>G2512-0464</v>
          </cell>
          <cell r="D1292" t="str">
            <v>000042944360075211</v>
          </cell>
          <cell r="E1292" t="str">
            <v>台阶销</v>
          </cell>
          <cell r="F1292" t="str">
            <v>S15.15.1109P</v>
          </cell>
          <cell r="G1292" t="str">
            <v>-</v>
          </cell>
        </row>
        <row r="1293">
          <cell r="B1293" t="str">
            <v>7101063721</v>
          </cell>
          <cell r="C1293" t="str">
            <v>G2510-0891</v>
          </cell>
          <cell r="D1293" t="str">
            <v>000042944319001889</v>
          </cell>
          <cell r="E1293" t="str">
            <v>盘后托板螺母</v>
          </cell>
          <cell r="F1293" t="str">
            <v>S10.4.1402</v>
          </cell>
          <cell r="G1293" t="str">
            <v>-</v>
          </cell>
        </row>
        <row r="1294">
          <cell r="B1294" t="str">
            <v>7101063722</v>
          </cell>
          <cell r="C1294" t="str">
            <v>G2510-0891</v>
          </cell>
          <cell r="D1294" t="str">
            <v>000042944319001889</v>
          </cell>
          <cell r="E1294" t="str">
            <v>盘后托板螺母</v>
          </cell>
          <cell r="F1294" t="str">
            <v>S10.4.1402</v>
          </cell>
          <cell r="G1294" t="str">
            <v>-</v>
          </cell>
        </row>
        <row r="1295">
          <cell r="B1295" t="str">
            <v>7101063723</v>
          </cell>
          <cell r="C1295" t="str">
            <v>G2509-2520</v>
          </cell>
          <cell r="D1295" t="str">
            <v>000042944319001889</v>
          </cell>
          <cell r="E1295" t="str">
            <v>盘后托板螺母</v>
          </cell>
          <cell r="F1295" t="str">
            <v>S10.4.1402</v>
          </cell>
          <cell r="G1295" t="str">
            <v>-</v>
          </cell>
        </row>
        <row r="1296">
          <cell r="B1296" t="str">
            <v>7101063810</v>
          </cell>
          <cell r="C1296" t="str">
            <v>G2502-0780</v>
          </cell>
          <cell r="D1296" t="str">
            <v>000042944319001884</v>
          </cell>
          <cell r="E1296" t="str">
            <v>托板螺母</v>
          </cell>
          <cell r="F1296" t="str">
            <v>S10.33.1025</v>
          </cell>
          <cell r="G1296" t="str">
            <v>-</v>
          </cell>
        </row>
        <row r="1297">
          <cell r="B1297" t="str">
            <v>7101063815</v>
          </cell>
          <cell r="C1297" t="str">
            <v>G2502-0780</v>
          </cell>
          <cell r="D1297" t="str">
            <v>000042944319001884</v>
          </cell>
          <cell r="E1297" t="str">
            <v>托板螺母</v>
          </cell>
          <cell r="F1297" t="str">
            <v>S10.33.1025</v>
          </cell>
          <cell r="G1297" t="str">
            <v>-</v>
          </cell>
        </row>
        <row r="1298">
          <cell r="B1298" t="str">
            <v>7101063845</v>
          </cell>
          <cell r="C1298" t="str">
            <v>G2511-1255</v>
          </cell>
          <cell r="D1298" t="str">
            <v>000042944000004200</v>
          </cell>
          <cell r="E1298" t="str">
            <v>下部转接座电缆卡箍(右)</v>
          </cell>
          <cell r="F1298" t="str">
            <v>S20.00.2130</v>
          </cell>
          <cell r="G1298" t="str">
            <v>-</v>
          </cell>
        </row>
        <row r="1299">
          <cell r="B1299" t="str">
            <v>7101063846</v>
          </cell>
          <cell r="C1299" t="str">
            <v>G2511-1255</v>
          </cell>
          <cell r="D1299" t="str">
            <v>000042944000004200</v>
          </cell>
          <cell r="E1299" t="str">
            <v>下部转接座电缆卡箍(右)</v>
          </cell>
          <cell r="F1299" t="str">
            <v>S20.00.2130</v>
          </cell>
          <cell r="G1299" t="str">
            <v>-</v>
          </cell>
        </row>
        <row r="1300">
          <cell r="B1300" t="str">
            <v>7101063847</v>
          </cell>
          <cell r="C1300" t="str">
            <v>G2511-1255</v>
          </cell>
          <cell r="D1300" t="str">
            <v>000042944000004200</v>
          </cell>
          <cell r="E1300" t="str">
            <v>下部转接座电缆卡箍(右)</v>
          </cell>
          <cell r="F1300" t="str">
            <v>S20.00.2130</v>
          </cell>
          <cell r="G1300" t="str">
            <v>-</v>
          </cell>
        </row>
        <row r="1301">
          <cell r="B1301" t="str">
            <v>7101064579</v>
          </cell>
          <cell r="C1301" t="str">
            <v>G2509-2598</v>
          </cell>
          <cell r="D1301" t="str">
            <v>000042944160011147</v>
          </cell>
          <cell r="E1301" t="str">
            <v>螺钉,六角头,螺纹公差带6e</v>
          </cell>
          <cell r="F1301" t="str">
            <v>Q/S15.1025-2011</v>
          </cell>
          <cell r="G1301" t="str">
            <v>6-12</v>
          </cell>
        </row>
        <row r="1302">
          <cell r="B1302" t="str">
            <v>7101064829</v>
          </cell>
          <cell r="C1302" t="str">
            <v>G2504-0120</v>
          </cell>
          <cell r="D1302" t="str">
            <v>000042944240110895</v>
          </cell>
          <cell r="E1302" t="str">
            <v>螺桩</v>
          </cell>
          <cell r="F1302" t="str">
            <v>11S30122</v>
          </cell>
          <cell r="G1302" t="str">
            <v>DG2</v>
          </cell>
        </row>
        <row r="1303">
          <cell r="B1303" t="str">
            <v>7101064897</v>
          </cell>
          <cell r="C1303" t="str">
            <v>G2504-0765</v>
          </cell>
          <cell r="D1303" t="str">
            <v>000042944320126699</v>
          </cell>
          <cell r="E1303" t="str">
            <v>铆钉</v>
          </cell>
          <cell r="F1303" t="str">
            <v>11S70201</v>
          </cell>
          <cell r="G1303" t="str">
            <v>Ⅰ</v>
          </cell>
        </row>
        <row r="1304">
          <cell r="B1304" t="str">
            <v>7101064899</v>
          </cell>
          <cell r="C1304" t="str">
            <v>G2412-2987</v>
          </cell>
          <cell r="D1304" t="str">
            <v>000042944320126700</v>
          </cell>
          <cell r="E1304" t="str">
            <v>铆钉</v>
          </cell>
          <cell r="F1304" t="str">
            <v>11S70201</v>
          </cell>
          <cell r="G1304" t="str">
            <v>Ⅱ</v>
          </cell>
        </row>
        <row r="1305">
          <cell r="B1305" t="str">
            <v>7101064901</v>
          </cell>
          <cell r="C1305" t="str">
            <v>G2504-0767</v>
          </cell>
          <cell r="D1305" t="str">
            <v>000042944320126702</v>
          </cell>
          <cell r="E1305" t="str">
            <v>铆钉</v>
          </cell>
          <cell r="F1305" t="str">
            <v>11S70201</v>
          </cell>
          <cell r="G1305" t="str">
            <v>Ⅳ</v>
          </cell>
        </row>
        <row r="1306">
          <cell r="B1306" t="str">
            <v>7101064903</v>
          </cell>
          <cell r="C1306" t="str">
            <v>G2504-0768</v>
          </cell>
          <cell r="D1306" t="str">
            <v>000042944320126703</v>
          </cell>
          <cell r="E1306" t="str">
            <v>铆钉</v>
          </cell>
          <cell r="F1306" t="str">
            <v>11S70201</v>
          </cell>
          <cell r="G1306" t="str">
            <v>Ⅴ</v>
          </cell>
        </row>
        <row r="1307">
          <cell r="B1307" t="str">
            <v>7101064910</v>
          </cell>
          <cell r="C1307" t="str">
            <v>G2504-0160</v>
          </cell>
          <cell r="D1307" t="str">
            <v>000042944360113289</v>
          </cell>
          <cell r="E1307" t="str">
            <v>防转销</v>
          </cell>
          <cell r="F1307" t="str">
            <v>11S70154</v>
          </cell>
          <cell r="G1307" t="str">
            <v>-</v>
          </cell>
        </row>
        <row r="1308">
          <cell r="B1308" t="str">
            <v>7101064913</v>
          </cell>
          <cell r="C1308" t="str">
            <v>G2504-1293</v>
          </cell>
          <cell r="D1308" t="str">
            <v>000042944360113290</v>
          </cell>
          <cell r="E1308" t="str">
            <v>定位销</v>
          </cell>
          <cell r="F1308" t="str">
            <v>11S70264</v>
          </cell>
          <cell r="G1308" t="str">
            <v>-</v>
          </cell>
        </row>
        <row r="1309">
          <cell r="B1309" t="str">
            <v>7101064916</v>
          </cell>
          <cell r="C1309" t="str">
            <v>G2504-1031</v>
          </cell>
          <cell r="D1309" t="str">
            <v>000042944360113302</v>
          </cell>
          <cell r="E1309" t="str">
            <v>定位销</v>
          </cell>
          <cell r="F1309" t="str">
            <v>11S70244</v>
          </cell>
          <cell r="G1309" t="str">
            <v>-</v>
          </cell>
        </row>
        <row r="1310">
          <cell r="B1310" t="str">
            <v>7101064916</v>
          </cell>
          <cell r="C1310" t="str">
            <v>G2504-1031</v>
          </cell>
          <cell r="D1310" t="str">
            <v>000042944360113302</v>
          </cell>
          <cell r="E1310" t="str">
            <v>定位销</v>
          </cell>
          <cell r="F1310" t="str">
            <v>11S70244</v>
          </cell>
          <cell r="G1310" t="str">
            <v>-</v>
          </cell>
        </row>
        <row r="1311">
          <cell r="B1311" t="str">
            <v>7101064923</v>
          </cell>
          <cell r="C1311" t="str">
            <v>G2504-1037</v>
          </cell>
          <cell r="D1311" t="str">
            <v>000042944999113281</v>
          </cell>
          <cell r="E1311" t="str">
            <v>耳环</v>
          </cell>
          <cell r="F1311" t="str">
            <v>019155011901</v>
          </cell>
          <cell r="G1311" t="str">
            <v>-</v>
          </cell>
        </row>
        <row r="1312">
          <cell r="B1312" t="str">
            <v>7101064923</v>
          </cell>
          <cell r="C1312" t="str">
            <v>G2509-0547</v>
          </cell>
          <cell r="D1312" t="str">
            <v>000042944360159446</v>
          </cell>
          <cell r="E1312" t="str">
            <v>止动销</v>
          </cell>
          <cell r="F1312" t="str">
            <v>11S70163</v>
          </cell>
          <cell r="G1312" t="str">
            <v>Ⅱ</v>
          </cell>
        </row>
        <row r="1313">
          <cell r="B1313" t="str">
            <v>7101064923</v>
          </cell>
          <cell r="C1313" t="str">
            <v>G2508-1145</v>
          </cell>
          <cell r="D1313" t="str">
            <v>000042944360158726</v>
          </cell>
          <cell r="E1313" t="str">
            <v>止动销</v>
          </cell>
          <cell r="F1313" t="str">
            <v>11S70163</v>
          </cell>
          <cell r="G1313" t="str">
            <v>Ⅰ</v>
          </cell>
        </row>
        <row r="1314">
          <cell r="B1314" t="str">
            <v>7101065229</v>
          </cell>
          <cell r="C1314" t="str">
            <v>G2510-0152</v>
          </cell>
          <cell r="D1314" t="str">
            <v>000042944999052421</v>
          </cell>
          <cell r="E1314" t="str">
            <v>管接头</v>
          </cell>
          <cell r="F1314" t="str">
            <v>TY11-0559</v>
          </cell>
          <cell r="G1314" t="str">
            <v>-</v>
          </cell>
        </row>
        <row r="1315">
          <cell r="B1315" t="str">
            <v>7101065229</v>
          </cell>
          <cell r="C1315" t="str">
            <v>G2510-0152</v>
          </cell>
          <cell r="D1315" t="str">
            <v>000042944999052421</v>
          </cell>
          <cell r="E1315" t="str">
            <v>管接头</v>
          </cell>
          <cell r="F1315" t="str">
            <v>TY11-0559</v>
          </cell>
          <cell r="G1315" t="str">
            <v>-</v>
          </cell>
        </row>
        <row r="1316">
          <cell r="B1316" t="str">
            <v>7101065544</v>
          </cell>
          <cell r="C1316" t="str">
            <v>G2512-0315</v>
          </cell>
          <cell r="D1316" t="str">
            <v>000042944000075204</v>
          </cell>
          <cell r="E1316" t="str">
            <v>锁片</v>
          </cell>
          <cell r="F1316" t="str">
            <v>S15.15.1023P</v>
          </cell>
          <cell r="G1316" t="str">
            <v>-</v>
          </cell>
        </row>
        <row r="1317">
          <cell r="B1317" t="str">
            <v>7101065545</v>
          </cell>
          <cell r="C1317" t="str">
            <v>G2504-3724</v>
          </cell>
          <cell r="D1317" t="str">
            <v>000042944000075204</v>
          </cell>
          <cell r="E1317" t="str">
            <v>锁片</v>
          </cell>
          <cell r="F1317" t="str">
            <v>S15.15.1023P</v>
          </cell>
          <cell r="G1317" t="str">
            <v>-</v>
          </cell>
        </row>
        <row r="1318">
          <cell r="B1318" t="str">
            <v>7101065545</v>
          </cell>
          <cell r="C1318" t="str">
            <v>G2512-0315</v>
          </cell>
          <cell r="D1318" t="str">
            <v>000042944000075204</v>
          </cell>
          <cell r="E1318" t="str">
            <v>锁片</v>
          </cell>
          <cell r="F1318" t="str">
            <v>S15.15.1023P</v>
          </cell>
          <cell r="G1318" t="str">
            <v>-</v>
          </cell>
        </row>
        <row r="1319">
          <cell r="B1319" t="str">
            <v>7101065911</v>
          </cell>
          <cell r="C1319" t="str">
            <v>G2509-2568</v>
          </cell>
          <cell r="D1319" t="str">
            <v>000042944240084472</v>
          </cell>
          <cell r="E1319" t="str">
            <v>螺柱</v>
          </cell>
          <cell r="F1319" t="str">
            <v>11S30071</v>
          </cell>
          <cell r="G1319" t="str">
            <v>CG2</v>
          </cell>
        </row>
        <row r="1320">
          <cell r="B1320" t="str">
            <v>7101065912</v>
          </cell>
          <cell r="C1320" t="str">
            <v>G2504-1867</v>
          </cell>
          <cell r="D1320" t="str">
            <v>000042944240084472</v>
          </cell>
          <cell r="E1320" t="str">
            <v>螺柱</v>
          </cell>
          <cell r="F1320" t="str">
            <v>11S30071</v>
          </cell>
          <cell r="G1320" t="str">
            <v>Ⅱ</v>
          </cell>
        </row>
        <row r="1321">
          <cell r="B1321" t="str">
            <v>7101065912</v>
          </cell>
          <cell r="C1321" t="str">
            <v>G2302-1464</v>
          </cell>
          <cell r="D1321" t="str">
            <v>000042944240084472</v>
          </cell>
          <cell r="E1321" t="str">
            <v>螺柱</v>
          </cell>
          <cell r="F1321" t="str">
            <v>11S30071</v>
          </cell>
          <cell r="G1321" t="str">
            <v>Ⅱ</v>
          </cell>
        </row>
        <row r="1322">
          <cell r="B1322" t="str">
            <v>7101065912</v>
          </cell>
          <cell r="C1322" t="str">
            <v>G2509-2568</v>
          </cell>
          <cell r="D1322" t="str">
            <v>000042944240084472</v>
          </cell>
          <cell r="E1322" t="str">
            <v>螺柱</v>
          </cell>
          <cell r="F1322" t="str">
            <v>11S30071</v>
          </cell>
          <cell r="G1322" t="str">
            <v>Ⅱ</v>
          </cell>
        </row>
        <row r="1323">
          <cell r="B1323" t="str">
            <v>7101066011</v>
          </cell>
          <cell r="C1323" t="str">
            <v>G2510-0208</v>
          </cell>
          <cell r="D1323" t="str">
            <v>000042944320126701</v>
          </cell>
          <cell r="E1323" t="str">
            <v>铆钉</v>
          </cell>
          <cell r="F1323" t="str">
            <v>11S70201</v>
          </cell>
          <cell r="G1323" t="str">
            <v>Ⅲ</v>
          </cell>
        </row>
        <row r="1324">
          <cell r="B1324" t="str">
            <v>7101066011</v>
          </cell>
          <cell r="C1324" t="str">
            <v>G2504-1324</v>
          </cell>
          <cell r="D1324" t="str">
            <v>000042944320126701</v>
          </cell>
          <cell r="E1324" t="str">
            <v>铆钉</v>
          </cell>
          <cell r="F1324" t="str">
            <v>11S70201</v>
          </cell>
          <cell r="G1324" t="str">
            <v>Ⅲ</v>
          </cell>
        </row>
        <row r="1325">
          <cell r="B1325" t="str">
            <v>7101066012</v>
          </cell>
          <cell r="C1325" t="str">
            <v>G2504-0212</v>
          </cell>
          <cell r="D1325" t="str">
            <v>000042944320125329</v>
          </cell>
          <cell r="E1325" t="str">
            <v>铆钉</v>
          </cell>
          <cell r="F1325" t="str">
            <v>019152107202</v>
          </cell>
          <cell r="G1325" t="str">
            <v>-</v>
          </cell>
        </row>
        <row r="1326">
          <cell r="B1326" t="str">
            <v>7101066057</v>
          </cell>
          <cell r="C1326" t="str">
            <v>G2508-1011</v>
          </cell>
          <cell r="D1326" t="str">
            <v>000042944000113877</v>
          </cell>
          <cell r="E1326" t="str">
            <v>联动环衬垫</v>
          </cell>
          <cell r="F1326" t="str">
            <v>019111002701</v>
          </cell>
          <cell r="G1326" t="str">
            <v>-</v>
          </cell>
        </row>
        <row r="1327">
          <cell r="B1327" t="str">
            <v>7101066057</v>
          </cell>
          <cell r="C1327" t="str">
            <v>G2508-1011</v>
          </cell>
          <cell r="D1327" t="str">
            <v>000042944000113877</v>
          </cell>
          <cell r="E1327" t="str">
            <v>联动环衬垫</v>
          </cell>
          <cell r="F1327" t="str">
            <v>019111002701</v>
          </cell>
          <cell r="G1327" t="str">
            <v>-</v>
          </cell>
        </row>
        <row r="1328">
          <cell r="B1328" t="str">
            <v>7101066061</v>
          </cell>
          <cell r="C1328" t="str">
            <v>G2509-1858</v>
          </cell>
          <cell r="D1328" t="str">
            <v>000042944160113876</v>
          </cell>
          <cell r="E1328" t="str">
            <v>限位螺钉</v>
          </cell>
          <cell r="F1328" t="str">
            <v>019111002501</v>
          </cell>
          <cell r="G1328" t="str">
            <v>-</v>
          </cell>
        </row>
        <row r="1329">
          <cell r="B1329" t="str">
            <v>7101066063</v>
          </cell>
          <cell r="C1329" t="str">
            <v>G2509-1859</v>
          </cell>
          <cell r="D1329" t="str">
            <v>000042944160113876</v>
          </cell>
          <cell r="E1329" t="str">
            <v>限位螺钉</v>
          </cell>
          <cell r="F1329" t="str">
            <v>019111002501</v>
          </cell>
          <cell r="G1329" t="str">
            <v>-</v>
          </cell>
        </row>
        <row r="1330">
          <cell r="B1330" t="str">
            <v>7101066064</v>
          </cell>
          <cell r="C1330" t="str">
            <v>G2508-1145</v>
          </cell>
          <cell r="D1330" t="str">
            <v>000042944360158726</v>
          </cell>
          <cell r="E1330" t="str">
            <v>止动销</v>
          </cell>
          <cell r="F1330" t="str">
            <v>11S70163</v>
          </cell>
          <cell r="G1330" t="str">
            <v>Ⅰ</v>
          </cell>
        </row>
        <row r="1331">
          <cell r="B1331" t="str">
            <v>7101066065</v>
          </cell>
          <cell r="C1331" t="str">
            <v>G2509-1574</v>
          </cell>
          <cell r="D1331" t="str">
            <v>000042944360158726</v>
          </cell>
          <cell r="E1331" t="str">
            <v>止动销</v>
          </cell>
          <cell r="F1331" t="str">
            <v>11S70163</v>
          </cell>
          <cell r="G1331" t="str">
            <v>Ⅰ</v>
          </cell>
        </row>
        <row r="1332">
          <cell r="B1332" t="str">
            <v>7101066071</v>
          </cell>
          <cell r="C1332" t="str">
            <v>G2509-0881</v>
          </cell>
          <cell r="D1332" t="str">
            <v>000042944319001895</v>
          </cell>
          <cell r="E1332" t="str">
            <v>鼓筒前连接螺母</v>
          </cell>
          <cell r="F1332" t="str">
            <v>S10.4.1404</v>
          </cell>
          <cell r="G1332" t="str">
            <v>-</v>
          </cell>
        </row>
        <row r="1333">
          <cell r="B1333" t="str">
            <v>7101079862</v>
          </cell>
          <cell r="C1333" t="str">
            <v>G2511-0087</v>
          </cell>
          <cell r="D1333" t="str">
            <v>000042944288002484</v>
          </cell>
          <cell r="E1333" t="str">
            <v>自锁螺母</v>
          </cell>
          <cell r="F1333" t="str">
            <v>S10.37.1050</v>
          </cell>
          <cell r="G1333" t="str">
            <v>-</v>
          </cell>
        </row>
        <row r="1334">
          <cell r="B1334" t="str">
            <v>7101079860</v>
          </cell>
          <cell r="C1334" t="str">
            <v>G2511-0087</v>
          </cell>
          <cell r="D1334" t="str">
            <v>000042944288002484</v>
          </cell>
          <cell r="E1334" t="str">
            <v>自锁螺母</v>
          </cell>
          <cell r="F1334" t="str">
            <v>S10.37.1050</v>
          </cell>
          <cell r="G1334" t="str">
            <v>-</v>
          </cell>
        </row>
        <row r="1335">
          <cell r="B1335" t="str">
            <v>7101066093</v>
          </cell>
          <cell r="C1335" t="str">
            <v>G2508-2366</v>
          </cell>
          <cell r="D1335" t="str">
            <v>000042944288002020</v>
          </cell>
          <cell r="E1335" t="str">
            <v>开槽自锁螺母,十二角,MJ螺纹,螺纹公差带4H6H,镀银,材</v>
          </cell>
          <cell r="F1335" t="str">
            <v>Q/S15.1084-2016</v>
          </cell>
          <cell r="G1335" t="str">
            <v>5</v>
          </cell>
        </row>
        <row r="1336">
          <cell r="B1336" t="str">
            <v>7101066094</v>
          </cell>
          <cell r="C1336" t="str">
            <v>G2508-2366</v>
          </cell>
          <cell r="D1336" t="str">
            <v>000042944288002020</v>
          </cell>
          <cell r="E1336" t="str">
            <v>开槽自锁螺母,十二角,MJ螺纹,螺纹公差带4H6H,镀银,材</v>
          </cell>
          <cell r="F1336" t="str">
            <v>Q/S15.1084-2016</v>
          </cell>
          <cell r="G1336" t="str">
            <v>5</v>
          </cell>
        </row>
        <row r="1337">
          <cell r="B1337" t="str">
            <v>7101079666</v>
          </cell>
          <cell r="C1337" t="str">
            <v>G2506-1204</v>
          </cell>
          <cell r="D1337" t="str">
            <v>000042944440000307</v>
          </cell>
          <cell r="E1337" t="str">
            <v>轴用钢丝挡圈</v>
          </cell>
          <cell r="F1337" t="str">
            <v>GB895.2-1986</v>
          </cell>
          <cell r="G1337" t="str">
            <v>14</v>
          </cell>
        </row>
        <row r="1338">
          <cell r="B1338" t="str">
            <v>7101066095</v>
          </cell>
          <cell r="C1338" t="str">
            <v>G2508-2366</v>
          </cell>
          <cell r="D1338" t="str">
            <v>000042944288002020</v>
          </cell>
          <cell r="E1338" t="str">
            <v>开槽自锁螺母,十二角,MJ螺纹,螺纹公差带4H6H,镀银,材</v>
          </cell>
          <cell r="F1338" t="str">
            <v>Q/S15.1084-2016</v>
          </cell>
          <cell r="G1338" t="str">
            <v>5</v>
          </cell>
        </row>
        <row r="1339">
          <cell r="B1339" t="str">
            <v>7101066096</v>
          </cell>
          <cell r="C1339" t="str">
            <v>G2508-2366</v>
          </cell>
          <cell r="D1339" t="str">
            <v>000042944288002020</v>
          </cell>
          <cell r="E1339" t="str">
            <v>开槽自锁螺母,十二角,MJ螺纹,螺纹公差带4H6H,镀银,材</v>
          </cell>
          <cell r="F1339" t="str">
            <v>Q/S15.1084-2016</v>
          </cell>
          <cell r="G1339" t="str">
            <v>5</v>
          </cell>
        </row>
        <row r="1340">
          <cell r="B1340" t="str">
            <v>7101066097</v>
          </cell>
          <cell r="C1340" t="str">
            <v>G2508-2366</v>
          </cell>
          <cell r="D1340" t="str">
            <v>000042944288002020</v>
          </cell>
          <cell r="E1340" t="str">
            <v>开槽自锁螺母,十二角,MJ螺纹,螺纹公差带4H6H,镀银,材</v>
          </cell>
          <cell r="F1340" t="str">
            <v>Q/S15.1084-2016</v>
          </cell>
          <cell r="G1340" t="str">
            <v>5</v>
          </cell>
        </row>
        <row r="1341">
          <cell r="B1341" t="str">
            <v>7101066143</v>
          </cell>
          <cell r="C1341" t="str">
            <v>G2512-0667</v>
          </cell>
          <cell r="D1341" t="str">
            <v>000042944288002505</v>
          </cell>
          <cell r="E1341" t="str">
            <v>十二角自锁螺母</v>
          </cell>
          <cell r="F1341" t="str">
            <v>S10.4.1216</v>
          </cell>
          <cell r="G1341" t="str">
            <v>-</v>
          </cell>
        </row>
        <row r="1342">
          <cell r="B1342" t="str">
            <v>7101066253</v>
          </cell>
          <cell r="C1342" t="str">
            <v>G2506-0246</v>
          </cell>
          <cell r="D1342" t="str">
            <v>000042944239011703</v>
          </cell>
          <cell r="E1342" t="str">
            <v>十二角头螺栓</v>
          </cell>
          <cell r="F1342" t="str">
            <v>S10.1.1204</v>
          </cell>
          <cell r="G1342" t="str">
            <v>-</v>
          </cell>
        </row>
        <row r="1343">
          <cell r="B1343" t="str">
            <v>7101066286</v>
          </cell>
          <cell r="C1343" t="str">
            <v>G2509-2750</v>
          </cell>
          <cell r="D1343" t="str">
            <v>000042944288002863</v>
          </cell>
          <cell r="E1343" t="str">
            <v>十二角自锁螺母</v>
          </cell>
          <cell r="F1343" t="str">
            <v>ΦU125947</v>
          </cell>
          <cell r="G1343" t="str">
            <v>-</v>
          </cell>
        </row>
        <row r="1344">
          <cell r="B1344" t="str">
            <v>7101066402</v>
          </cell>
          <cell r="C1344" t="str">
            <v>G2512-0465</v>
          </cell>
          <cell r="D1344" t="str">
            <v>000042944360100408</v>
          </cell>
          <cell r="E1344" t="str">
            <v>联动环摇臂销</v>
          </cell>
          <cell r="F1344" t="str">
            <v>S15.15.1006U</v>
          </cell>
          <cell r="G1344" t="str">
            <v>-</v>
          </cell>
        </row>
        <row r="1345">
          <cell r="B1345" t="str">
            <v>7101066403</v>
          </cell>
          <cell r="C1345" t="str">
            <v>G2512-0847</v>
          </cell>
          <cell r="D1345" t="str">
            <v>000042944000052366</v>
          </cell>
          <cell r="E1345" t="str">
            <v>联动环衬垫</v>
          </cell>
          <cell r="F1345" t="str">
            <v>S15.15.1255N</v>
          </cell>
          <cell r="G1345" t="str">
            <v>-</v>
          </cell>
        </row>
        <row r="1346">
          <cell r="B1346" t="str">
            <v>7101066404</v>
          </cell>
          <cell r="C1346" t="str">
            <v>G2512-0847</v>
          </cell>
          <cell r="D1346" t="str">
            <v>000042944000052366</v>
          </cell>
          <cell r="E1346" t="str">
            <v>联动环衬垫</v>
          </cell>
          <cell r="F1346" t="str">
            <v>S15.15.1255N</v>
          </cell>
          <cell r="G1346" t="str">
            <v>-</v>
          </cell>
        </row>
        <row r="1347">
          <cell r="B1347" t="str">
            <v>7101066604</v>
          </cell>
          <cell r="C1347" t="str">
            <v>G2508-2296</v>
          </cell>
          <cell r="D1347" t="str">
            <v>000042944239056621</v>
          </cell>
          <cell r="E1347" t="str">
            <v>小十二角头螺钉</v>
          </cell>
          <cell r="F1347" t="str">
            <v>Q/S15.1072-2016</v>
          </cell>
          <cell r="G1347" t="str">
            <v>6-14d</v>
          </cell>
        </row>
        <row r="1348">
          <cell r="B1348" t="str">
            <v>7101066605</v>
          </cell>
          <cell r="C1348" t="str">
            <v>G2508-2296</v>
          </cell>
          <cell r="D1348" t="str">
            <v>000042944239056621</v>
          </cell>
          <cell r="E1348" t="str">
            <v>小十二角头螺钉</v>
          </cell>
          <cell r="F1348" t="str">
            <v>Q/S15.1072-2016</v>
          </cell>
          <cell r="G1348" t="str">
            <v>6-14d</v>
          </cell>
        </row>
        <row r="1349">
          <cell r="B1349" t="str">
            <v>7101066606</v>
          </cell>
          <cell r="C1349" t="str">
            <v>G2508-2296</v>
          </cell>
          <cell r="D1349" t="str">
            <v>000042944239056621</v>
          </cell>
          <cell r="E1349" t="str">
            <v>小十二角头螺钉</v>
          </cell>
          <cell r="F1349" t="str">
            <v>Q/S15.1072-2016</v>
          </cell>
          <cell r="G1349" t="str">
            <v>6-14d</v>
          </cell>
        </row>
        <row r="1350">
          <cell r="B1350" t="str">
            <v>7101066607</v>
          </cell>
          <cell r="C1350" t="str">
            <v>G2508-2296</v>
          </cell>
          <cell r="D1350" t="str">
            <v>000042944239056621</v>
          </cell>
          <cell r="E1350" t="str">
            <v>小十二角头螺钉</v>
          </cell>
          <cell r="F1350" t="str">
            <v>Q/S15.1072-2016</v>
          </cell>
          <cell r="G1350" t="str">
            <v>6-14d</v>
          </cell>
        </row>
        <row r="1351">
          <cell r="B1351" t="str">
            <v>7101067146</v>
          </cell>
          <cell r="C1351" t="str">
            <v>G02512-072</v>
          </cell>
          <cell r="D1351" t="str">
            <v>000042944360161324</v>
          </cell>
          <cell r="E1351" t="str">
            <v>开口销</v>
          </cell>
          <cell r="F1351" t="str">
            <v>GB/T91-2000(ST)</v>
          </cell>
          <cell r="G1351" t="str">
            <v>2×24</v>
          </cell>
        </row>
        <row r="1352">
          <cell r="B1352" t="str">
            <v>7101067151</v>
          </cell>
          <cell r="C1352" t="str">
            <v>G02509-072</v>
          </cell>
          <cell r="D1352" t="str">
            <v>000042944039037722</v>
          </cell>
          <cell r="E1352" t="str">
            <v>锁紧型有折断槽钢丝螺套</v>
          </cell>
          <cell r="F1352" t="str">
            <v>GJB5109-2002</v>
          </cell>
          <cell r="G1352" t="str">
            <v>6×1×6</v>
          </cell>
        </row>
        <row r="1353">
          <cell r="B1353" t="str">
            <v>7101067353</v>
          </cell>
          <cell r="C1353" t="str">
            <v>G2508-1597</v>
          </cell>
          <cell r="D1353" t="str">
            <v>000042944360005716</v>
          </cell>
          <cell r="E1353" t="str">
            <v>定位销</v>
          </cell>
          <cell r="F1353" t="str">
            <v>S10.7.1691</v>
          </cell>
          <cell r="G1353" t="str">
            <v>-</v>
          </cell>
        </row>
        <row r="1354">
          <cell r="B1354" t="str">
            <v>7101079640</v>
          </cell>
          <cell r="C1354" t="str">
            <v>G2601-0291</v>
          </cell>
          <cell r="D1354" t="str">
            <v>000042944288000010</v>
          </cell>
          <cell r="E1354" t="str">
            <v>十二角自锁螺母</v>
          </cell>
          <cell r="F1354" t="str">
            <v>11S40096</v>
          </cell>
          <cell r="G1354" t="str">
            <v>-</v>
          </cell>
        </row>
        <row r="1355">
          <cell r="B1355" t="str">
            <v>7101079640</v>
          </cell>
          <cell r="C1355" t="str">
            <v>G2601-0291</v>
          </cell>
          <cell r="D1355" t="str">
            <v>000042944288000010</v>
          </cell>
          <cell r="E1355" t="str">
            <v>十二角自锁螺母</v>
          </cell>
          <cell r="F1355" t="str">
            <v>11S40096</v>
          </cell>
          <cell r="G1355" t="str">
            <v>-</v>
          </cell>
        </row>
        <row r="1356">
          <cell r="B1356" t="str">
            <v>7101067524</v>
          </cell>
          <cell r="C1356" t="str">
            <v>G2512-0314</v>
          </cell>
          <cell r="D1356" t="str">
            <v>000042944000116570</v>
          </cell>
          <cell r="E1356" t="str">
            <v>油滤壳体</v>
          </cell>
          <cell r="F1356" t="str">
            <v>S15.34.1053U</v>
          </cell>
          <cell r="G1356" t="str">
            <v>-</v>
          </cell>
        </row>
        <row r="1357">
          <cell r="B1357" t="str">
            <v>7101067525</v>
          </cell>
          <cell r="C1357" t="str">
            <v>G2512-0314</v>
          </cell>
          <cell r="D1357" t="str">
            <v>000042944000116570</v>
          </cell>
          <cell r="E1357" t="str">
            <v>油滤壳体</v>
          </cell>
          <cell r="F1357" t="str">
            <v>S15.34.1053U</v>
          </cell>
          <cell r="G1357" t="str">
            <v>-</v>
          </cell>
        </row>
        <row r="1358">
          <cell r="B1358" t="str">
            <v>7101067526</v>
          </cell>
          <cell r="C1358" t="str">
            <v>G2512-0314</v>
          </cell>
          <cell r="D1358" t="str">
            <v>000042944000116570</v>
          </cell>
          <cell r="E1358" t="str">
            <v>油滤壳体</v>
          </cell>
          <cell r="F1358" t="str">
            <v>S15.34.1053U</v>
          </cell>
          <cell r="G1358" t="str">
            <v>-</v>
          </cell>
        </row>
        <row r="1359">
          <cell r="B1359" t="str">
            <v>7101067620</v>
          </cell>
          <cell r="C1359" t="str">
            <v>G2508-0814</v>
          </cell>
          <cell r="D1359" t="str">
            <v>000042944288002020</v>
          </cell>
          <cell r="E1359" t="str">
            <v>开槽自锁螺母,十二角,MJ螺纹,螺纹公差带4H6H,镀银,材</v>
          </cell>
          <cell r="F1359" t="str">
            <v>Q/S15.1084-2016</v>
          </cell>
          <cell r="G1359" t="str">
            <v>5</v>
          </cell>
        </row>
        <row r="1360">
          <cell r="B1360" t="str">
            <v>7101067663</v>
          </cell>
          <cell r="C1360" t="str">
            <v>G2504-0756</v>
          </cell>
          <cell r="D1360" t="str">
            <v>000042944000131920</v>
          </cell>
          <cell r="E1360" t="str">
            <v>导叶衬垫</v>
          </cell>
          <cell r="F1360" t="str">
            <v>019111009701</v>
          </cell>
          <cell r="G1360" t="str">
            <v>Ⅱ</v>
          </cell>
        </row>
        <row r="1361">
          <cell r="B1361" t="str">
            <v>7101067684</v>
          </cell>
          <cell r="C1361" t="str">
            <v>G2508-0269</v>
          </cell>
          <cell r="D1361" t="str">
            <v>000042944360100408</v>
          </cell>
          <cell r="E1361" t="str">
            <v>联动环摇臂销</v>
          </cell>
          <cell r="F1361" t="str">
            <v>S15.15.1006U</v>
          </cell>
          <cell r="G1361" t="str">
            <v>-</v>
          </cell>
        </row>
        <row r="1362">
          <cell r="B1362" t="str">
            <v>7101067685</v>
          </cell>
          <cell r="C1362" t="str">
            <v>G2506-1056</v>
          </cell>
          <cell r="D1362" t="str">
            <v>000042944360100408</v>
          </cell>
          <cell r="E1362" t="str">
            <v>联动环摇臂销</v>
          </cell>
          <cell r="F1362" t="str">
            <v>S15.15.1006U</v>
          </cell>
          <cell r="G1362" t="str">
            <v>-</v>
          </cell>
        </row>
        <row r="1363">
          <cell r="B1363" t="str">
            <v>7101067686</v>
          </cell>
          <cell r="C1363" t="str">
            <v>G2507-0911</v>
          </cell>
          <cell r="D1363" t="str">
            <v>000042944360100408</v>
          </cell>
          <cell r="E1363" t="str">
            <v>联动环摇臂销</v>
          </cell>
          <cell r="F1363" t="str">
            <v>S15.15.1006U</v>
          </cell>
          <cell r="G1363" t="str">
            <v>-</v>
          </cell>
        </row>
        <row r="1364">
          <cell r="B1364" t="str">
            <v>7101067691</v>
          </cell>
          <cell r="C1364" t="str">
            <v>G2412-2856</v>
          </cell>
          <cell r="D1364" t="str">
            <v>000042944360100408</v>
          </cell>
          <cell r="E1364" t="str">
            <v>联动环摇臂销</v>
          </cell>
          <cell r="F1364" t="str">
            <v>S15.15.1006U</v>
          </cell>
          <cell r="G1364" t="str">
            <v>-</v>
          </cell>
        </row>
        <row r="1365">
          <cell r="B1365" t="str">
            <v>7101067695</v>
          </cell>
          <cell r="C1365" t="str">
            <v>G2508-0474</v>
          </cell>
          <cell r="D1365" t="str">
            <v>000042944360100408</v>
          </cell>
          <cell r="E1365" t="str">
            <v>联动环摇臂销</v>
          </cell>
          <cell r="F1365" t="str">
            <v>S15.15.1006U</v>
          </cell>
          <cell r="G1365" t="str">
            <v>-</v>
          </cell>
        </row>
        <row r="1366">
          <cell r="B1366" t="str">
            <v>7101067699</v>
          </cell>
          <cell r="C1366" t="str">
            <v>G2508-0269</v>
          </cell>
          <cell r="D1366" t="str">
            <v>000042944360100408</v>
          </cell>
          <cell r="E1366" t="str">
            <v>联动环摇臂销</v>
          </cell>
          <cell r="F1366" t="str">
            <v>S15.15.1006U</v>
          </cell>
          <cell r="G1366" t="str">
            <v>-</v>
          </cell>
        </row>
        <row r="1367">
          <cell r="B1367" t="str">
            <v>7101067740</v>
          </cell>
          <cell r="C1367" t="str">
            <v>G2411-0712</v>
          </cell>
          <cell r="D1367" t="str">
            <v>000042944000052366</v>
          </cell>
          <cell r="E1367" t="str">
            <v>联动环衬垫</v>
          </cell>
          <cell r="F1367" t="str">
            <v>S15.15.1255N</v>
          </cell>
          <cell r="G1367" t="str">
            <v>-</v>
          </cell>
        </row>
        <row r="1368">
          <cell r="B1368" t="str">
            <v>7101067748</v>
          </cell>
          <cell r="C1368" t="str">
            <v>G2106-0546</v>
          </cell>
          <cell r="D1368" t="str">
            <v>000042944000052366</v>
          </cell>
          <cell r="E1368" t="str">
            <v>联动环衬垫</v>
          </cell>
          <cell r="F1368" t="str">
            <v>S15.15.1255N</v>
          </cell>
          <cell r="G1368" t="str">
            <v>-</v>
          </cell>
        </row>
        <row r="1369">
          <cell r="B1369" t="str">
            <v>7101067815</v>
          </cell>
          <cell r="C1369" t="str">
            <v>G2504-1804</v>
          </cell>
          <cell r="D1369" t="str">
            <v>000042944240084497</v>
          </cell>
          <cell r="E1369" t="str">
            <v>螺柱</v>
          </cell>
          <cell r="F1369" t="str">
            <v>11S30071</v>
          </cell>
          <cell r="G1369" t="str">
            <v>Ⅳ</v>
          </cell>
        </row>
        <row r="1370">
          <cell r="B1370" t="str">
            <v>7101067816</v>
          </cell>
          <cell r="C1370" t="str">
            <v>G2504-1804</v>
          </cell>
          <cell r="D1370" t="str">
            <v>000042944240084497</v>
          </cell>
          <cell r="E1370" t="str">
            <v>螺柱</v>
          </cell>
          <cell r="F1370" t="str">
            <v>11S30071</v>
          </cell>
          <cell r="G1370" t="str">
            <v>Ⅳ</v>
          </cell>
        </row>
        <row r="1371">
          <cell r="B1371" t="str">
            <v>7101068732</v>
          </cell>
          <cell r="C1371" t="str">
            <v>G2512-0767</v>
          </cell>
          <cell r="D1371" t="str">
            <v>000042944288002507</v>
          </cell>
          <cell r="E1371" t="str">
            <v>十二角自锁螺母</v>
          </cell>
          <cell r="F1371" t="str">
            <v>S10.4.1217</v>
          </cell>
          <cell r="G1371" t="str">
            <v>-</v>
          </cell>
        </row>
        <row r="1372">
          <cell r="B1372" t="str">
            <v>7101068733</v>
          </cell>
          <cell r="C1372" t="str">
            <v>G2512-0767</v>
          </cell>
          <cell r="D1372" t="str">
            <v>000042944288002507</v>
          </cell>
          <cell r="E1372" t="str">
            <v>十二角自锁螺母</v>
          </cell>
          <cell r="F1372" t="str">
            <v>S10.4.1217</v>
          </cell>
          <cell r="G1372" t="str">
            <v>-</v>
          </cell>
        </row>
        <row r="1373">
          <cell r="B1373" t="str">
            <v>7101068936</v>
          </cell>
          <cell r="C1373" t="str">
            <v>G2509-1097</v>
          </cell>
          <cell r="D1373" t="str">
            <v>000042944239012025</v>
          </cell>
          <cell r="E1373" t="str">
            <v>定位螺栓</v>
          </cell>
          <cell r="F1373" t="str">
            <v>S20.00.2018</v>
          </cell>
          <cell r="G1373" t="str">
            <v>-</v>
          </cell>
        </row>
        <row r="1374">
          <cell r="B1374" t="str">
            <v>7101069223</v>
          </cell>
          <cell r="C1374" t="str">
            <v>G2511-0117</v>
          </cell>
          <cell r="D1374" t="str">
            <v>000042944239011749</v>
          </cell>
          <cell r="E1374" t="str">
            <v>盘后螺栓</v>
          </cell>
          <cell r="F1374" t="str">
            <v>S10.1.1402</v>
          </cell>
          <cell r="G1374" t="str">
            <v>-</v>
          </cell>
        </row>
        <row r="1375">
          <cell r="B1375" t="str">
            <v>7101069309</v>
          </cell>
          <cell r="C1375" t="str">
            <v>G2509-2521</v>
          </cell>
          <cell r="D1375" t="str">
            <v>000042944319001900</v>
          </cell>
          <cell r="E1375" t="str">
            <v>螺母</v>
          </cell>
          <cell r="F1375" t="str">
            <v>S10.4.1407</v>
          </cell>
          <cell r="G1375" t="str">
            <v>-</v>
          </cell>
        </row>
        <row r="1376">
          <cell r="B1376" t="str">
            <v>7101069773</v>
          </cell>
          <cell r="C1376" t="str">
            <v>G2504-1814</v>
          </cell>
          <cell r="D1376" t="str">
            <v>000042944000114546</v>
          </cell>
          <cell r="E1376" t="str">
            <v>盘前平衡块</v>
          </cell>
          <cell r="F1376" t="str">
            <v>S15.44.1076U</v>
          </cell>
          <cell r="G1376" t="str">
            <v>Ⅰ</v>
          </cell>
        </row>
        <row r="1377">
          <cell r="B1377" t="str">
            <v>7101079450</v>
          </cell>
          <cell r="C1377" t="str">
            <v>G2511-1555</v>
          </cell>
          <cell r="D1377" t="str">
            <v>000042944000133730</v>
          </cell>
          <cell r="E1377" t="str">
            <v>风扇清洗喷嘴安装座堵盖</v>
          </cell>
          <cell r="F1377" t="str">
            <v>0191D120701</v>
          </cell>
          <cell r="G1377" t="str">
            <v>-</v>
          </cell>
        </row>
        <row r="1378">
          <cell r="B1378" t="str">
            <v>7101069775</v>
          </cell>
          <cell r="C1378" t="str">
            <v>G2504-1814</v>
          </cell>
          <cell r="D1378" t="str">
            <v>000042944000114546</v>
          </cell>
          <cell r="E1378" t="str">
            <v>盘前平衡块</v>
          </cell>
          <cell r="F1378" t="str">
            <v>S15.44.1076U</v>
          </cell>
          <cell r="G1378" t="str">
            <v>Ⅰ</v>
          </cell>
        </row>
        <row r="1379">
          <cell r="B1379" t="str">
            <v>7101069776</v>
          </cell>
          <cell r="C1379" t="str">
            <v>G2504-1814</v>
          </cell>
          <cell r="D1379" t="str">
            <v>000042944000114546</v>
          </cell>
          <cell r="E1379" t="str">
            <v>盘前平衡块</v>
          </cell>
          <cell r="F1379" t="str">
            <v>S15.44.1076U</v>
          </cell>
          <cell r="G1379" t="str">
            <v>Ⅰ</v>
          </cell>
        </row>
        <row r="1380">
          <cell r="B1380" t="str">
            <v>7101070343</v>
          </cell>
          <cell r="C1380" t="str">
            <v>G2504-0756</v>
          </cell>
          <cell r="D1380" t="str">
            <v>000042944000131920</v>
          </cell>
          <cell r="E1380" t="str">
            <v>导叶衬垫</v>
          </cell>
          <cell r="F1380" t="str">
            <v>019111009701</v>
          </cell>
          <cell r="G1380" t="str">
            <v>Ⅱ</v>
          </cell>
        </row>
        <row r="1381">
          <cell r="B1381" t="str">
            <v>7101070455</v>
          </cell>
          <cell r="C1381" t="str">
            <v>G2504-4128</v>
          </cell>
          <cell r="D1381" t="str">
            <v>000042944288002579</v>
          </cell>
          <cell r="E1381" t="str">
            <v>十二角头自锁螺母</v>
          </cell>
          <cell r="F1381" t="str">
            <v>S20.4.1421</v>
          </cell>
          <cell r="G1381" t="str">
            <v>-</v>
          </cell>
        </row>
        <row r="1382">
          <cell r="B1382" t="str">
            <v>7101070461</v>
          </cell>
          <cell r="C1382" t="str">
            <v>G2503-2350</v>
          </cell>
          <cell r="D1382" t="str">
            <v>000042944319119715</v>
          </cell>
          <cell r="E1382" t="str">
            <v>轴端螺母</v>
          </cell>
          <cell r="F1382" t="str">
            <v>FJ.42.072.B</v>
          </cell>
          <cell r="G1382" t="str">
            <v>B</v>
          </cell>
        </row>
        <row r="1383">
          <cell r="B1383" t="str">
            <v>7101070674</v>
          </cell>
          <cell r="C1383" t="str">
            <v>G2509-1472</v>
          </cell>
          <cell r="D1383" t="str">
            <v>000042944319100886</v>
          </cell>
          <cell r="E1383" t="str">
            <v>压紧螺母</v>
          </cell>
          <cell r="F1383" t="str">
            <v>S20.4.2015</v>
          </cell>
          <cell r="G1383" t="str">
            <v>-</v>
          </cell>
        </row>
        <row r="1384">
          <cell r="B1384" t="str">
            <v>7101070779</v>
          </cell>
          <cell r="C1384" t="str">
            <v>G2504-1035</v>
          </cell>
          <cell r="D1384" t="str">
            <v>000042944366118582</v>
          </cell>
          <cell r="E1384" t="str">
            <v>销轴</v>
          </cell>
          <cell r="F1384" t="str">
            <v>019155003201</v>
          </cell>
          <cell r="G1384" t="str">
            <v>-</v>
          </cell>
        </row>
        <row r="1385">
          <cell r="B1385" t="str">
            <v>7101071041</v>
          </cell>
          <cell r="C1385" t="str">
            <v>G2502-2897</v>
          </cell>
          <cell r="D1385" t="str">
            <v>000042944360100892</v>
          </cell>
          <cell r="E1385" t="str">
            <v>连接销</v>
          </cell>
          <cell r="F1385" t="str">
            <v>S20.00.2008</v>
          </cell>
          <cell r="G1385" t="str">
            <v>-</v>
          </cell>
        </row>
        <row r="1386">
          <cell r="B1386" t="str">
            <v>7101071116</v>
          </cell>
          <cell r="C1386" t="str">
            <v>G2506-1923</v>
          </cell>
          <cell r="D1386" t="str">
            <v>000042944239011744</v>
          </cell>
          <cell r="E1386" t="str">
            <v>螺栓</v>
          </cell>
          <cell r="F1386" t="str">
            <v>S10.1.1302</v>
          </cell>
          <cell r="G1386" t="str">
            <v>-</v>
          </cell>
        </row>
        <row r="1387">
          <cell r="B1387" t="str">
            <v>7101071119</v>
          </cell>
          <cell r="C1387" t="str">
            <v>G2506-1923</v>
          </cell>
          <cell r="D1387" t="str">
            <v>000042944239011744</v>
          </cell>
          <cell r="E1387" t="str">
            <v>螺栓</v>
          </cell>
          <cell r="F1387" t="str">
            <v>S10.1.1302</v>
          </cell>
          <cell r="G1387" t="str">
            <v>-</v>
          </cell>
        </row>
        <row r="1388">
          <cell r="B1388" t="str">
            <v>7101071132</v>
          </cell>
          <cell r="C1388" t="str">
            <v>G2512-0461</v>
          </cell>
          <cell r="D1388" t="str">
            <v>000042944288002036</v>
          </cell>
          <cell r="E1388" t="str">
            <v>厚自锁螺母,十角,MJ螺纹,材料GH738</v>
          </cell>
          <cell r="F1388" t="str">
            <v>Q/S15.1101-2011</v>
          </cell>
          <cell r="G1388" t="str">
            <v>6</v>
          </cell>
        </row>
        <row r="1389">
          <cell r="B1389" t="str">
            <v>7101071136</v>
          </cell>
          <cell r="C1389" t="str">
            <v>G2509-0520</v>
          </cell>
          <cell r="D1389" t="str">
            <v>000042944366118588</v>
          </cell>
          <cell r="E1389" t="str">
            <v>销轴</v>
          </cell>
          <cell r="F1389" t="str">
            <v>019155006801</v>
          </cell>
          <cell r="G1389" t="str">
            <v>-</v>
          </cell>
        </row>
        <row r="1390">
          <cell r="B1390" t="str">
            <v>7101071180</v>
          </cell>
          <cell r="C1390" t="str">
            <v>G2502-0551</v>
          </cell>
          <cell r="D1390" t="str">
            <v>000042944239011724</v>
          </cell>
          <cell r="E1390" t="str">
            <v>十二角头螺栓</v>
          </cell>
          <cell r="F1390" t="str">
            <v>S10.1.1236</v>
          </cell>
          <cell r="G1390" t="str">
            <v>-</v>
          </cell>
        </row>
        <row r="1391">
          <cell r="B1391" t="str">
            <v>7101071258</v>
          </cell>
          <cell r="C1391" t="str">
            <v>G2511-0089</v>
          </cell>
          <cell r="D1391" t="str">
            <v>000042944319001889</v>
          </cell>
          <cell r="E1391" t="str">
            <v>盘后托板螺母</v>
          </cell>
          <cell r="F1391" t="str">
            <v>S10.4.1402</v>
          </cell>
          <cell r="G1391" t="str">
            <v>-</v>
          </cell>
        </row>
        <row r="1392">
          <cell r="B1392" t="str">
            <v>7101071266</v>
          </cell>
          <cell r="C1392" t="str">
            <v>G2511-0089</v>
          </cell>
          <cell r="D1392" t="str">
            <v>000042944319001889</v>
          </cell>
          <cell r="E1392" t="str">
            <v>盘后托板螺母</v>
          </cell>
          <cell r="F1392" t="str">
            <v>S10.4.1402</v>
          </cell>
          <cell r="G1392" t="str">
            <v>-</v>
          </cell>
        </row>
        <row r="1393">
          <cell r="B1393" t="str">
            <v>7101071270</v>
          </cell>
          <cell r="C1393" t="str">
            <v>G2502-0160</v>
          </cell>
          <cell r="D1393" t="str">
            <v>000042944319001889</v>
          </cell>
          <cell r="E1393" t="str">
            <v>盘后托板螺母</v>
          </cell>
          <cell r="F1393" t="str">
            <v>S10.4.1402</v>
          </cell>
          <cell r="G1393" t="str">
            <v>-</v>
          </cell>
        </row>
        <row r="1394">
          <cell r="B1394" t="str">
            <v>7101071270</v>
          </cell>
          <cell r="C1394" t="str">
            <v>G2511-0089</v>
          </cell>
          <cell r="D1394" t="str">
            <v>000042944319001889</v>
          </cell>
          <cell r="E1394" t="str">
            <v>盘后托板螺母</v>
          </cell>
          <cell r="F1394" t="str">
            <v>S10.4.1402</v>
          </cell>
          <cell r="G1394" t="str">
            <v>-</v>
          </cell>
        </row>
        <row r="1395">
          <cell r="B1395" t="str">
            <v>7101071272</v>
          </cell>
          <cell r="C1395" t="str">
            <v>G2509-2520</v>
          </cell>
          <cell r="D1395" t="str">
            <v>000042944319001889</v>
          </cell>
          <cell r="E1395" t="str">
            <v>盘后托板螺母</v>
          </cell>
          <cell r="F1395" t="str">
            <v>S10.4.1402</v>
          </cell>
          <cell r="G1395" t="str">
            <v>-</v>
          </cell>
        </row>
        <row r="1396">
          <cell r="B1396" t="str">
            <v>7101071274</v>
          </cell>
          <cell r="C1396" t="str">
            <v>G2509-2520</v>
          </cell>
          <cell r="D1396" t="str">
            <v>000042944319001889</v>
          </cell>
          <cell r="E1396" t="str">
            <v>盘后托板螺母</v>
          </cell>
          <cell r="F1396" t="str">
            <v>S10.4.1402</v>
          </cell>
          <cell r="G1396" t="str">
            <v>-</v>
          </cell>
        </row>
        <row r="1397">
          <cell r="B1397" t="str">
            <v>7101071276</v>
          </cell>
          <cell r="C1397" t="str">
            <v>G2509-2520</v>
          </cell>
          <cell r="D1397" t="str">
            <v>000042944319001889</v>
          </cell>
          <cell r="E1397" t="str">
            <v>盘后托板螺母</v>
          </cell>
          <cell r="F1397" t="str">
            <v>S10.4.1402</v>
          </cell>
          <cell r="G1397" t="str">
            <v>-</v>
          </cell>
        </row>
        <row r="1398">
          <cell r="B1398" t="str">
            <v>7101079404</v>
          </cell>
          <cell r="C1398" t="str">
            <v>G2502-2800</v>
          </cell>
          <cell r="D1398" t="str">
            <v>000042944288002874</v>
          </cell>
          <cell r="E1398" t="str">
            <v>铆轴开槽自锁螺母</v>
          </cell>
          <cell r="F1398" t="str">
            <v>ΦU146132</v>
          </cell>
          <cell r="G1398" t="str">
            <v>(不开槽)</v>
          </cell>
        </row>
        <row r="1399">
          <cell r="B1399" t="str">
            <v>7101079403</v>
          </cell>
          <cell r="C1399" t="str">
            <v>G2105-3338</v>
          </cell>
          <cell r="D1399" t="str">
            <v>000042944288002874</v>
          </cell>
          <cell r="E1399" t="str">
            <v>铆轴开槽自锁螺母</v>
          </cell>
          <cell r="F1399" t="str">
            <v>ΦU146132</v>
          </cell>
          <cell r="G1399" t="str">
            <v>(不开槽)</v>
          </cell>
        </row>
        <row r="1400">
          <cell r="B1400" t="str">
            <v>7101079401</v>
          </cell>
          <cell r="C1400" t="str">
            <v>G2508-0815</v>
          </cell>
          <cell r="D1400" t="str">
            <v>000042944288002874</v>
          </cell>
          <cell r="E1400" t="str">
            <v>铆轴开槽自锁螺母</v>
          </cell>
          <cell r="F1400" t="str">
            <v>ΦU146132</v>
          </cell>
          <cell r="G1400" t="str">
            <v>(不开槽)</v>
          </cell>
        </row>
        <row r="1401">
          <cell r="B1401" t="str">
            <v>7101071288</v>
          </cell>
          <cell r="C1401" t="str">
            <v>G2508-2355</v>
          </cell>
          <cell r="D1401" t="str">
            <v>000042944239157225</v>
          </cell>
          <cell r="E1401" t="str">
            <v>螺栓</v>
          </cell>
          <cell r="F1401" t="str">
            <v>S15.15.1119P</v>
          </cell>
          <cell r="G1401" t="str">
            <v>-</v>
          </cell>
        </row>
        <row r="1402">
          <cell r="B1402" t="str">
            <v>7101071294</v>
          </cell>
          <cell r="C1402" t="str">
            <v>G2504-0089</v>
          </cell>
          <cell r="D1402" t="str">
            <v>000042944239011713</v>
          </cell>
          <cell r="E1402" t="str">
            <v>十二角头螺栓</v>
          </cell>
          <cell r="F1402" t="str">
            <v>S10.1.1223</v>
          </cell>
          <cell r="G1402" t="str">
            <v>-</v>
          </cell>
        </row>
        <row r="1403">
          <cell r="B1403" t="str">
            <v>7101071294</v>
          </cell>
          <cell r="C1403" t="str">
            <v>G2403-2889</v>
          </cell>
          <cell r="D1403" t="str">
            <v>000042944239011713</v>
          </cell>
          <cell r="E1403" t="str">
            <v>十二角头螺栓</v>
          </cell>
          <cell r="F1403" t="str">
            <v>S10.1.1223</v>
          </cell>
          <cell r="G1403" t="str">
            <v>-</v>
          </cell>
        </row>
        <row r="1404">
          <cell r="B1404" t="str">
            <v>7101071294</v>
          </cell>
          <cell r="C1404" t="str">
            <v>G2506-0249</v>
          </cell>
          <cell r="D1404" t="str">
            <v>000042944239011713</v>
          </cell>
          <cell r="E1404" t="str">
            <v>十二角头螺栓</v>
          </cell>
          <cell r="F1404" t="str">
            <v>S10.1.1223</v>
          </cell>
          <cell r="G1404" t="str">
            <v>-</v>
          </cell>
        </row>
        <row r="1405">
          <cell r="B1405" t="str">
            <v>7101071298</v>
          </cell>
          <cell r="C1405" t="str">
            <v>G2511-1145</v>
          </cell>
          <cell r="D1405" t="str">
            <v>000042944000099077</v>
          </cell>
          <cell r="E1405" t="str">
            <v>孔探仪堵头组件</v>
          </cell>
          <cell r="F1405" t="str">
            <v>S15.15.1890U</v>
          </cell>
          <cell r="G1405" t="str">
            <v>-</v>
          </cell>
        </row>
        <row r="1406">
          <cell r="B1406" t="str">
            <v>7101071300</v>
          </cell>
          <cell r="C1406" t="str">
            <v>G2509-2753</v>
          </cell>
          <cell r="D1406" t="str">
            <v>000042944239011701</v>
          </cell>
          <cell r="E1406" t="str">
            <v>十二角头螺栓</v>
          </cell>
          <cell r="F1406" t="str">
            <v>S10.1.1203</v>
          </cell>
          <cell r="G1406" t="str">
            <v>-</v>
          </cell>
        </row>
        <row r="1407">
          <cell r="B1407" t="str">
            <v>7101071306</v>
          </cell>
          <cell r="C1407" t="str">
            <v>G2511-0097</v>
          </cell>
          <cell r="D1407" t="str">
            <v>000042944319001895</v>
          </cell>
          <cell r="E1407" t="str">
            <v>鼓筒前连接螺母</v>
          </cell>
          <cell r="F1407" t="str">
            <v>S10.4.1404</v>
          </cell>
          <cell r="G1407" t="str">
            <v>-</v>
          </cell>
        </row>
        <row r="1408">
          <cell r="B1408" t="str">
            <v>7101071309</v>
          </cell>
          <cell r="C1408" t="str">
            <v>G2511-0098</v>
          </cell>
          <cell r="D1408" t="str">
            <v>000042944319001895</v>
          </cell>
          <cell r="E1408" t="str">
            <v>鼓筒前连接螺母</v>
          </cell>
          <cell r="F1408" t="str">
            <v>S10.4.1404</v>
          </cell>
          <cell r="G1408" t="str">
            <v>-</v>
          </cell>
        </row>
        <row r="1409">
          <cell r="B1409" t="str">
            <v>7101071339</v>
          </cell>
          <cell r="C1409" t="str">
            <v>G2509-2569</v>
          </cell>
          <cell r="D1409" t="str">
            <v>000042944240084473</v>
          </cell>
          <cell r="E1409" t="str">
            <v>螺柱</v>
          </cell>
          <cell r="F1409" t="str">
            <v>11S30071</v>
          </cell>
          <cell r="G1409" t="str">
            <v>Ⅲ</v>
          </cell>
        </row>
        <row r="1410">
          <cell r="B1410" t="str">
            <v>7101071342</v>
          </cell>
          <cell r="C1410" t="str">
            <v>G2511-0233</v>
          </cell>
          <cell r="D1410" t="str">
            <v>000042944288002505</v>
          </cell>
          <cell r="E1410" t="str">
            <v>十二角自锁螺母</v>
          </cell>
          <cell r="F1410" t="str">
            <v>S10.4.1216</v>
          </cell>
          <cell r="G1410" t="str">
            <v>-</v>
          </cell>
        </row>
        <row r="1411">
          <cell r="B1411" t="str">
            <v>7101071344</v>
          </cell>
          <cell r="C1411" t="str">
            <v>G2511-0232</v>
          </cell>
          <cell r="D1411" t="str">
            <v>000042944288002505</v>
          </cell>
          <cell r="E1411" t="str">
            <v>十二角自锁螺母</v>
          </cell>
          <cell r="F1411" t="str">
            <v>S10.4.1216</v>
          </cell>
          <cell r="G1411" t="str">
            <v>-</v>
          </cell>
        </row>
        <row r="1412">
          <cell r="B1412" t="str">
            <v>7101071344</v>
          </cell>
          <cell r="C1412" t="str">
            <v>G2412-0804</v>
          </cell>
          <cell r="D1412" t="str">
            <v>000042944288002505</v>
          </cell>
          <cell r="E1412" t="str">
            <v>十二角自锁螺母</v>
          </cell>
          <cell r="F1412" t="str">
            <v>S10.4.1216</v>
          </cell>
          <cell r="G1412" t="str">
            <v>-</v>
          </cell>
        </row>
        <row r="1413">
          <cell r="B1413" t="str">
            <v>7101071344</v>
          </cell>
          <cell r="C1413" t="str">
            <v>G2411-2678</v>
          </cell>
          <cell r="D1413" t="str">
            <v>000042944288002505</v>
          </cell>
          <cell r="E1413" t="str">
            <v>十二角自锁螺母</v>
          </cell>
          <cell r="F1413" t="str">
            <v>S10.4.1216</v>
          </cell>
          <cell r="G1413" t="str">
            <v>-</v>
          </cell>
        </row>
        <row r="1414">
          <cell r="B1414" t="str">
            <v>7101071344</v>
          </cell>
          <cell r="C1414" t="str">
            <v>G2411-0897</v>
          </cell>
          <cell r="D1414" t="str">
            <v>000042944288002505</v>
          </cell>
          <cell r="E1414" t="str">
            <v>十二角自锁螺母</v>
          </cell>
          <cell r="F1414" t="str">
            <v>S10.4.1216</v>
          </cell>
          <cell r="G1414" t="str">
            <v>-</v>
          </cell>
        </row>
        <row r="1415">
          <cell r="B1415" t="str">
            <v>7101071969</v>
          </cell>
          <cell r="C1415" t="str">
            <v>G2502-2796</v>
          </cell>
          <cell r="D1415" t="str">
            <v>000042944239014206</v>
          </cell>
          <cell r="E1415" t="str">
            <v>十二角头螺栓</v>
          </cell>
          <cell r="F1415" t="str">
            <v>ΦAS13007</v>
          </cell>
          <cell r="G1415" t="str">
            <v>-</v>
          </cell>
        </row>
        <row r="1416">
          <cell r="B1416" t="str">
            <v>7101071972</v>
          </cell>
          <cell r="C1416" t="str">
            <v>G2502-2796</v>
          </cell>
          <cell r="D1416" t="str">
            <v>000042944239014206</v>
          </cell>
          <cell r="E1416" t="str">
            <v>十二角头螺栓</v>
          </cell>
          <cell r="F1416" t="str">
            <v>ΦAS13007</v>
          </cell>
          <cell r="G1416" t="str">
            <v>-</v>
          </cell>
        </row>
        <row r="1417">
          <cell r="B1417" t="str">
            <v>7101071979</v>
          </cell>
          <cell r="C1417" t="str">
            <v>G2512-0299</v>
          </cell>
          <cell r="D1417" t="str">
            <v>000042944404000550</v>
          </cell>
          <cell r="E1417" t="str">
            <v>角型垂直单耳止动垫圈</v>
          </cell>
          <cell r="F1417" t="str">
            <v>Q/S15.1165-2011</v>
          </cell>
          <cell r="G1417" t="str">
            <v>6-12</v>
          </cell>
        </row>
        <row r="1418">
          <cell r="B1418" t="str">
            <v>7101071980</v>
          </cell>
          <cell r="C1418" t="str">
            <v>G2512-0299</v>
          </cell>
          <cell r="D1418" t="str">
            <v>000042944404000550</v>
          </cell>
          <cell r="E1418" t="str">
            <v>角型垂直单耳止动垫圈</v>
          </cell>
          <cell r="F1418" t="str">
            <v>Q/S15.1165-2011</v>
          </cell>
          <cell r="G1418" t="str">
            <v>6-12</v>
          </cell>
        </row>
        <row r="1419">
          <cell r="B1419" t="str">
            <v>7101071981</v>
          </cell>
          <cell r="C1419" t="str">
            <v>G2512-0299</v>
          </cell>
          <cell r="D1419" t="str">
            <v>000042944404000550</v>
          </cell>
          <cell r="E1419" t="str">
            <v>角型垂直单耳止动垫圈</v>
          </cell>
          <cell r="F1419" t="str">
            <v>Q/S15.1165-2011</v>
          </cell>
          <cell r="G1419" t="str">
            <v>6-12</v>
          </cell>
        </row>
        <row r="1420">
          <cell r="B1420" t="str">
            <v>7101071982</v>
          </cell>
          <cell r="C1420" t="str">
            <v>G2512-0299</v>
          </cell>
          <cell r="D1420" t="str">
            <v>000042944404000550</v>
          </cell>
          <cell r="E1420" t="str">
            <v>角型垂直单耳止动垫圈</v>
          </cell>
          <cell r="F1420" t="str">
            <v>Q/S15.1165-2011</v>
          </cell>
          <cell r="G1420" t="str">
            <v>6-12</v>
          </cell>
        </row>
        <row r="1421">
          <cell r="B1421" t="str">
            <v>7101071983</v>
          </cell>
          <cell r="C1421" t="str">
            <v>G2512-0299</v>
          </cell>
          <cell r="D1421" t="str">
            <v>000042944404000550</v>
          </cell>
          <cell r="E1421" t="str">
            <v>角型垂直单耳止动垫圈</v>
          </cell>
          <cell r="F1421" t="str">
            <v>Q/S15.1165-2011</v>
          </cell>
          <cell r="G1421" t="str">
            <v>6-12</v>
          </cell>
        </row>
        <row r="1422">
          <cell r="B1422" t="str">
            <v>7101071985</v>
          </cell>
          <cell r="C1422" t="str">
            <v>G2512-0299</v>
          </cell>
          <cell r="D1422" t="str">
            <v>000042944404000550</v>
          </cell>
          <cell r="E1422" t="str">
            <v>角型垂直单耳止动垫圈</v>
          </cell>
          <cell r="F1422" t="str">
            <v>Q/S15.1165-2011</v>
          </cell>
          <cell r="G1422" t="str">
            <v>6-12</v>
          </cell>
        </row>
        <row r="1423">
          <cell r="B1423" t="str">
            <v>7101071987</v>
          </cell>
          <cell r="C1423" t="str">
            <v>G2512-0299</v>
          </cell>
          <cell r="D1423" t="str">
            <v>000042944404000550</v>
          </cell>
          <cell r="E1423" t="str">
            <v>角型垂直单耳止动垫圈</v>
          </cell>
          <cell r="F1423" t="str">
            <v>Q/S15.1165-2011</v>
          </cell>
          <cell r="G1423" t="str">
            <v>6-12</v>
          </cell>
        </row>
        <row r="1424">
          <cell r="B1424" t="str">
            <v>7101072001</v>
          </cell>
          <cell r="C1424" t="str">
            <v>G2510-1439</v>
          </cell>
          <cell r="D1424" t="str">
            <v>000042944288002504</v>
          </cell>
          <cell r="E1424" t="str">
            <v>十二角自锁螺母</v>
          </cell>
          <cell r="F1424" t="str">
            <v>S10.4.1215</v>
          </cell>
          <cell r="G1424" t="str">
            <v>-</v>
          </cell>
        </row>
        <row r="1425">
          <cell r="B1425" t="str">
            <v>7101072039</v>
          </cell>
          <cell r="C1425" t="str">
            <v>G2509-2598</v>
          </cell>
          <cell r="D1425" t="str">
            <v>000042944160011147</v>
          </cell>
          <cell r="E1425" t="str">
            <v>螺钉,六角头,螺纹公差带6e</v>
          </cell>
          <cell r="F1425" t="str">
            <v>Q/S15.1025-2011</v>
          </cell>
          <cell r="G1425" t="str">
            <v>6-12</v>
          </cell>
        </row>
        <row r="1426">
          <cell r="B1426" t="str">
            <v>7101072048</v>
          </cell>
          <cell r="C1426" t="str">
            <v>G2502-0150</v>
          </cell>
          <cell r="D1426" t="str">
            <v>000042944288002025</v>
          </cell>
          <cell r="E1426" t="str">
            <v>厚自锁螺母十角MJ螺纹材料GH738</v>
          </cell>
          <cell r="F1426" t="str">
            <v>Q/S15.1089-2011</v>
          </cell>
          <cell r="G1426" t="str">
            <v>8</v>
          </cell>
        </row>
        <row r="1427">
          <cell r="B1427" t="str">
            <v>7101072049</v>
          </cell>
          <cell r="C1427" t="str">
            <v>G2502-0150</v>
          </cell>
          <cell r="D1427" t="str">
            <v>000042944288002025</v>
          </cell>
          <cell r="E1427" t="str">
            <v>厚自锁螺母十角MJ螺纹材料GH738</v>
          </cell>
          <cell r="F1427" t="str">
            <v>Q/S15.1089-2011</v>
          </cell>
          <cell r="G1427" t="str">
            <v>8</v>
          </cell>
        </row>
        <row r="1428">
          <cell r="B1428" t="str">
            <v>7101072062</v>
          </cell>
          <cell r="C1428" t="str">
            <v>G2511-2002</v>
          </cell>
          <cell r="D1428" t="str">
            <v>000042944319001897</v>
          </cell>
          <cell r="E1428" t="str">
            <v>托板螺母</v>
          </cell>
          <cell r="F1428" t="str">
            <v>S10.4.1405</v>
          </cell>
          <cell r="G1428" t="str">
            <v>-</v>
          </cell>
        </row>
        <row r="1429">
          <cell r="B1429" t="str">
            <v>7101072063</v>
          </cell>
          <cell r="C1429" t="str">
            <v>G2511-2002</v>
          </cell>
          <cell r="D1429" t="str">
            <v>000042944319001897</v>
          </cell>
          <cell r="E1429" t="str">
            <v>托板螺母</v>
          </cell>
          <cell r="F1429" t="str">
            <v>S10.4.1405</v>
          </cell>
          <cell r="G1429" t="str">
            <v>-</v>
          </cell>
        </row>
        <row r="1430">
          <cell r="B1430" t="str">
            <v>7101072074</v>
          </cell>
          <cell r="C1430" t="str">
            <v>G2511-2002</v>
          </cell>
          <cell r="D1430" t="str">
            <v>000042944319001897</v>
          </cell>
          <cell r="E1430" t="str">
            <v>托板螺母</v>
          </cell>
          <cell r="F1430" t="str">
            <v>S10.4.1405</v>
          </cell>
          <cell r="G1430" t="str">
            <v>-</v>
          </cell>
        </row>
        <row r="1431">
          <cell r="B1431" t="str">
            <v>7101072586</v>
          </cell>
          <cell r="C1431" t="str">
            <v>G2511-0854</v>
          </cell>
          <cell r="D1431" t="str">
            <v>000042944319001889</v>
          </cell>
          <cell r="E1431" t="str">
            <v>盘后托板螺母</v>
          </cell>
          <cell r="F1431" t="str">
            <v>S10.4.1402</v>
          </cell>
          <cell r="G1431" t="str">
            <v>-</v>
          </cell>
        </row>
        <row r="1432">
          <cell r="B1432" t="str">
            <v>7101072594</v>
          </cell>
          <cell r="C1432" t="str">
            <v>G2511-0854</v>
          </cell>
          <cell r="D1432" t="str">
            <v>000042944319001889</v>
          </cell>
          <cell r="E1432" t="str">
            <v>盘后托板螺母</v>
          </cell>
          <cell r="F1432" t="str">
            <v>S10.4.1402</v>
          </cell>
          <cell r="G1432" t="str">
            <v>-</v>
          </cell>
        </row>
        <row r="1433">
          <cell r="B1433" t="str">
            <v>7101072598</v>
          </cell>
          <cell r="C1433" t="str">
            <v>G2511-0854</v>
          </cell>
          <cell r="D1433" t="str">
            <v>000042944319001889</v>
          </cell>
          <cell r="E1433" t="str">
            <v>盘后托板螺母</v>
          </cell>
          <cell r="F1433" t="str">
            <v>S10.4.1402</v>
          </cell>
          <cell r="G1433" t="str">
            <v>-</v>
          </cell>
        </row>
        <row r="1434">
          <cell r="B1434" t="str">
            <v>7101072639</v>
          </cell>
          <cell r="C1434" t="str">
            <v>G2502-0571</v>
          </cell>
          <cell r="D1434" t="str">
            <v>000042944239050227</v>
          </cell>
          <cell r="E1434" t="str">
            <v>连杆螺栓</v>
          </cell>
          <cell r="F1434" t="str">
            <v>S15.15.1260N</v>
          </cell>
          <cell r="G1434" t="str">
            <v>-</v>
          </cell>
        </row>
        <row r="1435">
          <cell r="B1435" t="str">
            <v>7101072643</v>
          </cell>
          <cell r="C1435" t="str">
            <v>G2507-1673</v>
          </cell>
          <cell r="D1435" t="str">
            <v>000042944239092285</v>
          </cell>
          <cell r="E1435" t="str">
            <v>上支撑环螺栓</v>
          </cell>
          <cell r="F1435" t="str">
            <v>S15.44.1049P</v>
          </cell>
          <cell r="G1435" t="str">
            <v>-</v>
          </cell>
        </row>
        <row r="1436">
          <cell r="B1436" t="str">
            <v>7101072647</v>
          </cell>
          <cell r="C1436" t="str">
            <v>G2508-2329</v>
          </cell>
          <cell r="D1436" t="str">
            <v>000042944160011146</v>
          </cell>
          <cell r="E1436" t="str">
            <v>螺钉,六角头,螺纹公差带6e</v>
          </cell>
          <cell r="F1436" t="str">
            <v>Q/S15.1025-2011</v>
          </cell>
          <cell r="G1436" t="str">
            <v>6-11</v>
          </cell>
        </row>
        <row r="1437">
          <cell r="B1437" t="str">
            <v>7101072659</v>
          </cell>
          <cell r="C1437" t="str">
            <v>G2508-2365</v>
          </cell>
          <cell r="D1437" t="str">
            <v>000042944288002018</v>
          </cell>
          <cell r="E1437" t="str">
            <v>六角薄自锁螺母,MJ螺纹镀银GH738</v>
          </cell>
          <cell r="F1437" t="str">
            <v>Q/S15.1082-2016</v>
          </cell>
          <cell r="G1437" t="str">
            <v>6</v>
          </cell>
        </row>
        <row r="1438">
          <cell r="B1438" t="str">
            <v>7101072662</v>
          </cell>
          <cell r="C1438" t="str">
            <v>G2508-2365</v>
          </cell>
          <cell r="D1438" t="str">
            <v>000042944288002018</v>
          </cell>
          <cell r="E1438" t="str">
            <v>薄自锁螺母,六角,MJ螺纹,螺纹公差带4H5H,镀银,材料G</v>
          </cell>
          <cell r="F1438" t="str">
            <v>Q/S15.1082-2016</v>
          </cell>
          <cell r="G1438" t="str">
            <v>6</v>
          </cell>
        </row>
        <row r="1439">
          <cell r="B1439" t="str">
            <v>7101072721</v>
          </cell>
          <cell r="C1439" t="str">
            <v>G2501-0466</v>
          </cell>
          <cell r="D1439" t="str">
            <v>000042944239011705</v>
          </cell>
          <cell r="E1439" t="str">
            <v>十二角头螺栓</v>
          </cell>
          <cell r="F1439" t="str">
            <v>S10.1.1215</v>
          </cell>
          <cell r="G1439" t="str">
            <v>-</v>
          </cell>
        </row>
        <row r="1440">
          <cell r="B1440" t="str">
            <v>7101072723</v>
          </cell>
          <cell r="C1440" t="str">
            <v>G2501-0466</v>
          </cell>
          <cell r="D1440" t="str">
            <v>000042944239011705</v>
          </cell>
          <cell r="E1440" t="str">
            <v>十二角头螺栓</v>
          </cell>
          <cell r="F1440" t="str">
            <v>S10.1.1215</v>
          </cell>
          <cell r="G1440" t="str">
            <v>-</v>
          </cell>
        </row>
        <row r="1441">
          <cell r="B1441" t="str">
            <v>7101072725</v>
          </cell>
          <cell r="C1441" t="str">
            <v>G2509-0125</v>
          </cell>
          <cell r="D1441" t="str">
            <v>000042944239011705</v>
          </cell>
          <cell r="E1441" t="str">
            <v>十二角头螺栓</v>
          </cell>
          <cell r="F1441" t="str">
            <v>S10.1.1215</v>
          </cell>
          <cell r="G1441" t="str">
            <v>-</v>
          </cell>
        </row>
        <row r="1442">
          <cell r="B1442" t="str">
            <v>7101072725</v>
          </cell>
          <cell r="C1442" t="str">
            <v>G2501-0466</v>
          </cell>
          <cell r="D1442" t="str">
            <v>000042944239011705</v>
          </cell>
          <cell r="E1442" t="str">
            <v>十二角头螺栓</v>
          </cell>
          <cell r="F1442" t="str">
            <v>S10.1.1215</v>
          </cell>
          <cell r="G1442" t="str">
            <v>-</v>
          </cell>
        </row>
        <row r="1443">
          <cell r="B1443" t="str">
            <v>7101072728</v>
          </cell>
          <cell r="C1443" t="str">
            <v>G2509-0101</v>
          </cell>
          <cell r="D1443" t="str">
            <v>000042944319001887</v>
          </cell>
          <cell r="E1443" t="str">
            <v>盘前托板螺母</v>
          </cell>
          <cell r="F1443" t="str">
            <v>S10.4.1401</v>
          </cell>
          <cell r="G1443" t="str">
            <v>-</v>
          </cell>
        </row>
        <row r="1444">
          <cell r="B1444" t="str">
            <v>7101072735</v>
          </cell>
          <cell r="C1444" t="str">
            <v>G2502-0758</v>
          </cell>
          <cell r="D1444" t="str">
            <v>000042944288002496</v>
          </cell>
          <cell r="E1444" t="str">
            <v>十角自锁螺母</v>
          </cell>
          <cell r="F1444" t="str">
            <v>S10.4.1210</v>
          </cell>
          <cell r="G1444" t="str">
            <v>-</v>
          </cell>
        </row>
        <row r="1445">
          <cell r="B1445" t="str">
            <v>7101072737</v>
          </cell>
          <cell r="C1445" t="str">
            <v>G2502-0212</v>
          </cell>
          <cell r="D1445" t="str">
            <v>000042944288002486</v>
          </cell>
          <cell r="E1445" t="str">
            <v>六角自锁螺母</v>
          </cell>
          <cell r="F1445" t="str">
            <v>S10.4.1202</v>
          </cell>
          <cell r="G1445" t="str">
            <v>-</v>
          </cell>
        </row>
        <row r="1446">
          <cell r="B1446" t="str">
            <v>7101072740</v>
          </cell>
          <cell r="C1446" t="str">
            <v>G2501-0819</v>
          </cell>
          <cell r="D1446" t="str">
            <v>000042944239011768</v>
          </cell>
          <cell r="E1446" t="str">
            <v>二级盘后螺栓</v>
          </cell>
          <cell r="F1446" t="str">
            <v>S10.1.3123</v>
          </cell>
          <cell r="G1446" t="str">
            <v>-</v>
          </cell>
        </row>
        <row r="1447">
          <cell r="B1447" t="str">
            <v>7101072740</v>
          </cell>
          <cell r="C1447" t="str">
            <v>G2312-0923</v>
          </cell>
          <cell r="D1447" t="str">
            <v>000042944239011768</v>
          </cell>
          <cell r="E1447" t="str">
            <v>二级盘后螺栓</v>
          </cell>
          <cell r="F1447" t="str">
            <v>S10.1.3123</v>
          </cell>
          <cell r="G1447" t="str">
            <v>-</v>
          </cell>
        </row>
        <row r="1448">
          <cell r="B1448" t="str">
            <v>7101072740</v>
          </cell>
          <cell r="C1448" t="str">
            <v>G2202-1129</v>
          </cell>
          <cell r="D1448" t="str">
            <v>000042944239011768</v>
          </cell>
          <cell r="E1448" t="str">
            <v>二级盘后螺栓</v>
          </cell>
          <cell r="F1448" t="str">
            <v>S10.1.3123</v>
          </cell>
          <cell r="G1448" t="str">
            <v>-</v>
          </cell>
        </row>
        <row r="1449">
          <cell r="B1449" t="str">
            <v>7101072742</v>
          </cell>
          <cell r="C1449" t="str">
            <v>G2504-0544</v>
          </cell>
          <cell r="D1449" t="str">
            <v>000042944239011767</v>
          </cell>
          <cell r="E1449" t="str">
            <v>一级盘后螺栓</v>
          </cell>
          <cell r="F1449" t="str">
            <v>S10.1.3122</v>
          </cell>
          <cell r="G1449" t="str">
            <v>-</v>
          </cell>
        </row>
        <row r="1450">
          <cell r="B1450" t="str">
            <v>7101072747</v>
          </cell>
          <cell r="C1450" t="str">
            <v>G2511-0224</v>
          </cell>
          <cell r="D1450" t="str">
            <v>000042944239011752</v>
          </cell>
          <cell r="E1450" t="str">
            <v>螺栓</v>
          </cell>
          <cell r="F1450" t="str">
            <v>S10.1.1406</v>
          </cell>
          <cell r="G1450" t="str">
            <v>-</v>
          </cell>
        </row>
        <row r="1451">
          <cell r="B1451" t="str">
            <v>7101072748</v>
          </cell>
          <cell r="C1451" t="str">
            <v>G2502-0559</v>
          </cell>
          <cell r="D1451" t="str">
            <v>000042944239011749</v>
          </cell>
          <cell r="E1451" t="str">
            <v>盘后螺栓</v>
          </cell>
          <cell r="F1451" t="str">
            <v>S10.1.1402</v>
          </cell>
          <cell r="G1451" t="str">
            <v>-</v>
          </cell>
        </row>
        <row r="1452">
          <cell r="B1452" t="str">
            <v>7101072764</v>
          </cell>
          <cell r="C1452" t="str">
            <v>G2511-0179</v>
          </cell>
          <cell r="D1452" t="str">
            <v>000042944239011744</v>
          </cell>
          <cell r="E1452" t="str">
            <v>螺栓</v>
          </cell>
          <cell r="F1452" t="str">
            <v>S10.1.1302</v>
          </cell>
          <cell r="G1452" t="str">
            <v>-</v>
          </cell>
        </row>
        <row r="1453">
          <cell r="B1453" t="str">
            <v>7101072770</v>
          </cell>
          <cell r="C1453" t="str">
            <v>G2502-0555</v>
          </cell>
          <cell r="D1453" t="str">
            <v>000042944239011743</v>
          </cell>
          <cell r="E1453" t="str">
            <v>十二花键螺栓</v>
          </cell>
          <cell r="F1453" t="str">
            <v>S10.1.1301</v>
          </cell>
          <cell r="G1453" t="str">
            <v>-</v>
          </cell>
        </row>
        <row r="1454">
          <cell r="B1454" t="str">
            <v>7101072775</v>
          </cell>
          <cell r="C1454" t="str">
            <v>G2504-0090</v>
          </cell>
          <cell r="D1454" t="str">
            <v>000042944239011724</v>
          </cell>
          <cell r="E1454" t="str">
            <v>十二角头螺栓</v>
          </cell>
          <cell r="F1454" t="str">
            <v>S10.1.1236</v>
          </cell>
          <cell r="G1454" t="str">
            <v>-</v>
          </cell>
        </row>
        <row r="1455">
          <cell r="B1455" t="str">
            <v>7101072776</v>
          </cell>
          <cell r="C1455" t="str">
            <v>G2502-0546</v>
          </cell>
          <cell r="D1455" t="str">
            <v>000042944239011708</v>
          </cell>
          <cell r="E1455" t="str">
            <v>十二角头螺栓</v>
          </cell>
          <cell r="F1455" t="str">
            <v>S10.1.1218</v>
          </cell>
          <cell r="G1455" t="str">
            <v>-</v>
          </cell>
        </row>
        <row r="1456">
          <cell r="B1456" t="str">
            <v>7101072776</v>
          </cell>
          <cell r="C1456" t="str">
            <v>G2504-0088</v>
          </cell>
          <cell r="D1456" t="str">
            <v>000042944239011708</v>
          </cell>
          <cell r="E1456" t="str">
            <v>十二角头螺栓</v>
          </cell>
          <cell r="F1456" t="str">
            <v>S10.1.1218</v>
          </cell>
          <cell r="G1456" t="str">
            <v>-</v>
          </cell>
        </row>
        <row r="1457">
          <cell r="B1457" t="str">
            <v>7101072779</v>
          </cell>
          <cell r="C1457" t="str">
            <v>G2502-0296</v>
          </cell>
          <cell r="D1457" t="str">
            <v>000042944239002614</v>
          </cell>
          <cell r="E1457" t="str">
            <v>螺栓</v>
          </cell>
          <cell r="F1457" t="str">
            <v>S10.1.1409</v>
          </cell>
          <cell r="G1457" t="str">
            <v>-</v>
          </cell>
        </row>
        <row r="1458">
          <cell r="B1458" t="str">
            <v>7101072793</v>
          </cell>
          <cell r="C1458" t="str">
            <v>G2512-0301</v>
          </cell>
          <cell r="D1458" t="str">
            <v>000042944404000554</v>
          </cell>
          <cell r="E1458" t="str">
            <v>角形垂直单耳止动垫圈</v>
          </cell>
          <cell r="F1458" t="str">
            <v>Q/S15.1165-2011</v>
          </cell>
          <cell r="G1458" t="str">
            <v>A-6-12</v>
          </cell>
        </row>
        <row r="1459">
          <cell r="B1459" t="str">
            <v>7101072794</v>
          </cell>
          <cell r="C1459" t="str">
            <v>G2512-0301</v>
          </cell>
          <cell r="D1459" t="str">
            <v>000042944404000554</v>
          </cell>
          <cell r="E1459" t="str">
            <v>角形垂直单耳止动垫圈</v>
          </cell>
          <cell r="F1459" t="str">
            <v>Q/S15.1165-2011</v>
          </cell>
          <cell r="G1459" t="str">
            <v>A-6-12</v>
          </cell>
        </row>
        <row r="1460">
          <cell r="B1460" t="str">
            <v>7101072998</v>
          </cell>
          <cell r="C1460" t="str">
            <v>G2506-0241</v>
          </cell>
          <cell r="D1460" t="str">
            <v>000042944319001900</v>
          </cell>
          <cell r="E1460" t="str">
            <v>螺母</v>
          </cell>
          <cell r="F1460" t="str">
            <v>S10.4.1407</v>
          </cell>
          <cell r="G1460" t="str">
            <v>-</v>
          </cell>
        </row>
        <row r="1461">
          <cell r="B1461" t="str">
            <v>7101073247</v>
          </cell>
          <cell r="C1461" t="str">
            <v>G2508-2304</v>
          </cell>
          <cell r="D1461" t="str">
            <v>000042944239056622</v>
          </cell>
          <cell r="E1461" t="str">
            <v>小十二角头螺钉</v>
          </cell>
          <cell r="F1461" t="str">
            <v>Q/S15.1072-2016</v>
          </cell>
          <cell r="G1461" t="str">
            <v>8-14d</v>
          </cell>
        </row>
        <row r="1462">
          <cell r="B1462" t="str">
            <v>7101073249</v>
          </cell>
          <cell r="C1462" t="str">
            <v>G2307-0726</v>
          </cell>
          <cell r="D1462" t="str">
            <v>000042944288002036</v>
          </cell>
          <cell r="E1462" t="str">
            <v>厚自锁螺母,十角,MJ螺纹,材料GH738</v>
          </cell>
          <cell r="F1462" t="str">
            <v>Q/S15.1101-2011</v>
          </cell>
          <cell r="G1462" t="str">
            <v>6</v>
          </cell>
        </row>
        <row r="1463">
          <cell r="B1463" t="str">
            <v>7101073286</v>
          </cell>
          <cell r="C1463" t="str">
            <v>G2509-1419</v>
          </cell>
          <cell r="D1463" t="str">
            <v>000042944360100892</v>
          </cell>
          <cell r="E1463" t="str">
            <v>连接销</v>
          </cell>
          <cell r="F1463" t="str">
            <v>S20.00.2008</v>
          </cell>
          <cell r="G1463" t="str">
            <v>-</v>
          </cell>
        </row>
        <row r="1464">
          <cell r="B1464" t="str">
            <v>7101073540</v>
          </cell>
          <cell r="C1464" t="str">
            <v>G2511-0117</v>
          </cell>
          <cell r="D1464" t="str">
            <v>000042944239011749</v>
          </cell>
          <cell r="E1464" t="str">
            <v>盘后螺栓</v>
          </cell>
          <cell r="F1464" t="str">
            <v>S10.1.1402</v>
          </cell>
          <cell r="G1464" t="str">
            <v>-</v>
          </cell>
        </row>
        <row r="1465">
          <cell r="B1465" t="str">
            <v>7101073546</v>
          </cell>
          <cell r="C1465" t="str">
            <v>G2504-0090</v>
          </cell>
          <cell r="D1465" t="str">
            <v>000042944239011724</v>
          </cell>
          <cell r="E1465" t="str">
            <v>十二角头螺栓</v>
          </cell>
          <cell r="F1465" t="str">
            <v>S10.1.1236</v>
          </cell>
          <cell r="G1465" t="str">
            <v>-</v>
          </cell>
        </row>
        <row r="1466">
          <cell r="B1466" t="str">
            <v>7101073546</v>
          </cell>
          <cell r="C1466" t="str">
            <v>G2501-0830</v>
          </cell>
          <cell r="D1466" t="str">
            <v>000042944239011724</v>
          </cell>
          <cell r="E1466" t="str">
            <v>十二角头螺栓</v>
          </cell>
          <cell r="F1466" t="str">
            <v>S10.1.1236</v>
          </cell>
          <cell r="G1466" t="str">
            <v>-</v>
          </cell>
        </row>
        <row r="1467">
          <cell r="B1467" t="str">
            <v>7101073546</v>
          </cell>
          <cell r="C1467" t="str">
            <v>G2410-1829</v>
          </cell>
          <cell r="D1467" t="str">
            <v>000042944239011724</v>
          </cell>
          <cell r="E1467" t="str">
            <v>十二角头螺栓</v>
          </cell>
          <cell r="F1467" t="str">
            <v>S10.1.1236</v>
          </cell>
          <cell r="G1467" t="str">
            <v>-</v>
          </cell>
        </row>
        <row r="1468">
          <cell r="B1468" t="str">
            <v>7101073546</v>
          </cell>
          <cell r="C1468" t="str">
            <v>G2307-0142</v>
          </cell>
          <cell r="D1468" t="str">
            <v>000042944239011724</v>
          </cell>
          <cell r="E1468" t="str">
            <v>十二角头螺栓</v>
          </cell>
          <cell r="F1468" t="str">
            <v>S10.1.1236</v>
          </cell>
          <cell r="G1468" t="str">
            <v>-</v>
          </cell>
        </row>
        <row r="1469">
          <cell r="B1469" t="str">
            <v>7101073874</v>
          </cell>
          <cell r="C1469" t="str">
            <v>G2512-0294</v>
          </cell>
          <cell r="D1469" t="str">
            <v>000042944240084497</v>
          </cell>
          <cell r="E1469" t="str">
            <v>螺柱</v>
          </cell>
          <cell r="F1469" t="str">
            <v>11S30071</v>
          </cell>
          <cell r="G1469" t="str">
            <v>Ⅳ</v>
          </cell>
        </row>
        <row r="1470">
          <cell r="B1470" t="str">
            <v>7101073875</v>
          </cell>
          <cell r="C1470" t="str">
            <v>G2512-0294</v>
          </cell>
          <cell r="D1470" t="str">
            <v>000042944240084497</v>
          </cell>
          <cell r="E1470" t="str">
            <v>螺柱</v>
          </cell>
          <cell r="F1470" t="str">
            <v>11S30071</v>
          </cell>
          <cell r="G1470" t="str">
            <v>Ⅳ</v>
          </cell>
        </row>
        <row r="1471">
          <cell r="B1471" t="str">
            <v>7101073876</v>
          </cell>
          <cell r="C1471" t="str">
            <v>G2512-0294</v>
          </cell>
          <cell r="D1471" t="str">
            <v>000042944240084497</v>
          </cell>
          <cell r="E1471" t="str">
            <v>螺柱</v>
          </cell>
          <cell r="F1471" t="str">
            <v>11S30071</v>
          </cell>
          <cell r="G1471" t="str">
            <v>Ⅳ</v>
          </cell>
        </row>
        <row r="1472">
          <cell r="B1472" t="str">
            <v>7101073879</v>
          </cell>
          <cell r="C1472" t="str">
            <v>G2512-0294</v>
          </cell>
          <cell r="D1472" t="str">
            <v>000042944240084497</v>
          </cell>
          <cell r="E1472" t="str">
            <v>螺柱</v>
          </cell>
          <cell r="F1472" t="str">
            <v>11S30071</v>
          </cell>
          <cell r="G1472" t="str">
            <v>Ⅳ</v>
          </cell>
        </row>
        <row r="1473">
          <cell r="B1473" t="str">
            <v>7101073926</v>
          </cell>
          <cell r="C1473" t="str">
            <v>G2412-1865</v>
          </cell>
          <cell r="D1473" t="str">
            <v>000042944044009163</v>
          </cell>
          <cell r="E1473" t="str">
            <v>高扭矩十字槽螺钉</v>
          </cell>
          <cell r="F1473" t="str">
            <v>S10.2.1201</v>
          </cell>
          <cell r="G1473" t="str">
            <v>-</v>
          </cell>
        </row>
        <row r="1474">
          <cell r="B1474" t="str">
            <v>7101073927</v>
          </cell>
          <cell r="C1474" t="str">
            <v>G2412-3182</v>
          </cell>
          <cell r="D1474" t="str">
            <v>000042944044009163</v>
          </cell>
          <cell r="E1474" t="str">
            <v>高扭矩十字槽螺钉</v>
          </cell>
          <cell r="F1474" t="str">
            <v>S10.2.1201</v>
          </cell>
          <cell r="G1474" t="str">
            <v>-</v>
          </cell>
        </row>
        <row r="1475">
          <cell r="B1475" t="str">
            <v>7101073928</v>
          </cell>
          <cell r="C1475" t="str">
            <v>G2411-2546</v>
          </cell>
          <cell r="D1475" t="str">
            <v>000042944239050227</v>
          </cell>
          <cell r="E1475" t="str">
            <v>连杆螺栓</v>
          </cell>
          <cell r="F1475" t="str">
            <v>S15.15.1260N</v>
          </cell>
          <cell r="G1475" t="str">
            <v>-</v>
          </cell>
        </row>
        <row r="1476">
          <cell r="B1476" t="str">
            <v>7101073929</v>
          </cell>
          <cell r="C1476" t="str">
            <v>G2508-2329</v>
          </cell>
          <cell r="D1476" t="str">
            <v>000042944160011146</v>
          </cell>
          <cell r="E1476" t="str">
            <v>螺钉,六角头,螺纹公差带6e</v>
          </cell>
          <cell r="F1476" t="str">
            <v>Q/S15.1025-2011</v>
          </cell>
          <cell r="G1476" t="str">
            <v>6-11</v>
          </cell>
        </row>
        <row r="1477">
          <cell r="B1477" t="str">
            <v>7101073930</v>
          </cell>
          <cell r="C1477" t="str">
            <v>G2509-1691</v>
          </cell>
          <cell r="D1477" t="str">
            <v>000042944288002018</v>
          </cell>
          <cell r="E1477" t="str">
            <v>薄自锁螺母,六角,MJ螺纹,螺纹公差带4H5H,镀银,材料G</v>
          </cell>
          <cell r="F1477" t="str">
            <v>Q/S15.1082-2016</v>
          </cell>
          <cell r="G1477" t="str">
            <v>6</v>
          </cell>
        </row>
        <row r="1478">
          <cell r="B1478" t="str">
            <v>7101074021</v>
          </cell>
          <cell r="C1478" t="str">
            <v>G2310-2281</v>
          </cell>
          <cell r="D1478" t="str">
            <v>000042944000121220</v>
          </cell>
          <cell r="E1478" t="str">
            <v>调整垫片</v>
          </cell>
          <cell r="F1478" t="str">
            <v>S10B.68.1009</v>
          </cell>
          <cell r="G1478" t="str">
            <v>8</v>
          </cell>
        </row>
        <row r="1479">
          <cell r="B1479" t="str">
            <v>7101074336</v>
          </cell>
          <cell r="C1479" t="str">
            <v>G2504-1464</v>
          </cell>
          <cell r="D1479" t="str">
            <v>000042944239014332</v>
          </cell>
          <cell r="E1479" t="str">
            <v>螺栓</v>
          </cell>
          <cell r="F1479" t="str">
            <v>ΦBLT4843</v>
          </cell>
          <cell r="G1479" t="str">
            <v>-</v>
          </cell>
        </row>
        <row r="1480">
          <cell r="B1480" t="str">
            <v>7101074337</v>
          </cell>
          <cell r="C1480" t="str">
            <v>G2504-1464</v>
          </cell>
          <cell r="D1480" t="str">
            <v>000042944239014332</v>
          </cell>
          <cell r="E1480" t="str">
            <v>螺栓</v>
          </cell>
          <cell r="F1480" t="str">
            <v>ΦBLT4843</v>
          </cell>
          <cell r="G1480" t="str">
            <v>-</v>
          </cell>
        </row>
        <row r="1481">
          <cell r="B1481" t="str">
            <v>7101074499</v>
          </cell>
          <cell r="C1481" t="str">
            <v>G2412-1347</v>
          </cell>
          <cell r="D1481" t="str">
            <v>000042944000100879</v>
          </cell>
          <cell r="E1481" t="str">
            <v>套筒</v>
          </cell>
          <cell r="F1481" t="str">
            <v>S20.00.2038-GC</v>
          </cell>
          <cell r="G1481" t="str">
            <v>-</v>
          </cell>
        </row>
        <row r="1482">
          <cell r="B1482" t="str">
            <v>7101074499</v>
          </cell>
          <cell r="C1482" t="str">
            <v>G2412-0486</v>
          </cell>
          <cell r="D1482" t="str">
            <v>000042944000100878</v>
          </cell>
          <cell r="E1482" t="str">
            <v>芯轴</v>
          </cell>
          <cell r="F1482" t="str">
            <v>S20.00.2037</v>
          </cell>
          <cell r="G1482" t="str">
            <v>-</v>
          </cell>
        </row>
        <row r="1483">
          <cell r="B1483" t="str">
            <v>7101074504</v>
          </cell>
          <cell r="C1483" t="str">
            <v>G2502-2862</v>
          </cell>
          <cell r="D1483" t="str">
            <v>000042944000100879</v>
          </cell>
          <cell r="E1483" t="str">
            <v>套筒</v>
          </cell>
          <cell r="F1483" t="str">
            <v>S20.00.2038</v>
          </cell>
          <cell r="G1483" t="str">
            <v>-</v>
          </cell>
        </row>
        <row r="1484">
          <cell r="B1484" t="str">
            <v>7101074504</v>
          </cell>
          <cell r="C1484" t="str">
            <v>G2510-0556</v>
          </cell>
          <cell r="D1484" t="str">
            <v>000042944000100878</v>
          </cell>
          <cell r="E1484" t="str">
            <v>芯轴</v>
          </cell>
          <cell r="F1484" t="str">
            <v>S20.00.2037</v>
          </cell>
          <cell r="G1484" t="str">
            <v>-</v>
          </cell>
        </row>
        <row r="1485">
          <cell r="B1485" t="str">
            <v>7101075363</v>
          </cell>
          <cell r="C1485" t="str">
            <v>G2507-2129</v>
          </cell>
          <cell r="D1485" t="str">
            <v>000042944288002025</v>
          </cell>
          <cell r="E1485" t="str">
            <v>厚自锁螺母,十角,MJ螺纹,材料GH738</v>
          </cell>
          <cell r="F1485" t="str">
            <v>Q/S15.1089-2011</v>
          </cell>
          <cell r="G1485" t="str">
            <v>8</v>
          </cell>
        </row>
        <row r="1486">
          <cell r="B1486" t="str">
            <v>7101075435</v>
          </cell>
          <cell r="C1486" t="str">
            <v>G2506-1937</v>
          </cell>
          <cell r="D1486" t="str">
            <v>000042944288002869</v>
          </cell>
          <cell r="E1486" t="str">
            <v>加长十二角自锁螺母</v>
          </cell>
          <cell r="F1486" t="str">
            <v>ΦU129174</v>
          </cell>
          <cell r="G1486" t="str">
            <v>-</v>
          </cell>
        </row>
        <row r="1487">
          <cell r="B1487" t="str">
            <v>7101075436</v>
          </cell>
          <cell r="C1487" t="str">
            <v>G2506-1937</v>
          </cell>
          <cell r="D1487" t="str">
            <v>000042944288002869</v>
          </cell>
          <cell r="E1487" t="str">
            <v>加长十二角自锁螺母</v>
          </cell>
          <cell r="F1487" t="str">
            <v>ΦU129174</v>
          </cell>
          <cell r="G1487" t="str">
            <v>-</v>
          </cell>
        </row>
        <row r="1488">
          <cell r="B1488" t="str">
            <v>7101075468</v>
          </cell>
          <cell r="C1488" t="str">
            <v>G2502-2167</v>
          </cell>
          <cell r="D1488" t="str">
            <v>000042944000148063</v>
          </cell>
          <cell r="E1488" t="str">
            <v>衬套</v>
          </cell>
          <cell r="F1488" t="str">
            <v>AETG198</v>
          </cell>
          <cell r="G1488" t="str">
            <v>28</v>
          </cell>
        </row>
        <row r="1489">
          <cell r="B1489" t="str">
            <v>7101075468</v>
          </cell>
          <cell r="C1489" t="str">
            <v>G2210-1227</v>
          </cell>
          <cell r="D1489" t="str">
            <v>000042944404106641</v>
          </cell>
          <cell r="E1489" t="str">
            <v>止动垫圈</v>
          </cell>
          <cell r="F1489" t="str">
            <v>0240011(430)</v>
          </cell>
          <cell r="G1489" t="str">
            <v>-</v>
          </cell>
        </row>
        <row r="1490">
          <cell r="B1490" t="str">
            <v>7101075500</v>
          </cell>
          <cell r="C1490" t="str">
            <v>G2511-1557</v>
          </cell>
          <cell r="D1490" t="str">
            <v>000042944000148186</v>
          </cell>
          <cell r="E1490" t="str">
            <v>风扇盘后安装边螺栓衬套</v>
          </cell>
          <cell r="F1490" t="str">
            <v>FJ.00.005.B</v>
          </cell>
          <cell r="G1490" t="str">
            <v>-</v>
          </cell>
        </row>
        <row r="1491">
          <cell r="B1491" t="str">
            <v>7101075681</v>
          </cell>
          <cell r="C1491" t="str">
            <v>G2509-3088</v>
          </cell>
          <cell r="D1491" t="str">
            <v>000042944360159758</v>
          </cell>
          <cell r="E1491" t="str">
            <v>防转销</v>
          </cell>
          <cell r="F1491" t="str">
            <v>STHF.62.1036</v>
          </cell>
          <cell r="G1491" t="str">
            <v>-</v>
          </cell>
        </row>
        <row r="1492">
          <cell r="B1492" t="str">
            <v>7101075803</v>
          </cell>
          <cell r="C1492" t="str">
            <v>G2508-0836</v>
          </cell>
          <cell r="D1492" t="str">
            <v>000042944288095577</v>
          </cell>
          <cell r="E1492" t="str">
            <v>扩口自锁螺母</v>
          </cell>
          <cell r="F1492" t="str">
            <v>8S40097</v>
          </cell>
          <cell r="G1492" t="str">
            <v>-</v>
          </cell>
        </row>
        <row r="1493">
          <cell r="B1493" t="str">
            <v>7101075869</v>
          </cell>
          <cell r="C1493" t="str">
            <v>G2508-1096</v>
          </cell>
          <cell r="D1493" t="str">
            <v>000042944239092285</v>
          </cell>
          <cell r="E1493" t="str">
            <v>上支撑环螺栓</v>
          </cell>
          <cell r="F1493" t="str">
            <v>S15.44.1049P</v>
          </cell>
          <cell r="G1493" t="str">
            <v>-</v>
          </cell>
        </row>
        <row r="1494">
          <cell r="B1494" t="str">
            <v>7101075871</v>
          </cell>
          <cell r="C1494" t="str">
            <v>G2507-1673</v>
          </cell>
          <cell r="D1494" t="str">
            <v>000042944239092285</v>
          </cell>
          <cell r="E1494" t="str">
            <v>上支撑环螺栓</v>
          </cell>
          <cell r="F1494" t="str">
            <v>S15.44.1049P</v>
          </cell>
          <cell r="G1494" t="str">
            <v>-</v>
          </cell>
        </row>
        <row r="1495">
          <cell r="B1495" t="str">
            <v>7101075871</v>
          </cell>
          <cell r="C1495" t="str">
            <v>G2508-1096</v>
          </cell>
          <cell r="D1495" t="str">
            <v>000042944239092285</v>
          </cell>
          <cell r="E1495" t="str">
            <v>上支撑环螺栓</v>
          </cell>
          <cell r="F1495" t="str">
            <v>S15.44.1049P</v>
          </cell>
          <cell r="G1495" t="str">
            <v>-</v>
          </cell>
        </row>
        <row r="1496">
          <cell r="B1496" t="str">
            <v>7101076024</v>
          </cell>
          <cell r="C1496" t="str">
            <v>G2511-0103</v>
          </cell>
          <cell r="D1496" t="str">
            <v>000042944360100892</v>
          </cell>
          <cell r="E1496" t="str">
            <v>连接销</v>
          </cell>
          <cell r="F1496" t="str">
            <v>S20.00.2008</v>
          </cell>
          <cell r="G1496" t="str">
            <v>-</v>
          </cell>
        </row>
        <row r="1497">
          <cell r="B1497" t="str">
            <v>7101076120</v>
          </cell>
          <cell r="C1497" t="str">
            <v>G2601-2426</v>
          </cell>
          <cell r="D1497" t="str">
            <v>000042944360159062</v>
          </cell>
          <cell r="E1497" t="str">
            <v>销子</v>
          </cell>
          <cell r="F1497" t="str">
            <v>STHF.12.1011</v>
          </cell>
          <cell r="G1497" t="str">
            <v>Ⅰ</v>
          </cell>
        </row>
        <row r="1498">
          <cell r="B1498" t="str">
            <v>7101076624</v>
          </cell>
          <cell r="C1498" t="str">
            <v>G2509-0413</v>
          </cell>
          <cell r="D1498" t="str">
            <v>000042944239023113</v>
          </cell>
          <cell r="E1498" t="str">
            <v>十二角头精密螺栓</v>
          </cell>
          <cell r="F1498" t="str">
            <v>11S10261</v>
          </cell>
          <cell r="G1498" t="str">
            <v>-</v>
          </cell>
        </row>
        <row r="1499">
          <cell r="B1499" t="str">
            <v>7101076629</v>
          </cell>
          <cell r="C1499" t="str">
            <v>G2509-0413</v>
          </cell>
          <cell r="D1499" t="str">
            <v>000042944239023113</v>
          </cell>
          <cell r="E1499" t="str">
            <v>十二角头精密螺栓</v>
          </cell>
          <cell r="F1499" t="str">
            <v>11S10261</v>
          </cell>
          <cell r="G1499" t="str">
            <v>-</v>
          </cell>
        </row>
        <row r="1500">
          <cell r="B1500" t="str">
            <v>7101076635</v>
          </cell>
          <cell r="C1500" t="str">
            <v>G2509-0413</v>
          </cell>
          <cell r="D1500" t="str">
            <v>000042944239023113</v>
          </cell>
          <cell r="E1500" t="str">
            <v>十二角头精密螺栓</v>
          </cell>
          <cell r="F1500" t="str">
            <v>11S10261</v>
          </cell>
          <cell r="G1500" t="str">
            <v>-</v>
          </cell>
        </row>
        <row r="1501">
          <cell r="B1501" t="str">
            <v>7101076657</v>
          </cell>
          <cell r="C1501" t="str">
            <v>G2511-0111</v>
          </cell>
          <cell r="D1501" t="str">
            <v>000042944000100891</v>
          </cell>
          <cell r="E1501" t="str">
            <v>球头止动板</v>
          </cell>
          <cell r="F1501" t="str">
            <v>S20.00.2006</v>
          </cell>
          <cell r="G1501" t="str">
            <v>-</v>
          </cell>
        </row>
        <row r="1502">
          <cell r="B1502" t="str">
            <v>7101076704</v>
          </cell>
          <cell r="C1502" t="str">
            <v>G2411-1977</v>
          </cell>
          <cell r="D1502" t="str">
            <v>000042944160110909</v>
          </cell>
          <cell r="E1502" t="str">
            <v>平衡螺钉</v>
          </cell>
          <cell r="F1502" t="str">
            <v>11S10434</v>
          </cell>
          <cell r="G1502" t="str">
            <v>-</v>
          </cell>
        </row>
        <row r="1503">
          <cell r="B1503" t="str">
            <v>7101076705</v>
          </cell>
          <cell r="C1503" t="str">
            <v>G2405-0290</v>
          </cell>
          <cell r="D1503" t="str">
            <v>000042944160110909</v>
          </cell>
          <cell r="E1503" t="str">
            <v>平衡螺钉</v>
          </cell>
          <cell r="F1503" t="str">
            <v>11S10434</v>
          </cell>
          <cell r="G1503" t="str">
            <v>-</v>
          </cell>
        </row>
        <row r="1504">
          <cell r="B1504" t="str">
            <v>7101076706</v>
          </cell>
          <cell r="C1504" t="str">
            <v>G2504-0120</v>
          </cell>
          <cell r="D1504" t="str">
            <v>000042944240110895</v>
          </cell>
          <cell r="E1504" t="str">
            <v>螺桩</v>
          </cell>
          <cell r="F1504" t="str">
            <v>11S30122</v>
          </cell>
          <cell r="G1504" t="str">
            <v>2</v>
          </cell>
        </row>
        <row r="1505">
          <cell r="B1505" t="str">
            <v>7101076710</v>
          </cell>
          <cell r="C1505" t="str">
            <v>G2509-1500</v>
          </cell>
          <cell r="D1505" t="str">
            <v>000042944000159090</v>
          </cell>
          <cell r="E1505" t="str">
            <v>压板</v>
          </cell>
          <cell r="F1505" t="str">
            <v>STHF.17.1014</v>
          </cell>
          <cell r="G1505" t="str">
            <v>-</v>
          </cell>
        </row>
        <row r="1506">
          <cell r="B1506" t="str">
            <v>7101076847</v>
          </cell>
          <cell r="C1506" t="str">
            <v>G2601-0351</v>
          </cell>
          <cell r="D1506" t="str">
            <v>000042944440113870</v>
          </cell>
          <cell r="E1506" t="str">
            <v>挡圈</v>
          </cell>
          <cell r="F1506" t="str">
            <v>019112000701</v>
          </cell>
          <cell r="G1506" t="str">
            <v>-</v>
          </cell>
        </row>
        <row r="1507">
          <cell r="B1507" t="str">
            <v>7101077169</v>
          </cell>
          <cell r="C1507" t="str">
            <v>G2509-0624</v>
          </cell>
          <cell r="D1507" t="str">
            <v>000042944319125317</v>
          </cell>
          <cell r="E1507" t="str">
            <v>螺母</v>
          </cell>
          <cell r="F1507" t="str">
            <v>11S40193</v>
          </cell>
          <cell r="G1507" t="str">
            <v>-</v>
          </cell>
        </row>
        <row r="1508">
          <cell r="B1508" t="str">
            <v>7101077179</v>
          </cell>
          <cell r="C1508" t="str">
            <v>G2509-0624</v>
          </cell>
          <cell r="D1508" t="str">
            <v>000042944319125317</v>
          </cell>
          <cell r="E1508" t="str">
            <v>螺母</v>
          </cell>
          <cell r="F1508" t="str">
            <v>11S40193</v>
          </cell>
          <cell r="G1508" t="str">
            <v>-</v>
          </cell>
        </row>
        <row r="1509">
          <cell r="B1509" t="str">
            <v>7101077192</v>
          </cell>
          <cell r="C1509" t="str">
            <v>G2504-2607</v>
          </cell>
          <cell r="D1509" t="str">
            <v>000036900000040572</v>
          </cell>
          <cell r="E1509" t="str">
            <v>密封圈</v>
          </cell>
          <cell r="F1509" t="str">
            <v>11S00016</v>
          </cell>
          <cell r="G1509" t="str">
            <v>-</v>
          </cell>
        </row>
        <row r="1510">
          <cell r="B1510" t="str">
            <v>7101077193</v>
          </cell>
          <cell r="C1510" t="str">
            <v>G2504-2607</v>
          </cell>
          <cell r="D1510" t="str">
            <v>000036900000040572</v>
          </cell>
          <cell r="E1510" t="str">
            <v>密封圈</v>
          </cell>
          <cell r="F1510" t="str">
            <v>11S00016</v>
          </cell>
          <cell r="G1510" t="str">
            <v>-</v>
          </cell>
        </row>
        <row r="1511">
          <cell r="B1511" t="str">
            <v>7101077195</v>
          </cell>
          <cell r="C1511" t="str">
            <v>G2504-2607</v>
          </cell>
          <cell r="D1511" t="str">
            <v>000036900000040572</v>
          </cell>
          <cell r="E1511" t="str">
            <v>密封圈</v>
          </cell>
          <cell r="F1511" t="str">
            <v>11S00016</v>
          </cell>
          <cell r="G1511" t="str">
            <v>-</v>
          </cell>
        </row>
        <row r="1512">
          <cell r="B1512" t="str">
            <v>7101077780</v>
          </cell>
          <cell r="C1512" t="str">
            <v>G2511-2001</v>
          </cell>
          <cell r="D1512" t="str">
            <v>000042944366118578</v>
          </cell>
          <cell r="E1512" t="str">
            <v>反馈摇臂前销轴</v>
          </cell>
          <cell r="F1512" t="str">
            <v>019155003501</v>
          </cell>
          <cell r="G1512" t="str">
            <v>-</v>
          </cell>
        </row>
        <row r="1513">
          <cell r="B1513">
            <v>7101086021</v>
          </cell>
          <cell r="C1513" t="str">
            <v>G2601-2449</v>
          </cell>
          <cell r="D1513">
            <v>42944000100881</v>
          </cell>
          <cell r="E1513" t="str">
            <v>套筒</v>
          </cell>
          <cell r="F1513" t="str">
            <v>S20.00.2044(B版)</v>
          </cell>
          <cell r="G1513" t="str">
            <v>-</v>
          </cell>
        </row>
        <row r="1514">
          <cell r="B1514">
            <v>7101086021</v>
          </cell>
          <cell r="C1514" t="str">
            <v>G2511-0267</v>
          </cell>
          <cell r="D1514">
            <v>42944000100880</v>
          </cell>
          <cell r="E1514" t="str">
            <v>芯轴</v>
          </cell>
          <cell r="F1514" t="str">
            <v>S20.00.2043</v>
          </cell>
          <cell r="G1514" t="str">
            <v>-</v>
          </cell>
        </row>
        <row r="1515">
          <cell r="B1515" t="str">
            <v>7101087568</v>
          </cell>
          <cell r="C1515" t="str">
            <v>G2504-0090</v>
          </cell>
          <cell r="D1515" t="str">
            <v>000042944239011724</v>
          </cell>
          <cell r="E1515" t="str">
            <v>十二角头螺栓</v>
          </cell>
          <cell r="F1515" t="str">
            <v>S10.1.1236</v>
          </cell>
          <cell r="G1515" t="str">
            <v>-</v>
          </cell>
        </row>
        <row r="1516">
          <cell r="B1516" t="str">
            <v>7101087567</v>
          </cell>
          <cell r="C1516" t="str">
            <v>G2504-0544</v>
          </cell>
          <cell r="D1516" t="str">
            <v>000042944239011767</v>
          </cell>
          <cell r="E1516" t="str">
            <v>一级盘后螺栓</v>
          </cell>
          <cell r="F1516" t="str">
            <v>S10.1.3122</v>
          </cell>
          <cell r="G1516" t="str">
            <v>-</v>
          </cell>
        </row>
        <row r="1517">
          <cell r="B1517" t="str">
            <v>7101087566</v>
          </cell>
          <cell r="C1517" t="str">
            <v>G2508-2291</v>
          </cell>
          <cell r="D1517" t="str">
            <v>000042944201016206</v>
          </cell>
          <cell r="E1517" t="str">
            <v>六角头螺栓</v>
          </cell>
          <cell r="F1517" t="str">
            <v>S10.1.1267</v>
          </cell>
          <cell r="G1517" t="str">
            <v>-</v>
          </cell>
        </row>
        <row r="1518">
          <cell r="B1518" t="str">
            <v>7101087565</v>
          </cell>
          <cell r="C1518" t="str">
            <v>G2508-2291</v>
          </cell>
          <cell r="D1518" t="str">
            <v>000042944201016206</v>
          </cell>
          <cell r="E1518" t="str">
            <v>六角头螺栓</v>
          </cell>
          <cell r="F1518" t="str">
            <v>S10.1.1267</v>
          </cell>
          <cell r="G1518" t="str">
            <v>-</v>
          </cell>
        </row>
        <row r="1519">
          <cell r="B1519" t="str">
            <v>7101087564</v>
          </cell>
          <cell r="C1519" t="str">
            <v>G2502-0559</v>
          </cell>
          <cell r="D1519" t="str">
            <v>000042944239011749</v>
          </cell>
          <cell r="E1519" t="str">
            <v>盘后螺栓</v>
          </cell>
          <cell r="F1519" t="str">
            <v>S10.1.1402</v>
          </cell>
          <cell r="G1519" t="str">
            <v>-</v>
          </cell>
        </row>
        <row r="1520">
          <cell r="B1520" t="str">
            <v>7101087521</v>
          </cell>
          <cell r="C1520" t="str">
            <v>G2502-0559</v>
          </cell>
          <cell r="D1520" t="str">
            <v>000042944239011749</v>
          </cell>
          <cell r="E1520" t="str">
            <v>盘后螺栓</v>
          </cell>
          <cell r="F1520" t="str">
            <v>S10.1.1402</v>
          </cell>
          <cell r="G1520" t="str">
            <v>-</v>
          </cell>
        </row>
        <row r="1521">
          <cell r="B1521" t="str">
            <v>7101087506</v>
          </cell>
          <cell r="C1521" t="str">
            <v>G2508-2291</v>
          </cell>
          <cell r="D1521" t="str">
            <v>000042944201016206</v>
          </cell>
          <cell r="E1521" t="str">
            <v>六角头螺栓</v>
          </cell>
          <cell r="F1521" t="str">
            <v>S10.1.1267</v>
          </cell>
          <cell r="G1521" t="str">
            <v>-</v>
          </cell>
        </row>
        <row r="1522">
          <cell r="B1522" t="str">
            <v>7101087493</v>
          </cell>
          <cell r="C1522" t="str">
            <v>G2504-0090</v>
          </cell>
          <cell r="D1522" t="str">
            <v>000042944239011724</v>
          </cell>
          <cell r="E1522" t="str">
            <v>十二角头螺栓</v>
          </cell>
          <cell r="F1522" t="str">
            <v>S10.1.1236</v>
          </cell>
          <cell r="G1522" t="str">
            <v>-</v>
          </cell>
        </row>
        <row r="1523">
          <cell r="B1523" t="str">
            <v>7101087492</v>
          </cell>
          <cell r="C1523" t="str">
            <v>G2504-0090</v>
          </cell>
          <cell r="D1523" t="str">
            <v>000042944239011724</v>
          </cell>
          <cell r="E1523" t="str">
            <v>十二角头螺栓</v>
          </cell>
          <cell r="F1523" t="str">
            <v>S10.1.1236</v>
          </cell>
          <cell r="G1523" t="str">
            <v>-</v>
          </cell>
        </row>
        <row r="1524">
          <cell r="B1524" t="str">
            <v>7101087486</v>
          </cell>
          <cell r="C1524" t="str">
            <v>G2508-2291</v>
          </cell>
          <cell r="D1524" t="str">
            <v>000042944201016206</v>
          </cell>
          <cell r="E1524" t="str">
            <v>六角头螺栓</v>
          </cell>
          <cell r="F1524" t="str">
            <v>S10.1.1267</v>
          </cell>
          <cell r="G1524" t="str">
            <v>-</v>
          </cell>
        </row>
        <row r="1525">
          <cell r="B1525" t="str">
            <v>7101087483</v>
          </cell>
          <cell r="C1525" t="str">
            <v>G2508-2291</v>
          </cell>
          <cell r="D1525" t="str">
            <v>000042944201016206</v>
          </cell>
          <cell r="E1525" t="str">
            <v>六角头螺栓</v>
          </cell>
          <cell r="F1525" t="str">
            <v>S10.1.1267</v>
          </cell>
          <cell r="G1525" t="str">
            <v>-</v>
          </cell>
        </row>
        <row r="1526">
          <cell r="B1526" t="str">
            <v>7101087479</v>
          </cell>
          <cell r="C1526" t="str">
            <v>G2410-1821</v>
          </cell>
          <cell r="D1526" t="str">
            <v>000042944239011705</v>
          </cell>
          <cell r="E1526" t="str">
            <v>十二角头螺栓</v>
          </cell>
          <cell r="F1526" t="str">
            <v>S10.1.1215</v>
          </cell>
          <cell r="G1526" t="str">
            <v>-</v>
          </cell>
        </row>
        <row r="1527">
          <cell r="B1527" t="str">
            <v>7101087476</v>
          </cell>
          <cell r="C1527" t="str">
            <v>G2501-1790</v>
          </cell>
          <cell r="D1527" t="str">
            <v>000042944040002770</v>
          </cell>
          <cell r="E1527" t="str">
            <v>TC4钛合金六角头螺钉</v>
          </cell>
          <cell r="F1527" t="str">
            <v>HB6566-1992</v>
          </cell>
          <cell r="G1527" t="str">
            <v>MJ6×1×16Y</v>
          </cell>
        </row>
        <row r="1528">
          <cell r="B1528" t="str">
            <v>7101087474</v>
          </cell>
          <cell r="C1528" t="str">
            <v>G2502-0171</v>
          </cell>
          <cell r="D1528" t="str">
            <v>000042944239002614</v>
          </cell>
          <cell r="E1528" t="str">
            <v>螺栓</v>
          </cell>
          <cell r="F1528" t="str">
            <v>S10.1.1409</v>
          </cell>
          <cell r="G1528" t="str">
            <v>-</v>
          </cell>
        </row>
        <row r="1529">
          <cell r="B1529" t="str">
            <v>7101087459</v>
          </cell>
          <cell r="C1529" t="str">
            <v>G2511-0182</v>
          </cell>
          <cell r="D1529" t="str">
            <v>000042944239011751</v>
          </cell>
          <cell r="E1529" t="str">
            <v>螺栓</v>
          </cell>
          <cell r="F1529" t="str">
            <v>S10.1.1405</v>
          </cell>
          <cell r="G1529" t="str">
            <v>-</v>
          </cell>
        </row>
        <row r="1530">
          <cell r="B1530" t="str">
            <v>7101087459</v>
          </cell>
          <cell r="C1530" t="str">
            <v>G2510-0032</v>
          </cell>
          <cell r="D1530" t="str">
            <v>000042944239011751</v>
          </cell>
          <cell r="E1530" t="str">
            <v>螺栓</v>
          </cell>
          <cell r="F1530" t="str">
            <v>S10.1.1405</v>
          </cell>
          <cell r="G1530" t="str">
            <v>-</v>
          </cell>
        </row>
        <row r="1531">
          <cell r="B1531" t="str">
            <v>7101087455</v>
          </cell>
          <cell r="C1531" t="str">
            <v>G2504-0229</v>
          </cell>
          <cell r="D1531" t="str">
            <v>000042944288002507</v>
          </cell>
          <cell r="E1531" t="str">
            <v>十二角自锁螺母</v>
          </cell>
          <cell r="F1531" t="str">
            <v>S10.4.1217</v>
          </cell>
          <cell r="G1531" t="str">
            <v>-</v>
          </cell>
        </row>
        <row r="1532">
          <cell r="B1532" t="str">
            <v>7101087454</v>
          </cell>
          <cell r="C1532" t="str">
            <v>G2504-0229</v>
          </cell>
          <cell r="D1532" t="str">
            <v>000042944288002507</v>
          </cell>
          <cell r="E1532" t="str">
            <v>十二角自锁螺母</v>
          </cell>
          <cell r="F1532" t="str">
            <v>S10.4.1217</v>
          </cell>
          <cell r="G1532" t="str">
            <v>-</v>
          </cell>
        </row>
        <row r="1533">
          <cell r="B1533" t="str">
            <v>7101087449</v>
          </cell>
          <cell r="C1533" t="str">
            <v>G2507-1943</v>
          </cell>
          <cell r="D1533" t="str">
            <v>000042944201016205</v>
          </cell>
          <cell r="E1533" t="str">
            <v>六角头螺栓</v>
          </cell>
          <cell r="F1533" t="str">
            <v>S10.1.1266</v>
          </cell>
          <cell r="G1533" t="str">
            <v>-</v>
          </cell>
        </row>
        <row r="1534">
          <cell r="B1534" t="str">
            <v>7101087441</v>
          </cell>
          <cell r="C1534" t="str">
            <v>G2504-0544</v>
          </cell>
          <cell r="D1534" t="str">
            <v>000042944239011767</v>
          </cell>
          <cell r="E1534" t="str">
            <v>一级盘后螺栓</v>
          </cell>
          <cell r="F1534" t="str">
            <v>S10.1.3122</v>
          </cell>
          <cell r="G1534" t="str">
            <v>-</v>
          </cell>
        </row>
        <row r="1535">
          <cell r="B1535" t="str">
            <v>7101087440</v>
          </cell>
          <cell r="C1535" t="str">
            <v>G2504-0544</v>
          </cell>
          <cell r="D1535" t="str">
            <v>000042944239011767</v>
          </cell>
          <cell r="E1535" t="str">
            <v>一级盘后螺栓</v>
          </cell>
          <cell r="F1535" t="str">
            <v>S10.1.3122</v>
          </cell>
          <cell r="G1535" t="str">
            <v>-</v>
          </cell>
        </row>
        <row r="1536">
          <cell r="B1536" t="str">
            <v>7101087436</v>
          </cell>
          <cell r="C1536" t="str">
            <v>G2504-0088</v>
          </cell>
          <cell r="D1536" t="str">
            <v>000042944239011708</v>
          </cell>
          <cell r="E1536" t="str">
            <v>十二角头螺栓</v>
          </cell>
          <cell r="F1536" t="str">
            <v>S10.1.1218</v>
          </cell>
          <cell r="G1536" t="str">
            <v>-</v>
          </cell>
        </row>
        <row r="1537">
          <cell r="B1537" t="str">
            <v>7101087430</v>
          </cell>
          <cell r="C1537" t="str">
            <v>G2511-0221</v>
          </cell>
          <cell r="D1537" t="str">
            <v>000042944040002771</v>
          </cell>
          <cell r="E1537" t="str">
            <v>TC4钛合金六角头螺钉</v>
          </cell>
          <cell r="F1537" t="str">
            <v>HB6566-1992</v>
          </cell>
          <cell r="G1537" t="str">
            <v>MJ6×1×18Y</v>
          </cell>
        </row>
        <row r="1538">
          <cell r="B1538" t="str">
            <v>7101087429</v>
          </cell>
          <cell r="C1538" t="str">
            <v>G2511-0221</v>
          </cell>
          <cell r="D1538" t="str">
            <v>000042944040002771</v>
          </cell>
          <cell r="E1538" t="str">
            <v>TC4钛合金六角头螺钉</v>
          </cell>
          <cell r="F1538" t="str">
            <v>HB6566-1992</v>
          </cell>
          <cell r="G1538" t="str">
            <v>MJ6×1×18Y</v>
          </cell>
        </row>
        <row r="1539">
          <cell r="B1539" t="str">
            <v>7101087428</v>
          </cell>
          <cell r="C1539" t="str">
            <v>G2406-0935</v>
          </cell>
          <cell r="D1539" t="str">
            <v>000042944319001884</v>
          </cell>
          <cell r="E1539" t="str">
            <v>托板螺母</v>
          </cell>
          <cell r="F1539" t="str">
            <v>S10.33.1025</v>
          </cell>
          <cell r="G1539" t="str">
            <v>-</v>
          </cell>
        </row>
        <row r="1540">
          <cell r="B1540" t="str">
            <v>7101087427</v>
          </cell>
          <cell r="C1540" t="str">
            <v>G2502-0550</v>
          </cell>
          <cell r="D1540" t="str">
            <v>000042944239011722</v>
          </cell>
          <cell r="E1540" t="str">
            <v>十二角头螺栓</v>
          </cell>
          <cell r="F1540" t="str">
            <v>S10.1.1235</v>
          </cell>
          <cell r="G1540" t="str">
            <v>-</v>
          </cell>
        </row>
        <row r="1541">
          <cell r="B1541" t="str">
            <v>7101087426</v>
          </cell>
          <cell r="C1541" t="str">
            <v>G2410-1828</v>
          </cell>
          <cell r="D1541" t="str">
            <v>000042944239011722</v>
          </cell>
          <cell r="E1541" t="str">
            <v>十二角头螺栓</v>
          </cell>
          <cell r="F1541" t="str">
            <v>S10.1.1235</v>
          </cell>
          <cell r="G1541" t="str">
            <v>-</v>
          </cell>
        </row>
        <row r="1542">
          <cell r="B1542" t="str">
            <v>7101087425</v>
          </cell>
          <cell r="C1542" t="str">
            <v>G2501-0820</v>
          </cell>
          <cell r="D1542" t="str">
            <v>000042944239011768</v>
          </cell>
          <cell r="E1542" t="str">
            <v>二级盘后螺栓</v>
          </cell>
          <cell r="F1542" t="str">
            <v>S10.1.3123</v>
          </cell>
          <cell r="G1542" t="str">
            <v>-</v>
          </cell>
        </row>
        <row r="1543">
          <cell r="B1543" t="str">
            <v>7101087425</v>
          </cell>
          <cell r="C1543" t="str">
            <v>G2504-0535</v>
          </cell>
          <cell r="D1543" t="str">
            <v>000042944239011768</v>
          </cell>
          <cell r="E1543" t="str">
            <v>二级盘后螺栓</v>
          </cell>
          <cell r="F1543" t="str">
            <v>S10.1.3123</v>
          </cell>
          <cell r="G1543" t="str">
            <v>-</v>
          </cell>
        </row>
        <row r="1544">
          <cell r="B1544" t="str">
            <v>7101087424</v>
          </cell>
          <cell r="C1544" t="str">
            <v>G2502-0764</v>
          </cell>
          <cell r="D1544" t="str">
            <v>000042944288002507</v>
          </cell>
          <cell r="E1544" t="str">
            <v>十二角自锁螺母</v>
          </cell>
          <cell r="F1544" t="str">
            <v>S10.4.1217</v>
          </cell>
          <cell r="G1544" t="str">
            <v>-</v>
          </cell>
        </row>
        <row r="1545">
          <cell r="B1545" t="str">
            <v>7101087423</v>
          </cell>
          <cell r="C1545" t="str">
            <v>G2502-0764</v>
          </cell>
          <cell r="D1545" t="str">
            <v>000042944288002507</v>
          </cell>
          <cell r="E1545" t="str">
            <v>十二角自锁螺母</v>
          </cell>
          <cell r="F1545" t="str">
            <v>S10.4.1217</v>
          </cell>
          <cell r="G1545" t="str">
            <v>-</v>
          </cell>
        </row>
        <row r="1546">
          <cell r="B1546" t="str">
            <v>7101087422</v>
          </cell>
          <cell r="C1546" t="str">
            <v>G2511-0182</v>
          </cell>
          <cell r="D1546" t="str">
            <v>000042944239011751</v>
          </cell>
          <cell r="E1546" t="str">
            <v>螺栓</v>
          </cell>
          <cell r="F1546" t="str">
            <v>S10.1.1405</v>
          </cell>
          <cell r="G1546" t="str">
            <v>-</v>
          </cell>
        </row>
        <row r="1547">
          <cell r="B1547" t="str">
            <v>7101087421</v>
          </cell>
          <cell r="C1547" t="str">
            <v>G2511-0087</v>
          </cell>
          <cell r="D1547" t="str">
            <v>000042944288002484</v>
          </cell>
          <cell r="E1547" t="str">
            <v>自锁螺母</v>
          </cell>
          <cell r="F1547" t="str">
            <v>S10.37.1050</v>
          </cell>
          <cell r="G1547" t="str">
            <v>-</v>
          </cell>
        </row>
        <row r="1548">
          <cell r="B1548" t="str">
            <v>7101087420</v>
          </cell>
          <cell r="C1548" t="str">
            <v>G2411-0215</v>
          </cell>
          <cell r="D1548" t="str">
            <v>000042944040002767</v>
          </cell>
          <cell r="E1548" t="str">
            <v>TC4钛合金六角头螺钉</v>
          </cell>
          <cell r="F1548" t="str">
            <v>HB6566-1992</v>
          </cell>
          <cell r="G1548" t="str">
            <v>MJ6×1×14Y</v>
          </cell>
        </row>
        <row r="1549">
          <cell r="B1549" t="str">
            <v>7101087420</v>
          </cell>
          <cell r="C1549" t="str">
            <v>G2411-0217</v>
          </cell>
          <cell r="D1549" t="str">
            <v>000042944040002767</v>
          </cell>
          <cell r="E1549" t="str">
            <v>TC4钛合金六角头螺钉</v>
          </cell>
          <cell r="F1549" t="str">
            <v>HB6566-1992</v>
          </cell>
          <cell r="G1549" t="str">
            <v>MJ6×1×14Y</v>
          </cell>
        </row>
        <row r="1550">
          <cell r="B1550" t="str">
            <v>7101087419</v>
          </cell>
          <cell r="C1550" t="str">
            <v>G2501-0091</v>
          </cell>
          <cell r="D1550" t="str">
            <v>000042944160011393</v>
          </cell>
          <cell r="E1550" t="str">
            <v>螺钉</v>
          </cell>
          <cell r="F1550" t="str">
            <v>S10.2.1411</v>
          </cell>
          <cell r="G1550" t="str">
            <v>-</v>
          </cell>
        </row>
        <row r="1551">
          <cell r="B1551" t="str">
            <v>7101087419</v>
          </cell>
          <cell r="C1551" t="str">
            <v>G2502-0387</v>
          </cell>
          <cell r="D1551" t="str">
            <v>000042944160011393</v>
          </cell>
          <cell r="E1551" t="str">
            <v>螺钉</v>
          </cell>
          <cell r="F1551" t="str">
            <v>S10.2.1411</v>
          </cell>
          <cell r="G1551" t="str">
            <v>-</v>
          </cell>
        </row>
        <row r="1552">
          <cell r="B1552" t="str">
            <v>7101087418</v>
          </cell>
          <cell r="C1552" t="str">
            <v>G2502-0779</v>
          </cell>
          <cell r="D1552" t="str">
            <v>000042944319001884</v>
          </cell>
          <cell r="E1552" t="str">
            <v>托板螺母</v>
          </cell>
          <cell r="F1552" t="str">
            <v>S10.33.1025</v>
          </cell>
          <cell r="G1552" t="str">
            <v>-</v>
          </cell>
        </row>
        <row r="1553">
          <cell r="B1553" t="str">
            <v>7101087417</v>
          </cell>
          <cell r="C1553" t="str">
            <v>G2502-0779</v>
          </cell>
          <cell r="D1553" t="str">
            <v>000042944319001884</v>
          </cell>
          <cell r="E1553" t="str">
            <v>托板螺母</v>
          </cell>
          <cell r="F1553" t="str">
            <v>S10.33.1025</v>
          </cell>
          <cell r="G1553" t="str">
            <v>-</v>
          </cell>
        </row>
        <row r="1554">
          <cell r="B1554" t="str">
            <v>7101087416</v>
          </cell>
          <cell r="C1554" t="str">
            <v>G2511-0089</v>
          </cell>
          <cell r="D1554" t="str">
            <v>000042944319001889</v>
          </cell>
          <cell r="E1554" t="str">
            <v>盘后托板螺母</v>
          </cell>
          <cell r="F1554" t="str">
            <v>S10.4.1402</v>
          </cell>
          <cell r="G1554" t="str">
            <v>-</v>
          </cell>
        </row>
        <row r="1555">
          <cell r="B1555" t="str">
            <v>7101087415</v>
          </cell>
          <cell r="C1555" t="str">
            <v>G2511-0089</v>
          </cell>
          <cell r="D1555" t="str">
            <v>000042944319001889</v>
          </cell>
          <cell r="E1555" t="str">
            <v>盘后托板螺母</v>
          </cell>
          <cell r="F1555" t="str">
            <v>S10.4.1402</v>
          </cell>
          <cell r="G1555" t="str">
            <v>-</v>
          </cell>
        </row>
        <row r="1556">
          <cell r="B1556" t="str">
            <v>7101087414</v>
          </cell>
          <cell r="C1556" t="str">
            <v>G2504-0089</v>
          </cell>
          <cell r="D1556" t="str">
            <v>000042944239011713</v>
          </cell>
          <cell r="E1556" t="str">
            <v>十二角头螺栓</v>
          </cell>
          <cell r="F1556" t="str">
            <v>S10.1.1223</v>
          </cell>
          <cell r="G1556" t="str">
            <v>-</v>
          </cell>
        </row>
        <row r="1557">
          <cell r="B1557" t="str">
            <v>7101087414</v>
          </cell>
          <cell r="C1557" t="str">
            <v>G2502-0548</v>
          </cell>
          <cell r="D1557" t="str">
            <v>000042944239011713</v>
          </cell>
          <cell r="E1557" t="str">
            <v>十二角头螺栓</v>
          </cell>
          <cell r="F1557" t="str">
            <v>S10.1.1223</v>
          </cell>
          <cell r="G1557" t="str">
            <v>-</v>
          </cell>
        </row>
        <row r="1558">
          <cell r="B1558" t="str">
            <v>7101087413</v>
          </cell>
          <cell r="C1558" t="str">
            <v>G2411-2256</v>
          </cell>
          <cell r="D1558" t="str">
            <v>000042944239011713</v>
          </cell>
          <cell r="E1558" t="str">
            <v>十二角头螺栓</v>
          </cell>
          <cell r="F1558" t="str">
            <v>S10.1.1223</v>
          </cell>
          <cell r="G1558" t="str">
            <v>-</v>
          </cell>
        </row>
        <row r="1559">
          <cell r="B1559" t="str">
            <v>7101087413</v>
          </cell>
          <cell r="C1559" t="str">
            <v>G2501-0469</v>
          </cell>
          <cell r="D1559" t="str">
            <v>000042944239011713</v>
          </cell>
          <cell r="E1559" t="str">
            <v>十二角头螺栓</v>
          </cell>
          <cell r="F1559" t="str">
            <v>S10.1.1223</v>
          </cell>
          <cell r="G1559" t="str">
            <v>-</v>
          </cell>
        </row>
        <row r="1560">
          <cell r="B1560" t="str">
            <v>7101087413</v>
          </cell>
          <cell r="C1560" t="str">
            <v>G2502-0547</v>
          </cell>
          <cell r="D1560" t="str">
            <v>000042944239011713</v>
          </cell>
          <cell r="E1560" t="str">
            <v>十二角头螺栓</v>
          </cell>
          <cell r="F1560" t="str">
            <v>S10.1.1223</v>
          </cell>
          <cell r="G1560" t="str">
            <v>-</v>
          </cell>
        </row>
        <row r="1561">
          <cell r="B1561" t="str">
            <v>7101087412</v>
          </cell>
          <cell r="C1561" t="str">
            <v>G2506-0249</v>
          </cell>
          <cell r="D1561" t="str">
            <v>000042944239011713</v>
          </cell>
          <cell r="E1561" t="str">
            <v>十二角头螺栓</v>
          </cell>
          <cell r="F1561" t="str">
            <v>S10.1.1223</v>
          </cell>
          <cell r="G1561" t="str">
            <v>-</v>
          </cell>
        </row>
        <row r="1562">
          <cell r="B1562" t="str">
            <v>7101087412</v>
          </cell>
          <cell r="C1562" t="str">
            <v>G2411-2256</v>
          </cell>
          <cell r="D1562" t="str">
            <v>000042944239011713</v>
          </cell>
          <cell r="E1562" t="str">
            <v>十二角头螺栓</v>
          </cell>
          <cell r="F1562" t="str">
            <v>S10.1.1223</v>
          </cell>
          <cell r="G1562" t="str">
            <v>-</v>
          </cell>
        </row>
        <row r="1563">
          <cell r="B1563" t="str">
            <v>7101087412</v>
          </cell>
          <cell r="C1563" t="str">
            <v>G2502-0547</v>
          </cell>
          <cell r="D1563" t="str">
            <v>000042944239011713</v>
          </cell>
          <cell r="E1563" t="str">
            <v>十二角头螺栓</v>
          </cell>
          <cell r="F1563" t="str">
            <v>S10.1.1223</v>
          </cell>
          <cell r="G1563" t="str">
            <v>-</v>
          </cell>
        </row>
        <row r="1564">
          <cell r="B1564" t="str">
            <v>7101087366</v>
          </cell>
          <cell r="C1564" t="str">
            <v>G2504-0088</v>
          </cell>
          <cell r="D1564" t="str">
            <v>000042944239011708</v>
          </cell>
          <cell r="E1564" t="str">
            <v>十二角头螺栓</v>
          </cell>
          <cell r="F1564" t="str">
            <v>S10.1.1218</v>
          </cell>
          <cell r="G1564" t="str">
            <v>-</v>
          </cell>
        </row>
        <row r="1565">
          <cell r="B1565" t="str">
            <v>7101087365</v>
          </cell>
          <cell r="C1565" t="str">
            <v>G2504-0088</v>
          </cell>
          <cell r="D1565" t="str">
            <v>000042944239011708</v>
          </cell>
          <cell r="E1565" t="str">
            <v>十二角头螺栓</v>
          </cell>
          <cell r="F1565" t="str">
            <v>S10.1.1218</v>
          </cell>
          <cell r="G1565" t="str">
            <v>-</v>
          </cell>
        </row>
        <row r="1566">
          <cell r="B1566" t="str">
            <v>7101087352</v>
          </cell>
          <cell r="C1566" t="str">
            <v>G2511-0097</v>
          </cell>
          <cell r="D1566" t="str">
            <v>000042944319001895</v>
          </cell>
          <cell r="E1566" t="str">
            <v>鼓筒前连接螺母</v>
          </cell>
          <cell r="F1566" t="str">
            <v>S10.4.1404</v>
          </cell>
          <cell r="G1566" t="str">
            <v>-</v>
          </cell>
        </row>
        <row r="1567">
          <cell r="B1567" t="str">
            <v>7101087352</v>
          </cell>
          <cell r="C1567" t="str">
            <v>G2510-0188</v>
          </cell>
          <cell r="D1567" t="str">
            <v>000042944319001895</v>
          </cell>
          <cell r="E1567" t="str">
            <v>鼓筒前连接螺母</v>
          </cell>
          <cell r="F1567" t="str">
            <v>S10.4.1404</v>
          </cell>
          <cell r="G1567" t="str">
            <v>-</v>
          </cell>
        </row>
        <row r="1568">
          <cell r="B1568" t="str">
            <v>7101087351</v>
          </cell>
          <cell r="C1568" t="str">
            <v>G2511-0097</v>
          </cell>
          <cell r="D1568" t="str">
            <v>000042944319001895</v>
          </cell>
          <cell r="E1568" t="str">
            <v>鼓筒前连接螺母</v>
          </cell>
          <cell r="F1568" t="str">
            <v>S10.4.1404</v>
          </cell>
          <cell r="G1568" t="str">
            <v>-</v>
          </cell>
        </row>
        <row r="1569">
          <cell r="B1569" t="str">
            <v>7101087350</v>
          </cell>
          <cell r="C1569" t="str">
            <v>G2511-0098</v>
          </cell>
          <cell r="D1569" t="str">
            <v>000042944319001895</v>
          </cell>
          <cell r="E1569" t="str">
            <v>鼓筒前连接螺母</v>
          </cell>
          <cell r="F1569" t="str">
            <v>S10.4.1404</v>
          </cell>
          <cell r="G1569" t="str">
            <v>-</v>
          </cell>
        </row>
        <row r="1570">
          <cell r="B1570" t="str">
            <v>7101087349</v>
          </cell>
          <cell r="C1570" t="str">
            <v>G2511-0098</v>
          </cell>
          <cell r="D1570" t="str">
            <v>000042944319001895</v>
          </cell>
          <cell r="E1570" t="str">
            <v>鼓筒前连接螺母</v>
          </cell>
          <cell r="F1570" t="str">
            <v>S10.4.1404</v>
          </cell>
          <cell r="G1570" t="str">
            <v>-</v>
          </cell>
        </row>
        <row r="1571">
          <cell r="B1571" t="str">
            <v>7101087348</v>
          </cell>
          <cell r="C1571" t="str">
            <v>G2511-0087</v>
          </cell>
          <cell r="D1571" t="str">
            <v>000042944288002484</v>
          </cell>
          <cell r="E1571" t="str">
            <v>自锁螺母</v>
          </cell>
          <cell r="F1571" t="str">
            <v>S10.37.1050</v>
          </cell>
          <cell r="G1571" t="str">
            <v>-</v>
          </cell>
        </row>
        <row r="1572">
          <cell r="B1572" t="str">
            <v>7101087347</v>
          </cell>
          <cell r="C1572" t="str">
            <v>G2511-0087</v>
          </cell>
          <cell r="D1572" t="str">
            <v>000042944288002484</v>
          </cell>
          <cell r="E1572" t="str">
            <v>自锁螺母</v>
          </cell>
          <cell r="F1572" t="str">
            <v>S10.37.1050</v>
          </cell>
          <cell r="G1572" t="str">
            <v>-</v>
          </cell>
        </row>
        <row r="1573">
          <cell r="B1573" t="str">
            <v>7101087344</v>
          </cell>
          <cell r="C1573" t="str">
            <v>G2502-0146</v>
          </cell>
          <cell r="D1573" t="str">
            <v>000042944319001887</v>
          </cell>
          <cell r="E1573" t="str">
            <v>盘前托板螺母</v>
          </cell>
          <cell r="F1573" t="str">
            <v>S10.4.1401</v>
          </cell>
          <cell r="G1573" t="str">
            <v>-</v>
          </cell>
        </row>
        <row r="1574">
          <cell r="B1574" t="str">
            <v>7101087343</v>
          </cell>
          <cell r="C1574" t="str">
            <v>G2502-0146</v>
          </cell>
          <cell r="D1574" t="str">
            <v>000042944319001887</v>
          </cell>
          <cell r="E1574" t="str">
            <v>盘前托板螺母</v>
          </cell>
          <cell r="F1574" t="str">
            <v>S10.4.1401</v>
          </cell>
          <cell r="G1574" t="str">
            <v>-</v>
          </cell>
        </row>
        <row r="1575">
          <cell r="B1575" t="str">
            <v>7101087342</v>
          </cell>
          <cell r="C1575" t="str">
            <v>G2502-0146</v>
          </cell>
          <cell r="D1575" t="str">
            <v>000042944319001887</v>
          </cell>
          <cell r="E1575" t="str">
            <v>盘前托板螺母</v>
          </cell>
          <cell r="F1575" t="str">
            <v>S10.4.1401</v>
          </cell>
          <cell r="G1575" t="str">
            <v>-</v>
          </cell>
        </row>
        <row r="1576">
          <cell r="B1576" t="str">
            <v>7101087341</v>
          </cell>
          <cell r="C1576" t="str">
            <v>G2502-0146</v>
          </cell>
          <cell r="D1576" t="str">
            <v>000042944319001887</v>
          </cell>
          <cell r="E1576" t="str">
            <v>盘前托板螺母</v>
          </cell>
          <cell r="F1576" t="str">
            <v>S10.4.1401</v>
          </cell>
          <cell r="G1576" t="str">
            <v>-</v>
          </cell>
        </row>
        <row r="1577">
          <cell r="B1577" t="str">
            <v>7101087335</v>
          </cell>
          <cell r="C1577" t="str">
            <v>G2511-0224</v>
          </cell>
          <cell r="D1577" t="str">
            <v>000042944239011752</v>
          </cell>
          <cell r="E1577" t="str">
            <v>螺栓</v>
          </cell>
          <cell r="F1577" t="str">
            <v>S10.1.1406</v>
          </cell>
          <cell r="G1577" t="str">
            <v>-</v>
          </cell>
        </row>
        <row r="1578">
          <cell r="B1578" t="str">
            <v>7101087335</v>
          </cell>
          <cell r="C1578" t="str">
            <v>G2401-1107</v>
          </cell>
          <cell r="D1578" t="str">
            <v>000042944239011752</v>
          </cell>
          <cell r="E1578" t="str">
            <v>螺栓</v>
          </cell>
          <cell r="F1578" t="str">
            <v>S10.1.1406</v>
          </cell>
          <cell r="G1578" t="str">
            <v>-</v>
          </cell>
        </row>
        <row r="1579">
          <cell r="B1579" t="str">
            <v>7101087335</v>
          </cell>
          <cell r="C1579" t="str">
            <v>G2403-2784</v>
          </cell>
          <cell r="D1579" t="str">
            <v>000042944239011752</v>
          </cell>
          <cell r="E1579" t="str">
            <v>螺栓</v>
          </cell>
          <cell r="F1579" t="str">
            <v>S10.1.1406</v>
          </cell>
          <cell r="G1579" t="str">
            <v>-</v>
          </cell>
        </row>
        <row r="1580">
          <cell r="B1580" t="str">
            <v>7101087334</v>
          </cell>
          <cell r="C1580" t="str">
            <v>G2511-0224</v>
          </cell>
          <cell r="D1580" t="str">
            <v>000042944239011752</v>
          </cell>
          <cell r="E1580" t="str">
            <v>螺栓</v>
          </cell>
          <cell r="F1580" t="str">
            <v>S10.1.1406</v>
          </cell>
          <cell r="G1580" t="str">
            <v>-</v>
          </cell>
        </row>
        <row r="1581">
          <cell r="B1581" t="str">
            <v>7101087334</v>
          </cell>
          <cell r="C1581" t="str">
            <v>G2401-1107</v>
          </cell>
          <cell r="D1581" t="str">
            <v>000042944239011752</v>
          </cell>
          <cell r="E1581" t="str">
            <v>螺栓</v>
          </cell>
          <cell r="F1581" t="str">
            <v>S10.1.1406</v>
          </cell>
          <cell r="G1581" t="str">
            <v>-</v>
          </cell>
        </row>
        <row r="1582">
          <cell r="B1582" t="str">
            <v>7101087334</v>
          </cell>
          <cell r="C1582" t="str">
            <v>G2403-2784</v>
          </cell>
          <cell r="D1582" t="str">
            <v>000042944239011752</v>
          </cell>
          <cell r="E1582" t="str">
            <v>螺栓</v>
          </cell>
          <cell r="F1582" t="str">
            <v>S10.1.1406</v>
          </cell>
          <cell r="G1582" t="str">
            <v>-</v>
          </cell>
        </row>
        <row r="1583">
          <cell r="B1583" t="str">
            <v>7101087334</v>
          </cell>
          <cell r="C1583" t="str">
            <v>G2511-0224</v>
          </cell>
          <cell r="D1583" t="str">
            <v>000042944239011752</v>
          </cell>
          <cell r="E1583" t="str">
            <v>螺栓</v>
          </cell>
          <cell r="F1583" t="str">
            <v>S10.1.1406</v>
          </cell>
          <cell r="G1583" t="str">
            <v>-</v>
          </cell>
        </row>
        <row r="1584">
          <cell r="B1584" t="str">
            <v>7101087333</v>
          </cell>
          <cell r="C1584" t="str">
            <v>G2511-0224</v>
          </cell>
          <cell r="D1584" t="str">
            <v>000042944239011752</v>
          </cell>
          <cell r="E1584" t="str">
            <v>螺栓</v>
          </cell>
          <cell r="F1584" t="str">
            <v>S10.1.1406</v>
          </cell>
          <cell r="G1584" t="str">
            <v>-</v>
          </cell>
        </row>
        <row r="1585">
          <cell r="B1585" t="str">
            <v>7101087332</v>
          </cell>
          <cell r="C1585" t="str">
            <v>G2507-1497</v>
          </cell>
          <cell r="D1585" t="str">
            <v>000042944239011744</v>
          </cell>
          <cell r="E1585" t="str">
            <v>螺栓</v>
          </cell>
          <cell r="F1585" t="str">
            <v>S10.1.1302</v>
          </cell>
          <cell r="G1585" t="str">
            <v>-</v>
          </cell>
        </row>
        <row r="1586">
          <cell r="B1586" t="str">
            <v>7101087329</v>
          </cell>
          <cell r="C1586" t="str">
            <v>G2511-0178</v>
          </cell>
          <cell r="D1586" t="str">
            <v>000042944239011744</v>
          </cell>
          <cell r="E1586" t="str">
            <v>螺栓</v>
          </cell>
          <cell r="F1586" t="str">
            <v>S10.1.1302</v>
          </cell>
          <cell r="G1586" t="str">
            <v>-</v>
          </cell>
        </row>
        <row r="1587">
          <cell r="B1587" t="str">
            <v>7101087328</v>
          </cell>
          <cell r="C1587" t="str">
            <v>G2511-0179</v>
          </cell>
          <cell r="D1587" t="str">
            <v>000042944239011744</v>
          </cell>
          <cell r="E1587" t="str">
            <v>螺栓</v>
          </cell>
          <cell r="F1587" t="str">
            <v>S10.1.1302</v>
          </cell>
          <cell r="G1587" t="str">
            <v>-</v>
          </cell>
        </row>
        <row r="1588">
          <cell r="B1588" t="str">
            <v>7101087327</v>
          </cell>
          <cell r="C1588" t="str">
            <v>G2506-1924</v>
          </cell>
          <cell r="D1588" t="str">
            <v>000042944239011744</v>
          </cell>
          <cell r="E1588" t="str">
            <v>螺栓</v>
          </cell>
          <cell r="F1588" t="str">
            <v>S10.1.1302</v>
          </cell>
          <cell r="G1588" t="str">
            <v>-</v>
          </cell>
        </row>
        <row r="1589">
          <cell r="B1589" t="str">
            <v>7101087324</v>
          </cell>
          <cell r="C1589" t="str">
            <v>G2511-0224</v>
          </cell>
          <cell r="D1589" t="str">
            <v>000042944239011752</v>
          </cell>
          <cell r="E1589" t="str">
            <v>螺栓</v>
          </cell>
          <cell r="F1589" t="str">
            <v>S10.1.1406</v>
          </cell>
          <cell r="G1589" t="str">
            <v>-</v>
          </cell>
        </row>
        <row r="1590">
          <cell r="B1590" t="str">
            <v>7101087323</v>
          </cell>
          <cell r="C1590" t="str">
            <v>G2511-0224</v>
          </cell>
          <cell r="D1590" t="str">
            <v>000042944239011752</v>
          </cell>
          <cell r="E1590" t="str">
            <v>螺栓</v>
          </cell>
          <cell r="F1590" t="str">
            <v>S10.1.1406</v>
          </cell>
          <cell r="G1590" t="str">
            <v>-</v>
          </cell>
        </row>
        <row r="1591">
          <cell r="B1591" t="str">
            <v>7101087323</v>
          </cell>
          <cell r="C1591" t="str">
            <v>G2511-0224</v>
          </cell>
          <cell r="D1591" t="str">
            <v>000042944239011752</v>
          </cell>
          <cell r="E1591" t="str">
            <v>螺栓</v>
          </cell>
          <cell r="F1591" t="str">
            <v>S10.1.1406</v>
          </cell>
          <cell r="G1591" t="str">
            <v>-</v>
          </cell>
        </row>
        <row r="1592">
          <cell r="B1592" t="str">
            <v>7101087322</v>
          </cell>
          <cell r="C1592" t="str">
            <v>G2509-0101</v>
          </cell>
          <cell r="D1592" t="str">
            <v>000042944319001887</v>
          </cell>
          <cell r="E1592" t="str">
            <v>盘前托板螺母</v>
          </cell>
          <cell r="F1592" t="str">
            <v>S10.4.1401</v>
          </cell>
          <cell r="G1592" t="str">
            <v>-</v>
          </cell>
        </row>
        <row r="1593">
          <cell r="B1593" t="str">
            <v>7101087321</v>
          </cell>
          <cell r="C1593" t="str">
            <v>G2509-0101</v>
          </cell>
          <cell r="D1593" t="str">
            <v>000042944319001887</v>
          </cell>
          <cell r="E1593" t="str">
            <v>盘前托板螺母</v>
          </cell>
          <cell r="F1593" t="str">
            <v>S10.4.1401</v>
          </cell>
          <cell r="G1593" t="str">
            <v>-</v>
          </cell>
        </row>
        <row r="1594">
          <cell r="B1594" t="str">
            <v>7101087320</v>
          </cell>
          <cell r="C1594" t="str">
            <v>G2509-0101</v>
          </cell>
          <cell r="D1594" t="str">
            <v>000042944319001887</v>
          </cell>
          <cell r="E1594" t="str">
            <v>盘前托板螺母</v>
          </cell>
          <cell r="F1594" t="str">
            <v>S10.4.1401</v>
          </cell>
          <cell r="G1594" t="str">
            <v>-</v>
          </cell>
        </row>
        <row r="1595">
          <cell r="B1595" t="str">
            <v>7101087317</v>
          </cell>
          <cell r="C1595" t="str">
            <v>G2502-0555</v>
          </cell>
          <cell r="D1595" t="str">
            <v>000042944239011743</v>
          </cell>
          <cell r="E1595" t="str">
            <v>十二花键螺栓</v>
          </cell>
          <cell r="F1595" t="str">
            <v>S10.1.1301</v>
          </cell>
          <cell r="G1595" t="str">
            <v>-</v>
          </cell>
        </row>
        <row r="1596">
          <cell r="B1596" t="str">
            <v>7101087315</v>
          </cell>
          <cell r="C1596" t="str">
            <v>G2502-0555</v>
          </cell>
          <cell r="D1596" t="str">
            <v>000042944239011743</v>
          </cell>
          <cell r="E1596" t="str">
            <v>十二花键螺栓</v>
          </cell>
          <cell r="F1596" t="str">
            <v>S10.1.1301</v>
          </cell>
          <cell r="G1596" t="str">
            <v>-</v>
          </cell>
        </row>
        <row r="1597">
          <cell r="B1597" t="str">
            <v>7101087313</v>
          </cell>
          <cell r="C1597" t="str">
            <v>G2502-0555</v>
          </cell>
          <cell r="D1597" t="str">
            <v>000042944239011743</v>
          </cell>
          <cell r="E1597" t="str">
            <v>十二花键螺栓</v>
          </cell>
          <cell r="F1597" t="str">
            <v>S10.1.1301</v>
          </cell>
          <cell r="G1597" t="str">
            <v>-</v>
          </cell>
        </row>
        <row r="1598">
          <cell r="B1598" t="str">
            <v>7101087307</v>
          </cell>
          <cell r="C1598" t="str">
            <v>G2502-0762</v>
          </cell>
          <cell r="D1598" t="str">
            <v>000042944288002505</v>
          </cell>
          <cell r="E1598" t="str">
            <v>十二角自锁螺母</v>
          </cell>
          <cell r="F1598" t="str">
            <v>S10.4.1216</v>
          </cell>
          <cell r="G1598" t="str">
            <v>-</v>
          </cell>
        </row>
        <row r="1599">
          <cell r="B1599" t="str">
            <v>7101087307</v>
          </cell>
          <cell r="C1599" t="str">
            <v>G2502-0143</v>
          </cell>
          <cell r="D1599" t="str">
            <v>000042944288002505</v>
          </cell>
          <cell r="E1599" t="str">
            <v>十二角自锁螺母</v>
          </cell>
          <cell r="F1599" t="str">
            <v>S10.4.1216</v>
          </cell>
          <cell r="G1599" t="str">
            <v>-</v>
          </cell>
        </row>
        <row r="1600">
          <cell r="B1600" t="str">
            <v>7101087306</v>
          </cell>
          <cell r="C1600" t="str">
            <v>G2502-0142</v>
          </cell>
          <cell r="D1600" t="str">
            <v>000042944288002505</v>
          </cell>
          <cell r="E1600" t="str">
            <v>十二角自锁螺母</v>
          </cell>
          <cell r="F1600" t="str">
            <v>S10.4.1216</v>
          </cell>
          <cell r="G1600" t="str">
            <v>-</v>
          </cell>
        </row>
        <row r="1601">
          <cell r="B1601" t="str">
            <v>7101087306</v>
          </cell>
          <cell r="C1601" t="str">
            <v>G2502-0204</v>
          </cell>
          <cell r="D1601" t="str">
            <v>000042944288002505</v>
          </cell>
          <cell r="E1601" t="str">
            <v>十二角自锁螺母</v>
          </cell>
          <cell r="F1601" t="str">
            <v>S10.4.1216</v>
          </cell>
          <cell r="G1601" t="str">
            <v>-</v>
          </cell>
        </row>
        <row r="1602">
          <cell r="B1602" t="str">
            <v>7101087306</v>
          </cell>
          <cell r="C1602" t="str">
            <v>G2502-0295</v>
          </cell>
          <cell r="D1602" t="str">
            <v>000042944288002505</v>
          </cell>
          <cell r="E1602" t="str">
            <v>十二角自锁螺母</v>
          </cell>
          <cell r="F1602" t="str">
            <v>S10.4.1216</v>
          </cell>
          <cell r="G1602" t="str">
            <v>-</v>
          </cell>
        </row>
        <row r="1603">
          <cell r="B1603" t="str">
            <v>7101087305</v>
          </cell>
          <cell r="C1603" t="str">
            <v>G2501-2567</v>
          </cell>
          <cell r="D1603" t="str">
            <v>000042944288002505</v>
          </cell>
          <cell r="E1603" t="str">
            <v>十二角自锁螺母</v>
          </cell>
          <cell r="F1603" t="str">
            <v>S10.4.1216</v>
          </cell>
          <cell r="G1603" t="str">
            <v>-</v>
          </cell>
        </row>
        <row r="1604">
          <cell r="B1604" t="str">
            <v>71010873051</v>
          </cell>
          <cell r="C1604" t="str">
            <v>G2502-0139</v>
          </cell>
          <cell r="D1604" t="str">
            <v>000042944288002505</v>
          </cell>
          <cell r="E1604" t="str">
            <v>十二角自锁螺母</v>
          </cell>
          <cell r="F1604" t="str">
            <v>S10.4.1216</v>
          </cell>
          <cell r="G1604" t="str">
            <v>-</v>
          </cell>
        </row>
        <row r="1605">
          <cell r="B1605" t="str">
            <v>71010873052</v>
          </cell>
          <cell r="C1605" t="str">
            <v>G2502-0144</v>
          </cell>
          <cell r="D1605" t="str">
            <v>000042944288002505</v>
          </cell>
          <cell r="E1605" t="str">
            <v>十二角自锁螺母</v>
          </cell>
          <cell r="F1605" t="str">
            <v>S10.4.1216</v>
          </cell>
          <cell r="G1605" t="str">
            <v>-</v>
          </cell>
        </row>
        <row r="1606">
          <cell r="B1606" t="str">
            <v>7101087304</v>
          </cell>
          <cell r="C1606" t="str">
            <v>G2601-0491</v>
          </cell>
          <cell r="D1606" t="str">
            <v>000042944288002505</v>
          </cell>
          <cell r="E1606" t="str">
            <v>十二角自锁螺母</v>
          </cell>
          <cell r="F1606" t="str">
            <v>S10.4.1216</v>
          </cell>
          <cell r="G1606" t="str">
            <v>-</v>
          </cell>
        </row>
        <row r="1607">
          <cell r="B1607" t="str">
            <v>71010873041</v>
          </cell>
          <cell r="C1607" t="str">
            <v>G2501-0479</v>
          </cell>
          <cell r="D1607" t="str">
            <v>000042944288002505</v>
          </cell>
          <cell r="E1607" t="str">
            <v>十二角自锁螺母</v>
          </cell>
          <cell r="F1607" t="str">
            <v>S10.4.1216</v>
          </cell>
          <cell r="G1607" t="str">
            <v>-</v>
          </cell>
        </row>
        <row r="1608">
          <cell r="B1608" t="str">
            <v>71010873042</v>
          </cell>
          <cell r="C1608" t="str">
            <v>G2501-0481</v>
          </cell>
          <cell r="D1608" t="str">
            <v>000042944288002505</v>
          </cell>
          <cell r="E1608" t="str">
            <v>十二角自锁螺母</v>
          </cell>
          <cell r="F1608" t="str">
            <v>S10.4.1216</v>
          </cell>
          <cell r="G1608" t="str">
            <v>-</v>
          </cell>
        </row>
        <row r="1609">
          <cell r="B1609" t="str">
            <v>7101087303</v>
          </cell>
          <cell r="C1609" t="str">
            <v>G2502-0206</v>
          </cell>
          <cell r="D1609" t="str">
            <v>000042944288002505</v>
          </cell>
          <cell r="E1609" t="str">
            <v>十二角自锁螺母</v>
          </cell>
          <cell r="F1609" t="str">
            <v>S10.4.1216</v>
          </cell>
          <cell r="G1609" t="str">
            <v>-</v>
          </cell>
        </row>
        <row r="1610">
          <cell r="B1610" t="str">
            <v>7101087302</v>
          </cell>
          <cell r="C1610" t="str">
            <v>G2502-0295</v>
          </cell>
          <cell r="D1610" t="str">
            <v>000042944288002505</v>
          </cell>
          <cell r="E1610" t="str">
            <v>十二角自锁螺母</v>
          </cell>
          <cell r="F1610" t="str">
            <v>S10.4.1216</v>
          </cell>
          <cell r="G1610" t="str">
            <v>-</v>
          </cell>
        </row>
        <row r="1611">
          <cell r="B1611" t="str">
            <v>7101087302</v>
          </cell>
          <cell r="C1611" t="str">
            <v>G2502-0140</v>
          </cell>
          <cell r="D1611" t="str">
            <v>000042944288002505</v>
          </cell>
          <cell r="E1611" t="str">
            <v>十二角自锁螺母</v>
          </cell>
          <cell r="F1611" t="str">
            <v>S10.4.1216</v>
          </cell>
          <cell r="G1611" t="str">
            <v>-</v>
          </cell>
        </row>
        <row r="1612">
          <cell r="B1612" t="str">
            <v>7101087299</v>
          </cell>
          <cell r="C1612" t="str">
            <v>G2309-1242</v>
          </cell>
          <cell r="D1612" t="str">
            <v>000042944288002505</v>
          </cell>
          <cell r="E1612" t="str">
            <v>十二角自锁螺母</v>
          </cell>
          <cell r="F1612" t="str">
            <v>S10.4.1216</v>
          </cell>
          <cell r="G1612" t="str">
            <v>-</v>
          </cell>
        </row>
        <row r="1613">
          <cell r="B1613" t="str">
            <v>7101087299</v>
          </cell>
          <cell r="C1613" t="str">
            <v>G2403-2707</v>
          </cell>
          <cell r="D1613" t="str">
            <v>000042944288002505</v>
          </cell>
          <cell r="E1613" t="str">
            <v>十二角自锁螺母</v>
          </cell>
          <cell r="F1613" t="str">
            <v>S10.4.1216</v>
          </cell>
          <cell r="G1613" t="str">
            <v>-</v>
          </cell>
        </row>
        <row r="1614">
          <cell r="B1614" t="str">
            <v>7101087299</v>
          </cell>
          <cell r="C1614" t="str">
            <v>G2412-2278</v>
          </cell>
          <cell r="D1614" t="str">
            <v>000042944288002505</v>
          </cell>
          <cell r="E1614" t="str">
            <v>十二角自锁螺母</v>
          </cell>
          <cell r="F1614" t="str">
            <v>S10.4.1216</v>
          </cell>
          <cell r="G1614" t="str">
            <v>-</v>
          </cell>
        </row>
        <row r="1615">
          <cell r="B1615" t="str">
            <v>7101087298</v>
          </cell>
          <cell r="C1615" t="str">
            <v>G2211-2229</v>
          </cell>
          <cell r="D1615" t="str">
            <v>000042944288002505</v>
          </cell>
          <cell r="E1615" t="str">
            <v>十二角自锁螺母</v>
          </cell>
          <cell r="F1615" t="str">
            <v>S10.4.1216</v>
          </cell>
          <cell r="G1615" t="str">
            <v>-</v>
          </cell>
        </row>
        <row r="1616">
          <cell r="B1616" t="str">
            <v>7101087298</v>
          </cell>
          <cell r="C1616" t="str">
            <v>G2301-2554</v>
          </cell>
          <cell r="D1616" t="str">
            <v>000042944288002505</v>
          </cell>
          <cell r="E1616" t="str">
            <v>十二角自锁螺母</v>
          </cell>
          <cell r="F1616" t="str">
            <v>S10.4.1216</v>
          </cell>
          <cell r="G1616" t="str">
            <v>-</v>
          </cell>
        </row>
        <row r="1617">
          <cell r="B1617" t="str">
            <v>7101087298</v>
          </cell>
          <cell r="C1617" t="str">
            <v>G2309-1165</v>
          </cell>
          <cell r="D1617" t="str">
            <v>000042944288002505</v>
          </cell>
          <cell r="E1617" t="str">
            <v>十二角自锁螺母</v>
          </cell>
          <cell r="F1617" t="str">
            <v>S10.4.1216</v>
          </cell>
          <cell r="G1617" t="str">
            <v>-</v>
          </cell>
        </row>
        <row r="1618">
          <cell r="B1618" t="str">
            <v>7101087297</v>
          </cell>
          <cell r="C1618" t="str">
            <v>G2209-0858</v>
          </cell>
          <cell r="D1618" t="str">
            <v>000042944288002505</v>
          </cell>
          <cell r="E1618" t="str">
            <v>十二角自锁螺母</v>
          </cell>
          <cell r="F1618" t="str">
            <v>S10.4.1216</v>
          </cell>
          <cell r="G1618" t="str">
            <v>-</v>
          </cell>
        </row>
        <row r="1619">
          <cell r="B1619" t="str">
            <v>7101087296</v>
          </cell>
          <cell r="C1619" t="str">
            <v>G2601-0492</v>
          </cell>
          <cell r="D1619" t="str">
            <v>000042944288002505</v>
          </cell>
          <cell r="E1619" t="str">
            <v>十二角自锁螺母</v>
          </cell>
          <cell r="F1619" t="str">
            <v>S10.4.1216</v>
          </cell>
          <cell r="G1619" t="str">
            <v>-</v>
          </cell>
        </row>
        <row r="1620">
          <cell r="B1620" t="str">
            <v>7101087295</v>
          </cell>
          <cell r="C1620" t="str">
            <v>G2512-0667</v>
          </cell>
          <cell r="D1620" t="str">
            <v>000042944288002505</v>
          </cell>
          <cell r="E1620" t="str">
            <v>十二角自锁螺母</v>
          </cell>
          <cell r="F1620" t="str">
            <v>S10.4.1216</v>
          </cell>
          <cell r="G1620" t="str">
            <v>-</v>
          </cell>
        </row>
        <row r="1621">
          <cell r="B1621">
            <v>7101088936</v>
          </cell>
          <cell r="C1621" t="str">
            <v>G2512-2040</v>
          </cell>
          <cell r="D1621">
            <v>42944160011403</v>
          </cell>
          <cell r="E1621" t="str">
            <v>螺钉</v>
          </cell>
          <cell r="F1621" t="str">
            <v>S10.2.3172</v>
          </cell>
          <cell r="G1621" t="str">
            <v>-</v>
          </cell>
        </row>
        <row r="1622">
          <cell r="B1622">
            <v>7101088935</v>
          </cell>
          <cell r="C1622" t="str">
            <v>G2502-2860</v>
          </cell>
          <cell r="D1622">
            <v>42944000004220</v>
          </cell>
          <cell r="E1622" t="str">
            <v>TBV管接头</v>
          </cell>
          <cell r="F1622" t="str">
            <v>S20.8.2712</v>
          </cell>
          <cell r="G1622" t="str">
            <v>-</v>
          </cell>
        </row>
        <row r="1623">
          <cell r="B1623">
            <v>7101089730</v>
          </cell>
          <cell r="C1623" t="str">
            <v>G2601-2448</v>
          </cell>
          <cell r="D1623">
            <v>42944000100881</v>
          </cell>
          <cell r="E1623" t="str">
            <v>套筒</v>
          </cell>
          <cell r="F1623" t="str">
            <v>S20.00.2044(B版)</v>
          </cell>
          <cell r="G1623" t="str">
            <v>-</v>
          </cell>
        </row>
        <row r="1624">
          <cell r="B1624">
            <v>7101089730</v>
          </cell>
          <cell r="C1624" t="str">
            <v>G2603-1666</v>
          </cell>
          <cell r="D1624">
            <v>42944000100880</v>
          </cell>
          <cell r="E1624" t="str">
            <v>芯轴</v>
          </cell>
          <cell r="F1624" t="str">
            <v>S20.00.2043</v>
          </cell>
          <cell r="G1624" t="str">
            <v>-</v>
          </cell>
        </row>
        <row r="1625">
          <cell r="B1625" t="str">
            <v>7101090409</v>
          </cell>
          <cell r="C1625" t="str">
            <v>G2603-1359</v>
          </cell>
          <cell r="D1625" t="str">
            <v>000042944999171603</v>
          </cell>
          <cell r="E1625" t="str">
            <v>指针</v>
          </cell>
          <cell r="F1625" t="str">
            <v>JSTH.15C.041</v>
          </cell>
          <cell r="G1625" t="str">
            <v>-</v>
          </cell>
        </row>
        <row r="1626">
          <cell r="B1626" t="str">
            <v>7101092866</v>
          </cell>
          <cell r="C1626" t="str">
            <v>G02603-052</v>
          </cell>
          <cell r="D1626" t="str">
            <v>000042944360002477</v>
          </cell>
          <cell r="E1626" t="str">
            <v>开口销</v>
          </cell>
          <cell r="F1626" t="str">
            <v>GB/T91-2000</v>
          </cell>
          <cell r="G1626" t="str">
            <v>2×12</v>
          </cell>
        </row>
        <row r="1627">
          <cell r="B1627" t="str">
            <v>7101092342</v>
          </cell>
          <cell r="C1627" t="str">
            <v>G2510-1875</v>
          </cell>
          <cell r="D1627" t="str">
            <v>000042944000126741</v>
          </cell>
          <cell r="E1627" t="str">
            <v>垫片</v>
          </cell>
          <cell r="F1627" t="str">
            <v>D28.06.061592</v>
          </cell>
          <cell r="G1627" t="str">
            <v>-</v>
          </cell>
        </row>
        <row r="1628">
          <cell r="B1628" t="str">
            <v>7101092341</v>
          </cell>
          <cell r="C1628" t="str">
            <v>G2510-1874</v>
          </cell>
          <cell r="D1628" t="str">
            <v>000042944000126741</v>
          </cell>
          <cell r="E1628" t="str">
            <v>垫片</v>
          </cell>
          <cell r="F1628" t="str">
            <v>D28.06.061592</v>
          </cell>
          <cell r="G1628" t="str">
            <v>-</v>
          </cell>
        </row>
        <row r="1629">
          <cell r="B1629" t="str">
            <v>7101091847</v>
          </cell>
          <cell r="C1629" t="str">
            <v>G2511-1265</v>
          </cell>
          <cell r="D1629" t="str">
            <v>000042944000163522</v>
          </cell>
          <cell r="E1629" t="str">
            <v>浮动环</v>
          </cell>
          <cell r="F1629" t="str">
            <v>STHF.15.1242</v>
          </cell>
          <cell r="G1629" t="str">
            <v>-</v>
          </cell>
        </row>
        <row r="1630">
          <cell r="B1630" t="str">
            <v>7101091669</v>
          </cell>
          <cell r="C1630" t="str">
            <v>G2601-0250</v>
          </cell>
          <cell r="D1630" t="str">
            <v>000042944239117326</v>
          </cell>
          <cell r="E1630" t="str">
            <v>十角精密螺栓-杆长22</v>
          </cell>
          <cell r="F1630" t="str">
            <v>FJ.00.021.B</v>
          </cell>
          <cell r="G1630" t="str">
            <v>-</v>
          </cell>
        </row>
        <row r="1631">
          <cell r="B1631" t="str">
            <v>7101091649</v>
          </cell>
          <cell r="C1631" t="str">
            <v>G2511-0225</v>
          </cell>
          <cell r="D1631" t="str">
            <v>000042944239011767</v>
          </cell>
          <cell r="E1631" t="str">
            <v>一级盘后螺栓</v>
          </cell>
          <cell r="F1631" t="str">
            <v>S10.1.3122</v>
          </cell>
          <cell r="G1631" t="str">
            <v>-</v>
          </cell>
        </row>
        <row r="1632">
          <cell r="B1632" t="str">
            <v>7101091648</v>
          </cell>
          <cell r="C1632" t="str">
            <v>G2511-0225</v>
          </cell>
          <cell r="D1632" t="str">
            <v>000042944239011767</v>
          </cell>
          <cell r="E1632" t="str">
            <v>一级盘后螺栓</v>
          </cell>
          <cell r="F1632" t="str">
            <v>S10.1.3122</v>
          </cell>
          <cell r="G1632" t="str">
            <v>-</v>
          </cell>
        </row>
        <row r="1633">
          <cell r="B1633" t="str">
            <v>7101091558</v>
          </cell>
          <cell r="C1633" t="str">
            <v>G2601-1860</v>
          </cell>
          <cell r="D1633" t="str">
            <v>000036200000167470</v>
          </cell>
          <cell r="E1633" t="str">
            <v>O型密封圈.FX-4氟橡胶</v>
          </cell>
          <cell r="F1633" t="str">
            <v>2S5149-1.8×28</v>
          </cell>
          <cell r="G1633" t="str">
            <v/>
          </cell>
        </row>
        <row r="1634">
          <cell r="B1634" t="str">
            <v>7101091558</v>
          </cell>
          <cell r="C1634" t="str">
            <v>G2601-1698</v>
          </cell>
          <cell r="D1634" t="str">
            <v>000036200000167474</v>
          </cell>
          <cell r="E1634" t="str">
            <v>O型密封圈.FX-4氟橡胶</v>
          </cell>
          <cell r="F1634" t="str">
            <v>2S5149-1.8×20.8</v>
          </cell>
          <cell r="G1634" t="str">
            <v/>
          </cell>
        </row>
        <row r="1635">
          <cell r="B1635" t="str">
            <v>7101091302</v>
          </cell>
          <cell r="C1635" t="str">
            <v>G2601-0334</v>
          </cell>
          <cell r="D1635" t="str">
            <v>000042944239128941</v>
          </cell>
          <cell r="E1635" t="str">
            <v>十二角头螺栓</v>
          </cell>
          <cell r="F1635" t="str">
            <v>AETG96A</v>
          </cell>
          <cell r="G1635" t="str">
            <v>061021</v>
          </cell>
        </row>
        <row r="1636">
          <cell r="B1636" t="str">
            <v>7101091256</v>
          </cell>
          <cell r="C1636" t="str">
            <v>G2511-0181</v>
          </cell>
          <cell r="D1636" t="str">
            <v>000042944239011751</v>
          </cell>
          <cell r="E1636" t="str">
            <v>螺栓</v>
          </cell>
          <cell r="F1636" t="str">
            <v>S10.1.1405</v>
          </cell>
          <cell r="G1636" t="str">
            <v>-</v>
          </cell>
        </row>
        <row r="1637">
          <cell r="B1637" t="str">
            <v>7101090260</v>
          </cell>
          <cell r="C1637" t="str">
            <v>G2512-1888</v>
          </cell>
          <cell r="D1637" t="str">
            <v>000042944439129534</v>
          </cell>
          <cell r="E1637" t="str">
            <v>锁紧垫圈</v>
          </cell>
          <cell r="F1637" t="str">
            <v>11.24.6605</v>
          </cell>
          <cell r="G1637" t="str">
            <v>-</v>
          </cell>
        </row>
        <row r="1638">
          <cell r="B1638" t="str">
            <v>7101090209</v>
          </cell>
          <cell r="C1638" t="str">
            <v>G2601-0144</v>
          </cell>
          <cell r="D1638" t="str">
            <v>000036900000040579</v>
          </cell>
          <cell r="E1638" t="str">
            <v>密封圈</v>
          </cell>
          <cell r="F1638" t="str">
            <v>11S00207</v>
          </cell>
          <cell r="G1638" t="str">
            <v>-</v>
          </cell>
        </row>
        <row r="1639">
          <cell r="B1639" t="str">
            <v>7101089752</v>
          </cell>
          <cell r="C1639" t="str">
            <v>G2503-1119</v>
          </cell>
          <cell r="D1639" t="str">
            <v>000042944000149184</v>
          </cell>
          <cell r="E1639" t="str">
            <v>工艺锁圈</v>
          </cell>
          <cell r="F1639" t="str">
            <v>QC500.68.524</v>
          </cell>
          <cell r="G1639" t="str">
            <v>-</v>
          </cell>
        </row>
        <row r="1640">
          <cell r="B1640" t="str">
            <v>7101089122</v>
          </cell>
          <cell r="C1640" t="str">
            <v>G2511-0175</v>
          </cell>
          <cell r="D1640" t="str">
            <v>000042944239002612</v>
          </cell>
          <cell r="E1640" t="str">
            <v>螺栓</v>
          </cell>
          <cell r="F1640" t="str">
            <v>S10.1.1403</v>
          </cell>
          <cell r="G1640" t="str">
            <v>-</v>
          </cell>
        </row>
        <row r="1641">
          <cell r="B1641" t="str">
            <v>7101087279</v>
          </cell>
          <cell r="C1641" t="str">
            <v>G2509-3069</v>
          </cell>
          <cell r="D1641" t="str">
            <v>000042944000004215</v>
          </cell>
          <cell r="E1641" t="str">
            <v>起动机进口接头</v>
          </cell>
          <cell r="F1641" t="str">
            <v>S20.8.2054</v>
          </cell>
          <cell r="G1641" t="str">
            <v>-</v>
          </cell>
        </row>
        <row r="1642">
          <cell r="B1642" t="str">
            <v>7101086676</v>
          </cell>
          <cell r="C1642" t="str">
            <v>G2601-1967</v>
          </cell>
          <cell r="D1642" t="str">
            <v>000042944999008435</v>
          </cell>
          <cell r="E1642" t="str">
            <v>锁片</v>
          </cell>
          <cell r="F1642" t="str">
            <v>S10.5.3002</v>
          </cell>
          <cell r="G1642" t="str">
            <v>-</v>
          </cell>
        </row>
        <row r="1643">
          <cell r="B1643" t="str">
            <v>7101081756</v>
          </cell>
          <cell r="C1643" t="str">
            <v>G2508-2362</v>
          </cell>
          <cell r="D1643" t="str">
            <v>000042944288000010</v>
          </cell>
          <cell r="E1643" t="str">
            <v>十二角自锁螺母</v>
          </cell>
          <cell r="F1643" t="str">
            <v>11S40096</v>
          </cell>
          <cell r="G1643" t="str">
            <v>-</v>
          </cell>
        </row>
        <row r="1644">
          <cell r="B1644" t="str">
            <v>7101079640</v>
          </cell>
          <cell r="C1644" t="str">
            <v>G2601-0291</v>
          </cell>
          <cell r="D1644" t="str">
            <v>000042944288000010</v>
          </cell>
          <cell r="E1644" t="str">
            <v>十二角自锁螺母</v>
          </cell>
          <cell r="F1644" t="str">
            <v>11S40096</v>
          </cell>
          <cell r="G1644" t="str">
            <v>-</v>
          </cell>
        </row>
        <row r="1645">
          <cell r="B1645" t="str">
            <v>7101079640</v>
          </cell>
          <cell r="C1645" t="str">
            <v>G2601-0291</v>
          </cell>
          <cell r="D1645" t="str">
            <v>000042944288000010</v>
          </cell>
          <cell r="E1645" t="str">
            <v>十二角自锁螺母</v>
          </cell>
          <cell r="F1645" t="str">
            <v>11S40096</v>
          </cell>
          <cell r="G1645" t="str">
            <v>-</v>
          </cell>
        </row>
        <row r="1646">
          <cell r="B1646" t="str">
            <v>7101059621</v>
          </cell>
          <cell r="C1646" t="str">
            <v>G2505-0335</v>
          </cell>
          <cell r="D1646" t="str">
            <v>000036200000061556</v>
          </cell>
          <cell r="E1646" t="str">
            <v>密封圈</v>
          </cell>
          <cell r="F1646" t="str">
            <v>11S00166</v>
          </cell>
          <cell r="G1646" t="str">
            <v>-</v>
          </cell>
        </row>
        <row r="1647">
          <cell r="B1647">
            <v>7101092970</v>
          </cell>
          <cell r="C1647" t="str">
            <v>G2510-1077</v>
          </cell>
          <cell r="D1647">
            <v>42944000100881</v>
          </cell>
          <cell r="E1647" t="str">
            <v>套筒</v>
          </cell>
          <cell r="F1647" t="str">
            <v>S20.00.2044(B版)</v>
          </cell>
          <cell r="G1647" t="str">
            <v>-</v>
          </cell>
        </row>
        <row r="1648">
          <cell r="B1648">
            <v>7101092970</v>
          </cell>
          <cell r="C1648" t="str">
            <v>G2511-0266</v>
          </cell>
          <cell r="D1648">
            <v>42944000100880</v>
          </cell>
          <cell r="E1648" t="str">
            <v>芯轴</v>
          </cell>
          <cell r="F1648" t="str">
            <v>S20.00.2043</v>
          </cell>
          <cell r="G1648" t="str">
            <v>-</v>
          </cell>
        </row>
        <row r="1649">
          <cell r="B1649">
            <v>7101092969</v>
          </cell>
          <cell r="C1649" t="str">
            <v>G2511-0266</v>
          </cell>
          <cell r="D1649">
            <v>42944000100880</v>
          </cell>
          <cell r="E1649" t="str">
            <v>芯轴</v>
          </cell>
          <cell r="F1649" t="str">
            <v>S20.00.2043</v>
          </cell>
          <cell r="G1649" t="str">
            <v>-</v>
          </cell>
        </row>
        <row r="1650">
          <cell r="B1650">
            <v>7101092969</v>
          </cell>
          <cell r="C1650" t="str">
            <v>G2510-1077</v>
          </cell>
          <cell r="D1650">
            <v>42944000100881</v>
          </cell>
          <cell r="E1650" t="str">
            <v>套筒</v>
          </cell>
          <cell r="F1650" t="str">
            <v>S20.00.2044(B版)</v>
          </cell>
          <cell r="G1650" t="str">
            <v>-</v>
          </cell>
        </row>
        <row r="1651">
          <cell r="B1651" t="str">
            <v>7101096594</v>
          </cell>
          <cell r="C1651" t="str">
            <v>G2602-1122</v>
          </cell>
          <cell r="D1651" t="str">
            <v>000036200000167548</v>
          </cell>
          <cell r="E1651" t="str">
            <v>活门门塞</v>
          </cell>
          <cell r="F1651" t="str">
            <v>QS.34.821</v>
          </cell>
          <cell r="G1651" t="str">
            <v>-</v>
          </cell>
        </row>
        <row r="1652">
          <cell r="B1652" t="str">
            <v>7101096593</v>
          </cell>
          <cell r="C1652" t="str">
            <v>G2602-1122</v>
          </cell>
          <cell r="D1652" t="str">
            <v>000036200000167548</v>
          </cell>
          <cell r="E1652" t="str">
            <v>活门门塞</v>
          </cell>
          <cell r="F1652" t="str">
            <v>QS.34.821</v>
          </cell>
          <cell r="G1652" t="str">
            <v>-</v>
          </cell>
        </row>
        <row r="1653">
          <cell r="B1653" t="str">
            <v>7101099574</v>
          </cell>
          <cell r="C1653" t="str">
            <v>G2603-1336</v>
          </cell>
          <cell r="D1653" t="str">
            <v>000042944439102921</v>
          </cell>
          <cell r="E1653" t="str">
            <v>垫圈</v>
          </cell>
          <cell r="F1653" t="str">
            <v>S10.5.1151</v>
          </cell>
          <cell r="G1653" t="str">
            <v>-</v>
          </cell>
        </row>
        <row r="1654">
          <cell r="B1654" t="str">
            <v>7101099514</v>
          </cell>
          <cell r="C1654" t="str">
            <v>G2602-0082</v>
          </cell>
          <cell r="D1654" t="str">
            <v>000042944240167954</v>
          </cell>
          <cell r="E1654" t="str">
            <v>过盈螺桩(10)B</v>
          </cell>
          <cell r="F1654" t="str">
            <v>QS.17.032</v>
          </cell>
          <cell r="G1654" t="str">
            <v>4</v>
          </cell>
        </row>
        <row r="1655">
          <cell r="B1655" t="str">
            <v>7101099493</v>
          </cell>
          <cell r="C1655" t="str">
            <v>G2602-0081</v>
          </cell>
          <cell r="D1655" t="str">
            <v>000042944240167953</v>
          </cell>
          <cell r="E1655" t="str">
            <v>过盈螺桩(10)B</v>
          </cell>
          <cell r="F1655" t="str">
            <v>QS.17.032</v>
          </cell>
          <cell r="G1655" t="str">
            <v>3</v>
          </cell>
        </row>
        <row r="1656">
          <cell r="B1656" t="str">
            <v>7101099472</v>
          </cell>
          <cell r="C1656" t="str">
            <v>G2602-0075</v>
          </cell>
          <cell r="D1656" t="str">
            <v>000042944240167947</v>
          </cell>
          <cell r="E1656" t="str">
            <v>过盈螺桩(10)A</v>
          </cell>
          <cell r="F1656" t="str">
            <v>QS.17.031</v>
          </cell>
          <cell r="G1656" t="str">
            <v>1</v>
          </cell>
        </row>
        <row r="1657">
          <cell r="B1657" t="str">
            <v>7101098566</v>
          </cell>
          <cell r="C1657" t="str">
            <v>G2603-0612</v>
          </cell>
          <cell r="D1657" t="str">
            <v>000042944239168807</v>
          </cell>
          <cell r="E1657" t="str">
            <v>十二角头螺栓</v>
          </cell>
          <cell r="F1657" t="str">
            <v>AETG89</v>
          </cell>
          <cell r="G1657" t="str">
            <v>081026</v>
          </cell>
        </row>
        <row r="1658">
          <cell r="B1658">
            <v>7101102226</v>
          </cell>
          <cell r="C1658" t="str">
            <v>G2509-1472</v>
          </cell>
          <cell r="D1658">
            <v>42944319100886</v>
          </cell>
          <cell r="E1658" t="str">
            <v>压紧螺母</v>
          </cell>
          <cell r="F1658" t="str">
            <v>S20.4.2015</v>
          </cell>
          <cell r="G1658" t="str">
            <v>-</v>
          </cell>
        </row>
        <row r="1659">
          <cell r="B1659">
            <v>7101102240</v>
          </cell>
          <cell r="C1659" t="str">
            <v>G2504-2661</v>
          </cell>
          <cell r="D1659">
            <v>36200000101677</v>
          </cell>
          <cell r="E1659" t="str">
            <v>密封圈</v>
          </cell>
          <cell r="F1659" t="str">
            <v>11S00224</v>
          </cell>
          <cell r="G1659"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数据"/>
      <sheetName val="5720"/>
      <sheetName val="Sheet1"/>
    </sheetNames>
    <sheetDataSet>
      <sheetData sheetId="0">
        <row r="1">
          <cell r="B1" t="str">
            <v>提货单号</v>
          </cell>
          <cell r="C1" t="str">
            <v>批号</v>
          </cell>
          <cell r="D1" t="str">
            <v>物料编号</v>
          </cell>
          <cell r="E1" t="str">
            <v>物品名称</v>
          </cell>
          <cell r="F1" t="str">
            <v>采用标准</v>
          </cell>
          <cell r="G1" t="str">
            <v>规格</v>
          </cell>
          <cell r="H1" t="str">
            <v>性能等级</v>
          </cell>
          <cell r="I1" t="str">
            <v>表面处理</v>
          </cell>
          <cell r="J1" t="str">
            <v>材质</v>
          </cell>
          <cell r="K1" t="str">
            <v>提货数量</v>
          </cell>
          <cell r="L1" t="str">
            <v>提货创建日期</v>
          </cell>
          <cell r="M1" t="str">
            <v>提货单状态</v>
          </cell>
          <cell r="N1" t="str">
            <v>运单回填日期</v>
          </cell>
          <cell r="O1" t="str">
            <v>运单回填时间</v>
          </cell>
          <cell r="P1" t="str">
            <v>售达方描述</v>
          </cell>
          <cell r="Q1" t="str">
            <v>销售凭证项目</v>
          </cell>
          <cell r="R1" t="str">
            <v>检验日期</v>
          </cell>
          <cell r="S1" t="str">
            <v>包装日期</v>
          </cell>
          <cell r="T1" t="str">
            <v>过帐日期</v>
          </cell>
          <cell r="U1" t="str">
            <v>生产订单</v>
          </cell>
          <cell r="V1" t="str">
            <v>配货人</v>
          </cell>
          <cell r="W1" t="str">
            <v>取消原因</v>
          </cell>
          <cell r="X1" t="str">
            <v>货位号</v>
          </cell>
          <cell r="Y1" t="str">
            <v>包装人</v>
          </cell>
          <cell r="Z1" t="str">
            <v>销售办公室</v>
          </cell>
          <cell r="AA1" t="str">
            <v>销售凭证</v>
          </cell>
          <cell r="AB1" t="str">
            <v>订单数量</v>
          </cell>
          <cell r="AC1" t="str">
            <v>调度令号码</v>
          </cell>
          <cell r="AD1" t="str">
            <v>价格</v>
          </cell>
          <cell r="AE1" t="str">
            <v>客户采购订单编号</v>
          </cell>
        </row>
        <row r="2">
          <cell r="B2" t="str">
            <v>7101099937</v>
          </cell>
          <cell r="C2" t="str">
            <v>G2510-1763</v>
          </cell>
          <cell r="D2" t="str">
            <v>000042944320011341</v>
          </cell>
          <cell r="E2" t="str">
            <v>平圆头钛铌铆钉</v>
          </cell>
          <cell r="F2" t="str">
            <v>Q/611S310-2010</v>
          </cell>
          <cell r="G2" t="str">
            <v>25W-7</v>
          </cell>
          <cell r="H2" t="str">
            <v>τ=345-410MPa</v>
          </cell>
          <cell r="I2" t="str">
            <v>蓝色阳极化</v>
          </cell>
          <cell r="J2" t="str">
            <v>Ti45Nb</v>
          </cell>
          <cell r="K2">
            <v>2974</v>
          </cell>
          <cell r="L2">
            <v>46123</v>
          </cell>
          <cell r="M2" t="str">
            <v>3-配货完成</v>
          </cell>
          <cell r="N2">
            <v>0</v>
          </cell>
          <cell r="O2">
            <v>0</v>
          </cell>
          <cell r="P2" t="str">
            <v>国营芜湖机械厂</v>
          </cell>
          <cell r="Q2" t="str">
            <v>340</v>
          </cell>
          <cell r="R2">
            <v>0</v>
          </cell>
          <cell r="S2">
            <v>0</v>
          </cell>
          <cell r="T2">
            <v>0</v>
          </cell>
          <cell r="U2" t="str">
            <v>010000878070</v>
          </cell>
          <cell r="V2" t="str">
            <v>BIAOQIAN3</v>
          </cell>
          <cell r="W2" t="str">
            <v/>
          </cell>
          <cell r="X2" t="str">
            <v>CP-108-A</v>
          </cell>
          <cell r="Y2" t="str">
            <v/>
          </cell>
          <cell r="Z2" t="str">
            <v>1910</v>
          </cell>
          <cell r="AA2" t="str">
            <v>1100154845</v>
          </cell>
          <cell r="AB2">
            <v>9000</v>
          </cell>
          <cell r="AC2" t="str">
            <v/>
          </cell>
          <cell r="AD2">
            <v>4</v>
          </cell>
          <cell r="AE2" t="str">
            <v>G-110000029-251027-0102</v>
          </cell>
        </row>
        <row r="3">
          <cell r="B3" t="str">
            <v>7101099918</v>
          </cell>
          <cell r="C3" t="str">
            <v>G2603-2343</v>
          </cell>
          <cell r="D3" t="str">
            <v>000042944239081356</v>
          </cell>
          <cell r="E3" t="str">
            <v>光杆公差带h8短螺纹十字槽90°沉头螺栓</v>
          </cell>
          <cell r="F3" t="str">
            <v>HB1-134-2002</v>
          </cell>
          <cell r="G3" t="str">
            <v>6×20</v>
          </cell>
          <cell r="H3" t="str">
            <v>σb=1080-1280MPa</v>
          </cell>
          <cell r="I3" t="str">
            <v>Ep·Zn·c2C</v>
          </cell>
          <cell r="J3" t="str">
            <v>30CrMnSiA</v>
          </cell>
          <cell r="K3">
            <v>2542</v>
          </cell>
          <cell r="L3">
            <v>46123</v>
          </cell>
          <cell r="M3" t="str">
            <v>3-配货完成</v>
          </cell>
          <cell r="N3">
            <v>0</v>
          </cell>
          <cell r="O3">
            <v>0</v>
          </cell>
          <cell r="P3" t="str">
            <v>国营芜湖机械厂</v>
          </cell>
          <cell r="Q3" t="str">
            <v>70</v>
          </cell>
          <cell r="R3">
            <v>0</v>
          </cell>
          <cell r="S3">
            <v>0</v>
          </cell>
          <cell r="T3">
            <v>0</v>
          </cell>
          <cell r="U3" t="str">
            <v>010000932128</v>
          </cell>
          <cell r="V3" t="str">
            <v>BIAOQIAN3</v>
          </cell>
          <cell r="W3" t="str">
            <v/>
          </cell>
          <cell r="X3" t="str">
            <v/>
          </cell>
          <cell r="Y3" t="str">
            <v/>
          </cell>
          <cell r="Z3" t="str">
            <v>1910</v>
          </cell>
          <cell r="AA3" t="str">
            <v>1100156349</v>
          </cell>
          <cell r="AB3">
            <v>27929</v>
          </cell>
          <cell r="AC3" t="str">
            <v/>
          </cell>
          <cell r="AD3">
            <v>1.6</v>
          </cell>
          <cell r="AE3" t="str">
            <v>G-110000029-251124-0135</v>
          </cell>
        </row>
        <row r="4">
          <cell r="B4" t="str">
            <v>7101099894</v>
          </cell>
          <cell r="C4" t="str">
            <v>G2510-1765</v>
          </cell>
          <cell r="D4" t="str">
            <v>000042944320011340</v>
          </cell>
          <cell r="E4" t="str">
            <v>平圆头钛铌铆钉</v>
          </cell>
          <cell r="F4" t="str">
            <v>Q/611S310-2010</v>
          </cell>
          <cell r="G4" t="str">
            <v>25W-6</v>
          </cell>
          <cell r="H4" t="str">
            <v>τ=345-410MPa</v>
          </cell>
          <cell r="I4" t="str">
            <v>蓝色阳极化</v>
          </cell>
          <cell r="J4" t="str">
            <v>Ti45Nb</v>
          </cell>
          <cell r="K4">
            <v>5056</v>
          </cell>
          <cell r="L4">
            <v>46123</v>
          </cell>
          <cell r="M4" t="str">
            <v>3-配货完成</v>
          </cell>
          <cell r="N4">
            <v>0</v>
          </cell>
          <cell r="O4">
            <v>0</v>
          </cell>
          <cell r="P4" t="str">
            <v>国营芜湖机械厂</v>
          </cell>
          <cell r="Q4" t="str">
            <v>350</v>
          </cell>
          <cell r="R4">
            <v>0</v>
          </cell>
          <cell r="S4">
            <v>0</v>
          </cell>
          <cell r="T4">
            <v>0</v>
          </cell>
          <cell r="U4" t="str">
            <v>010000878074</v>
          </cell>
          <cell r="V4" t="str">
            <v>BIAOQIAN3</v>
          </cell>
          <cell r="W4" t="str">
            <v/>
          </cell>
          <cell r="X4" t="str">
            <v>CP-108-A</v>
          </cell>
          <cell r="Y4" t="str">
            <v/>
          </cell>
          <cell r="Z4" t="str">
            <v>1910</v>
          </cell>
          <cell r="AA4" t="str">
            <v>1100154845</v>
          </cell>
          <cell r="AB4">
            <v>15000</v>
          </cell>
          <cell r="AC4" t="str">
            <v/>
          </cell>
          <cell r="AD4">
            <v>4</v>
          </cell>
          <cell r="AE4" t="str">
            <v>G-110000029-251027-0102</v>
          </cell>
        </row>
        <row r="5">
          <cell r="B5" t="str">
            <v>7101099791</v>
          </cell>
          <cell r="C5" t="str">
            <v>G2511-1079</v>
          </cell>
          <cell r="D5" t="str">
            <v>000042944320011312</v>
          </cell>
          <cell r="E5" t="str">
            <v>100°沉头钛铌铆钉</v>
          </cell>
          <cell r="F5" t="str">
            <v>Q/611S309-2010</v>
          </cell>
          <cell r="G5" t="str">
            <v>40W-18</v>
          </cell>
          <cell r="H5" t="str">
            <v>τ=345-410MPa</v>
          </cell>
          <cell r="I5" t="str">
            <v>蓝色阳极化</v>
          </cell>
          <cell r="J5" t="str">
            <v>Ti45Nb</v>
          </cell>
          <cell r="K5">
            <v>4.5</v>
          </cell>
          <cell r="L5">
            <v>46123</v>
          </cell>
          <cell r="M5" t="str">
            <v>3-配货完成</v>
          </cell>
          <cell r="N5">
            <v>0</v>
          </cell>
          <cell r="O5">
            <v>0</v>
          </cell>
          <cell r="P5" t="str">
            <v>国营芜湖机械厂</v>
          </cell>
          <cell r="Q5" t="str">
            <v>20</v>
          </cell>
          <cell r="R5">
            <v>0</v>
          </cell>
          <cell r="S5">
            <v>0</v>
          </cell>
          <cell r="T5">
            <v>0</v>
          </cell>
          <cell r="U5" t="str">
            <v>010000883867</v>
          </cell>
          <cell r="V5" t="str">
            <v>BIAOQIAN3</v>
          </cell>
          <cell r="W5" t="str">
            <v/>
          </cell>
          <cell r="X5" t="str">
            <v>CP-108-A</v>
          </cell>
          <cell r="Y5" t="str">
            <v/>
          </cell>
          <cell r="Z5" t="str">
            <v>1910</v>
          </cell>
          <cell r="AA5" t="str">
            <v>1100147391</v>
          </cell>
          <cell r="AB5">
            <v>10</v>
          </cell>
          <cell r="AC5" t="str">
            <v/>
          </cell>
          <cell r="AD5">
            <v>3500</v>
          </cell>
          <cell r="AE5" t="str">
            <v>G-110000029-250520-0033</v>
          </cell>
        </row>
        <row r="6">
          <cell r="B6" t="str">
            <v>7101099670</v>
          </cell>
          <cell r="C6" t="str">
            <v>G2511-0052</v>
          </cell>
          <cell r="D6" t="str">
            <v>000042944320011337</v>
          </cell>
          <cell r="E6" t="str">
            <v>平圆头钛铌铆钉</v>
          </cell>
          <cell r="F6" t="str">
            <v>Q/611S310-2010</v>
          </cell>
          <cell r="G6" t="str">
            <v>25W-11</v>
          </cell>
          <cell r="H6" t="str">
            <v>τ=345-410MPa</v>
          </cell>
          <cell r="I6" t="str">
            <v>蓝色阳极化</v>
          </cell>
          <cell r="J6" t="str">
            <v>Ti45Nb</v>
          </cell>
          <cell r="K6">
            <v>2930</v>
          </cell>
          <cell r="L6">
            <v>46122</v>
          </cell>
          <cell r="M6" t="str">
            <v>3-配货完成</v>
          </cell>
          <cell r="N6">
            <v>0</v>
          </cell>
          <cell r="O6">
            <v>0</v>
          </cell>
          <cell r="P6" t="str">
            <v>国营芜湖机械厂</v>
          </cell>
          <cell r="Q6" t="str">
            <v>370</v>
          </cell>
          <cell r="R6">
            <v>0</v>
          </cell>
          <cell r="S6">
            <v>0</v>
          </cell>
          <cell r="T6">
            <v>0</v>
          </cell>
          <cell r="U6" t="str">
            <v>010000879634</v>
          </cell>
          <cell r="V6" t="str">
            <v>BIAOQIAN3</v>
          </cell>
          <cell r="W6" t="str">
            <v/>
          </cell>
          <cell r="X6" t="str">
            <v>CP-108-A</v>
          </cell>
          <cell r="Y6" t="str">
            <v/>
          </cell>
          <cell r="Z6" t="str">
            <v>1910</v>
          </cell>
          <cell r="AA6" t="str">
            <v>1100154845</v>
          </cell>
          <cell r="AB6">
            <v>9000</v>
          </cell>
          <cell r="AC6" t="str">
            <v/>
          </cell>
          <cell r="AD6">
            <v>4</v>
          </cell>
          <cell r="AE6" t="str">
            <v>G-110000029-251027-0102</v>
          </cell>
        </row>
        <row r="7">
          <cell r="B7" t="str">
            <v>7101099670</v>
          </cell>
          <cell r="C7" t="str">
            <v>G2511-0053</v>
          </cell>
          <cell r="D7" t="str">
            <v>000042944320011337</v>
          </cell>
          <cell r="E7" t="str">
            <v>平圆头钛铌铆钉</v>
          </cell>
          <cell r="F7" t="str">
            <v>Q/611S310-2010</v>
          </cell>
          <cell r="G7" t="str">
            <v>25W-11</v>
          </cell>
          <cell r="H7" t="str">
            <v>τ=345-410MPa</v>
          </cell>
          <cell r="I7" t="str">
            <v>蓝色阳极化</v>
          </cell>
          <cell r="J7" t="str">
            <v>Ti45Nb</v>
          </cell>
          <cell r="K7">
            <v>2959</v>
          </cell>
          <cell r="L7">
            <v>46122</v>
          </cell>
          <cell r="M7" t="str">
            <v>3-配货完成</v>
          </cell>
          <cell r="N7">
            <v>0</v>
          </cell>
          <cell r="O7">
            <v>0</v>
          </cell>
          <cell r="P7" t="str">
            <v>国营芜湖机械厂</v>
          </cell>
          <cell r="Q7" t="str">
            <v>370</v>
          </cell>
          <cell r="R7">
            <v>0</v>
          </cell>
          <cell r="S7">
            <v>0</v>
          </cell>
          <cell r="T7">
            <v>0</v>
          </cell>
          <cell r="U7" t="str">
            <v>010000879635</v>
          </cell>
          <cell r="V7" t="str">
            <v>BIAOQIAN3</v>
          </cell>
          <cell r="W7" t="str">
            <v/>
          </cell>
          <cell r="X7" t="str">
            <v>CP-108-A</v>
          </cell>
          <cell r="Y7" t="str">
            <v/>
          </cell>
          <cell r="Z7" t="str">
            <v>1910</v>
          </cell>
          <cell r="AA7" t="str">
            <v>1100154845</v>
          </cell>
          <cell r="AB7">
            <v>9000</v>
          </cell>
          <cell r="AC7" t="str">
            <v/>
          </cell>
          <cell r="AD7">
            <v>4</v>
          </cell>
          <cell r="AE7" t="str">
            <v>G-110000029-251027-0102</v>
          </cell>
        </row>
        <row r="8">
          <cell r="B8" t="str">
            <v>7101099669</v>
          </cell>
          <cell r="C8" t="str">
            <v>G2510-1759</v>
          </cell>
          <cell r="D8" t="str">
            <v>000042944320011343</v>
          </cell>
          <cell r="E8" t="str">
            <v>平圆头钛铌铆钉</v>
          </cell>
          <cell r="F8" t="str">
            <v>Q/611S310-2010</v>
          </cell>
          <cell r="G8" t="str">
            <v>25W-9</v>
          </cell>
          <cell r="H8" t="str">
            <v>τ=345-410MPa</v>
          </cell>
          <cell r="I8" t="str">
            <v>蓝色阳极化</v>
          </cell>
          <cell r="J8" t="str">
            <v>Ti45Nb</v>
          </cell>
          <cell r="K8">
            <v>4270</v>
          </cell>
          <cell r="L8">
            <v>46122</v>
          </cell>
          <cell r="M8" t="str">
            <v>3-配货完成</v>
          </cell>
          <cell r="N8">
            <v>0</v>
          </cell>
          <cell r="O8">
            <v>0</v>
          </cell>
          <cell r="P8" t="str">
            <v>国营芜湖机械厂</v>
          </cell>
          <cell r="Q8" t="str">
            <v>320</v>
          </cell>
          <cell r="R8">
            <v>0</v>
          </cell>
          <cell r="S8">
            <v>0</v>
          </cell>
          <cell r="T8">
            <v>0</v>
          </cell>
          <cell r="U8" t="str">
            <v>010000878054</v>
          </cell>
          <cell r="V8" t="str">
            <v>BIAOQIAN3</v>
          </cell>
          <cell r="W8" t="str">
            <v/>
          </cell>
          <cell r="X8" t="str">
            <v>CP-108-A</v>
          </cell>
          <cell r="Y8" t="str">
            <v/>
          </cell>
          <cell r="Z8" t="str">
            <v>1910</v>
          </cell>
          <cell r="AA8" t="str">
            <v>1100154845</v>
          </cell>
          <cell r="AB8">
            <v>9000</v>
          </cell>
          <cell r="AC8" t="str">
            <v/>
          </cell>
          <cell r="AD8">
            <v>4</v>
          </cell>
          <cell r="AE8" t="str">
            <v>G-110000029-251027-0102</v>
          </cell>
        </row>
        <row r="9">
          <cell r="B9" t="str">
            <v>7101099669</v>
          </cell>
          <cell r="C9" t="str">
            <v>G2509-2599</v>
          </cell>
          <cell r="D9" t="str">
            <v>000042944320011343</v>
          </cell>
          <cell r="E9" t="str">
            <v>平圆头钛铌铆钉</v>
          </cell>
          <cell r="F9" t="str">
            <v>Q/611S310-2010</v>
          </cell>
          <cell r="G9" t="str">
            <v>25W-9</v>
          </cell>
          <cell r="H9" t="str">
            <v>τ=345-410MPa</v>
          </cell>
          <cell r="I9" t="str">
            <v>蓝色阳极化</v>
          </cell>
          <cell r="J9" t="str">
            <v>Ti45Nb</v>
          </cell>
          <cell r="K9">
            <v>153</v>
          </cell>
          <cell r="L9">
            <v>46122</v>
          </cell>
          <cell r="M9" t="str">
            <v>3-配货完成</v>
          </cell>
          <cell r="N9">
            <v>0</v>
          </cell>
          <cell r="O9">
            <v>0</v>
          </cell>
          <cell r="P9" t="str">
            <v>国营芜湖机械厂</v>
          </cell>
          <cell r="Q9" t="str">
            <v>320</v>
          </cell>
          <cell r="R9">
            <v>0</v>
          </cell>
          <cell r="S9">
            <v>0</v>
          </cell>
          <cell r="T9">
            <v>0</v>
          </cell>
          <cell r="U9" t="str">
            <v>010000867584</v>
          </cell>
          <cell r="V9" t="str">
            <v>BIAOQIAN3</v>
          </cell>
          <cell r="W9" t="str">
            <v/>
          </cell>
          <cell r="X9" t="str">
            <v>CP-12-2-5-3</v>
          </cell>
          <cell r="Y9" t="str">
            <v/>
          </cell>
          <cell r="Z9" t="str">
            <v>1910</v>
          </cell>
          <cell r="AA9" t="str">
            <v>1100154845</v>
          </cell>
          <cell r="AB9">
            <v>9000</v>
          </cell>
          <cell r="AC9" t="str">
            <v/>
          </cell>
          <cell r="AD9">
            <v>4</v>
          </cell>
          <cell r="AE9" t="str">
            <v>G-110000029-251027-0102</v>
          </cell>
        </row>
        <row r="10">
          <cell r="B10" t="str">
            <v>7101099664</v>
          </cell>
          <cell r="C10" t="str">
            <v>G2510-1762</v>
          </cell>
          <cell r="D10" t="str">
            <v>000042944320011342</v>
          </cell>
          <cell r="E10" t="str">
            <v>平圆头钛铌铆钉</v>
          </cell>
          <cell r="F10" t="str">
            <v>Q/611S310-2010</v>
          </cell>
          <cell r="G10" t="str">
            <v>25W-8</v>
          </cell>
          <cell r="H10" t="str">
            <v>τ=345-410MPa</v>
          </cell>
          <cell r="I10" t="str">
            <v>蓝色阳极化</v>
          </cell>
          <cell r="J10" t="str">
            <v>Ti45Nb</v>
          </cell>
          <cell r="K10">
            <v>4780</v>
          </cell>
          <cell r="L10">
            <v>46122</v>
          </cell>
          <cell r="M10" t="str">
            <v>3-配货完成</v>
          </cell>
          <cell r="N10">
            <v>0</v>
          </cell>
          <cell r="O10">
            <v>0</v>
          </cell>
          <cell r="P10" t="str">
            <v>国营芜湖机械厂</v>
          </cell>
          <cell r="Q10" t="str">
            <v>330</v>
          </cell>
          <cell r="R10">
            <v>0</v>
          </cell>
          <cell r="S10">
            <v>0</v>
          </cell>
          <cell r="T10">
            <v>0</v>
          </cell>
          <cell r="U10" t="str">
            <v>010000878062</v>
          </cell>
          <cell r="V10" t="str">
            <v>BIAOQIAN1</v>
          </cell>
          <cell r="W10" t="str">
            <v/>
          </cell>
          <cell r="X10" t="str">
            <v>CP-108-A</v>
          </cell>
          <cell r="Y10" t="str">
            <v/>
          </cell>
          <cell r="Z10" t="str">
            <v>1910</v>
          </cell>
          <cell r="AA10" t="str">
            <v>1100154845</v>
          </cell>
          <cell r="AB10">
            <v>15000</v>
          </cell>
          <cell r="AC10" t="str">
            <v/>
          </cell>
          <cell r="AD10">
            <v>4</v>
          </cell>
          <cell r="AE10" t="str">
            <v>G-110000029-251027-0102</v>
          </cell>
        </row>
        <row r="11">
          <cell r="B11" t="str">
            <v>7101099605</v>
          </cell>
          <cell r="C11" t="str">
            <v>G2510-1800</v>
          </cell>
          <cell r="D11" t="str">
            <v>000042944320056550</v>
          </cell>
          <cell r="E11" t="str">
            <v>平圆头钛铌铆钉</v>
          </cell>
          <cell r="F11" t="str">
            <v>Q/611S310-2010</v>
          </cell>
          <cell r="G11" t="str">
            <v>25W-10</v>
          </cell>
          <cell r="H11" t="str">
            <v>τ=345-410MPa</v>
          </cell>
          <cell r="I11" t="str">
            <v>蓝色阳极化</v>
          </cell>
          <cell r="J11" t="str">
            <v>Ti45Nb</v>
          </cell>
          <cell r="K11">
            <v>4500</v>
          </cell>
          <cell r="L11">
            <v>46122</v>
          </cell>
          <cell r="M11" t="str">
            <v>3-配货完成</v>
          </cell>
          <cell r="N11">
            <v>0</v>
          </cell>
          <cell r="O11">
            <v>0</v>
          </cell>
          <cell r="P11" t="str">
            <v>国营芜湖机械厂</v>
          </cell>
          <cell r="Q11" t="str">
            <v>380</v>
          </cell>
          <cell r="R11">
            <v>0</v>
          </cell>
          <cell r="S11">
            <v>0</v>
          </cell>
          <cell r="T11">
            <v>0</v>
          </cell>
          <cell r="U11" t="str">
            <v>010000878144</v>
          </cell>
          <cell r="V11" t="str">
            <v>BIAOQIAN2</v>
          </cell>
          <cell r="W11" t="str">
            <v/>
          </cell>
          <cell r="X11" t="str">
            <v>CP-108-A</v>
          </cell>
          <cell r="Y11" t="str">
            <v/>
          </cell>
          <cell r="Z11" t="str">
            <v>1910</v>
          </cell>
          <cell r="AA11" t="str">
            <v>1100154845</v>
          </cell>
          <cell r="AB11">
            <v>9000</v>
          </cell>
          <cell r="AC11" t="str">
            <v/>
          </cell>
          <cell r="AD11">
            <v>4</v>
          </cell>
          <cell r="AE11" t="str">
            <v>G-110000029-251027-0102</v>
          </cell>
        </row>
        <row r="12">
          <cell r="B12" t="str">
            <v>7101098770</v>
          </cell>
          <cell r="C12" t="str">
            <v>G2602-7504</v>
          </cell>
          <cell r="D12" t="str">
            <v>000042944319083062</v>
          </cell>
          <cell r="E12" t="str">
            <v>扩口式外套螺母</v>
          </cell>
          <cell r="F12" t="str">
            <v>HB4-45FB-2002</v>
          </cell>
          <cell r="G12" t="str">
            <v>2-18Cu</v>
          </cell>
          <cell r="H12" t="str">
            <v>25-35HRC</v>
          </cell>
          <cell r="I12" t="str">
            <v>螺纹Ep·Cu</v>
          </cell>
          <cell r="J12" t="str">
            <v>1Cr11Ni2W2MoV</v>
          </cell>
          <cell r="K12">
            <v>35</v>
          </cell>
          <cell r="L12">
            <v>46121</v>
          </cell>
          <cell r="M12" t="str">
            <v>4-检验完成</v>
          </cell>
          <cell r="N12">
            <v>0</v>
          </cell>
          <cell r="O12">
            <v>0</v>
          </cell>
          <cell r="P12" t="str">
            <v>国营芜湖机械厂</v>
          </cell>
          <cell r="Q12" t="str">
            <v>220</v>
          </cell>
          <cell r="R12">
            <v>46122</v>
          </cell>
          <cell r="S12">
            <v>0</v>
          </cell>
          <cell r="T12">
            <v>0</v>
          </cell>
          <cell r="U12" t="str">
            <v>010000911047</v>
          </cell>
          <cell r="V12" t="str">
            <v>BIAOQIAN1</v>
          </cell>
          <cell r="W12" t="str">
            <v/>
          </cell>
          <cell r="X12" t="str">
            <v>CP-108-A</v>
          </cell>
          <cell r="Y12" t="str">
            <v/>
          </cell>
          <cell r="Z12" t="str">
            <v>1910</v>
          </cell>
          <cell r="AA12" t="str">
            <v>1100159799</v>
          </cell>
          <cell r="AB12">
            <v>50</v>
          </cell>
          <cell r="AC12" t="str">
            <v/>
          </cell>
          <cell r="AD12">
            <v>14</v>
          </cell>
          <cell r="AE12" t="str">
            <v>G-110000029-260129-0009</v>
          </cell>
        </row>
        <row r="13">
          <cell r="B13" t="str">
            <v>7101091905</v>
          </cell>
          <cell r="C13" t="str">
            <v>G2601-2312</v>
          </cell>
          <cell r="D13" t="str">
            <v>000042944044006257</v>
          </cell>
          <cell r="E13" t="str">
            <v>十字槽90°沉头螺钉</v>
          </cell>
          <cell r="F13" t="str">
            <v>HB1-206G-2002</v>
          </cell>
          <cell r="G13" t="str">
            <v>M4×10</v>
          </cell>
          <cell r="H13" t="str">
            <v/>
          </cell>
          <cell r="I13" t="str">
            <v>Ep·Zn·c2C</v>
          </cell>
          <cell r="J13" t="str">
            <v>ML25</v>
          </cell>
          <cell r="K13">
            <v>50</v>
          </cell>
          <cell r="L13">
            <v>46105</v>
          </cell>
          <cell r="M13" t="str">
            <v>7-发运完成</v>
          </cell>
          <cell r="N13">
            <v>46106</v>
          </cell>
          <cell r="O13">
            <v>0.83076388888889</v>
          </cell>
          <cell r="P13" t="str">
            <v>国营芜湖机械厂</v>
          </cell>
          <cell r="Q13" t="str">
            <v>140</v>
          </cell>
          <cell r="R13">
            <v>46106</v>
          </cell>
          <cell r="S13">
            <v>46106</v>
          </cell>
          <cell r="T13">
            <v>46106</v>
          </cell>
          <cell r="U13" t="str">
            <v>010000908845</v>
          </cell>
          <cell r="V13" t="str">
            <v>BIAOQIAN1</v>
          </cell>
          <cell r="W13" t="str">
            <v/>
          </cell>
          <cell r="X13" t="str">
            <v>CP-108-A</v>
          </cell>
          <cell r="Y13" t="str">
            <v>ZHANGZHIYI</v>
          </cell>
          <cell r="Z13" t="str">
            <v>1910</v>
          </cell>
          <cell r="AA13" t="str">
            <v>1100152493</v>
          </cell>
          <cell r="AB13">
            <v>50</v>
          </cell>
          <cell r="AC13" t="str">
            <v/>
          </cell>
          <cell r="AD13">
            <v>1.4</v>
          </cell>
          <cell r="AE13" t="str">
            <v>G-110000029-250904-0080</v>
          </cell>
        </row>
        <row r="14">
          <cell r="B14" t="str">
            <v>7101091904</v>
          </cell>
          <cell r="C14" t="str">
            <v>G2503-1179</v>
          </cell>
          <cell r="D14" t="str">
            <v>000042944160010773</v>
          </cell>
          <cell r="E14" t="str">
            <v>螺钉</v>
          </cell>
          <cell r="F14" t="str">
            <v>Q/8S1216-2007</v>
          </cell>
          <cell r="G14" t="str">
            <v>A-C272</v>
          </cell>
          <cell r="H14" t="str">
            <v>σb≥1100MPa,36-41HRC</v>
          </cell>
          <cell r="I14" t="str">
            <v>Ct·P</v>
          </cell>
          <cell r="J14" t="str">
            <v>1Cr17Ni3</v>
          </cell>
          <cell r="K14">
            <v>50</v>
          </cell>
          <cell r="L14">
            <v>46105</v>
          </cell>
          <cell r="M14" t="str">
            <v>7-发运完成</v>
          </cell>
          <cell r="N14">
            <v>46106</v>
          </cell>
          <cell r="O14">
            <v>0.82923611111111</v>
          </cell>
          <cell r="P14" t="str">
            <v>国营芜湖机械厂</v>
          </cell>
          <cell r="Q14" t="str">
            <v>120</v>
          </cell>
          <cell r="R14">
            <v>46106</v>
          </cell>
          <cell r="S14">
            <v>46106</v>
          </cell>
          <cell r="T14">
            <v>46106</v>
          </cell>
          <cell r="U14" t="str">
            <v>010000792182</v>
          </cell>
          <cell r="V14" t="str">
            <v>BIAOQIAN8</v>
          </cell>
          <cell r="W14" t="str">
            <v/>
          </cell>
          <cell r="X14" t="str">
            <v>CP-108-A</v>
          </cell>
          <cell r="Y14" t="str">
            <v>ZHANGZHIYI</v>
          </cell>
          <cell r="Z14" t="str">
            <v>1910</v>
          </cell>
          <cell r="AA14" t="str">
            <v>1100142496</v>
          </cell>
          <cell r="AB14">
            <v>50</v>
          </cell>
          <cell r="AC14" t="str">
            <v/>
          </cell>
          <cell r="AD14">
            <v>29.13</v>
          </cell>
          <cell r="AE14" t="str">
            <v>G-110000029-250303-0016</v>
          </cell>
        </row>
        <row r="15">
          <cell r="B15" t="str">
            <v>7101080630</v>
          </cell>
          <cell r="C15" t="str">
            <v>G2512-0157</v>
          </cell>
          <cell r="D15" t="str">
            <v>000042944239081356</v>
          </cell>
          <cell r="E15" t="str">
            <v>光杆公差带h8短螺纹十字槽90°沉头螺栓</v>
          </cell>
          <cell r="F15" t="str">
            <v>HB1-134-2002</v>
          </cell>
          <cell r="G15" t="str">
            <v>6×20</v>
          </cell>
          <cell r="H15" t="str">
            <v>σb=1080-1280MPa</v>
          </cell>
          <cell r="I15" t="str">
            <v>Ep·Zn·c2C</v>
          </cell>
          <cell r="J15" t="str">
            <v>30CrMnSiA</v>
          </cell>
          <cell r="K15">
            <v>7182</v>
          </cell>
          <cell r="L15">
            <v>46081</v>
          </cell>
          <cell r="M15" t="str">
            <v>3-配货完成</v>
          </cell>
          <cell r="N15">
            <v>0</v>
          </cell>
          <cell r="O15">
            <v>0</v>
          </cell>
          <cell r="P15" t="str">
            <v>国营芜湖机械厂</v>
          </cell>
          <cell r="Q15" t="str">
            <v>70</v>
          </cell>
          <cell r="R15">
            <v>0</v>
          </cell>
          <cell r="S15">
            <v>0</v>
          </cell>
          <cell r="T15">
            <v>0</v>
          </cell>
          <cell r="U15" t="str">
            <v>010000889574</v>
          </cell>
          <cell r="V15" t="str">
            <v>BIAOQIAN4</v>
          </cell>
          <cell r="W15" t="str">
            <v/>
          </cell>
          <cell r="X15" t="str">
            <v>CP-108-A</v>
          </cell>
          <cell r="Y15" t="str">
            <v/>
          </cell>
          <cell r="Z15" t="str">
            <v>1910</v>
          </cell>
          <cell r="AA15" t="str">
            <v>1100156349</v>
          </cell>
          <cell r="AB15">
            <v>27929</v>
          </cell>
          <cell r="AC15" t="str">
            <v/>
          </cell>
          <cell r="AD15">
            <v>1.6</v>
          </cell>
          <cell r="AE15" t="str">
            <v>G-110000029-251124-0135</v>
          </cell>
        </row>
        <row r="16">
          <cell r="B16" t="str">
            <v>7101080124</v>
          </cell>
          <cell r="C16" t="str">
            <v>G2601-1915</v>
          </cell>
          <cell r="D16" t="str">
            <v>000042944000125289</v>
          </cell>
          <cell r="E16" t="str">
            <v>导管卡箍</v>
          </cell>
          <cell r="F16" t="str">
            <v>HB3-23-2002</v>
          </cell>
          <cell r="G16" t="str">
            <v>22</v>
          </cell>
          <cell r="H16" t="str">
            <v/>
          </cell>
          <cell r="I16" t="str">
            <v/>
          </cell>
          <cell r="J16" t="str">
            <v>组件</v>
          </cell>
          <cell r="K16">
            <v>16</v>
          </cell>
          <cell r="L16">
            <v>46080</v>
          </cell>
          <cell r="M16" t="str">
            <v>3-配货完成</v>
          </cell>
          <cell r="N16">
            <v>0</v>
          </cell>
          <cell r="O16">
            <v>0</v>
          </cell>
          <cell r="P16" t="str">
            <v>国营芜湖机械厂</v>
          </cell>
          <cell r="Q16" t="str">
            <v>300</v>
          </cell>
          <cell r="R16">
            <v>0</v>
          </cell>
          <cell r="S16">
            <v>0</v>
          </cell>
          <cell r="T16">
            <v>0</v>
          </cell>
          <cell r="U16" t="str">
            <v>010000906525</v>
          </cell>
          <cell r="V16" t="str">
            <v>BIAOQIAN8</v>
          </cell>
          <cell r="W16" t="str">
            <v/>
          </cell>
          <cell r="X16" t="str">
            <v>CP-108-A</v>
          </cell>
          <cell r="Y16" t="str">
            <v/>
          </cell>
          <cell r="Z16" t="str">
            <v>1910</v>
          </cell>
          <cell r="AA16" t="str">
            <v>1100156349</v>
          </cell>
          <cell r="AB16">
            <v>53</v>
          </cell>
          <cell r="AC16" t="str">
            <v/>
          </cell>
          <cell r="AD16">
            <v>25</v>
          </cell>
          <cell r="AE16" t="str">
            <v>G-110000029-251124-0135</v>
          </cell>
        </row>
        <row r="17">
          <cell r="B17" t="str">
            <v>7101079959</v>
          </cell>
          <cell r="C17" t="str">
            <v>G2510-1816</v>
          </cell>
          <cell r="D17" t="str">
            <v>000042944320011282</v>
          </cell>
          <cell r="E17" t="str">
            <v>100°沉头钛铌铆钉</v>
          </cell>
          <cell r="F17" t="str">
            <v>Q/611S309-2010</v>
          </cell>
          <cell r="G17" t="str">
            <v>30W-9</v>
          </cell>
          <cell r="H17" t="str">
            <v>τ=345-410MPa</v>
          </cell>
          <cell r="I17" t="str">
            <v>蓝色阳极化</v>
          </cell>
          <cell r="J17" t="str">
            <v>Ti45Nb</v>
          </cell>
          <cell r="K17">
            <v>4464</v>
          </cell>
          <cell r="L17">
            <v>46079</v>
          </cell>
          <cell r="M17" t="str">
            <v>4-检验完成</v>
          </cell>
          <cell r="N17">
            <v>0</v>
          </cell>
          <cell r="O17">
            <v>0</v>
          </cell>
          <cell r="P17" t="str">
            <v>国营芜湖机械厂</v>
          </cell>
          <cell r="Q17" t="str">
            <v>560</v>
          </cell>
          <cell r="R17">
            <v>46081</v>
          </cell>
          <cell r="S17">
            <v>0</v>
          </cell>
          <cell r="T17">
            <v>0</v>
          </cell>
          <cell r="U17" t="str">
            <v>010000878320</v>
          </cell>
          <cell r="V17" t="str">
            <v>BIAOQIAN2</v>
          </cell>
          <cell r="W17" t="str">
            <v/>
          </cell>
          <cell r="X17" t="str">
            <v>CP-108-A</v>
          </cell>
          <cell r="Y17" t="str">
            <v/>
          </cell>
          <cell r="Z17" t="str">
            <v>1910</v>
          </cell>
          <cell r="AA17" t="str">
            <v>1100154845</v>
          </cell>
          <cell r="AB17">
            <v>9000</v>
          </cell>
          <cell r="AC17" t="str">
            <v/>
          </cell>
          <cell r="AD17">
            <v>4</v>
          </cell>
          <cell r="AE17" t="str">
            <v>G-110000029-251027-0102</v>
          </cell>
        </row>
        <row r="18">
          <cell r="B18" t="str">
            <v>7101079505</v>
          </cell>
          <cell r="C18" t="str">
            <v>G2601-9076</v>
          </cell>
          <cell r="D18" t="str">
            <v>000042944044006315</v>
          </cell>
          <cell r="E18" t="str">
            <v>十字槽90°沉头螺钉</v>
          </cell>
          <cell r="F18" t="str">
            <v>HB1-206-2002</v>
          </cell>
          <cell r="G18" t="str">
            <v>M5×12</v>
          </cell>
          <cell r="H18" t="str">
            <v>σb=1080-1280MPa</v>
          </cell>
          <cell r="I18" t="str">
            <v>Ep·Zn·c2C</v>
          </cell>
          <cell r="J18" t="str">
            <v>30CrMnSiA</v>
          </cell>
          <cell r="K18">
            <v>1417</v>
          </cell>
          <cell r="L18">
            <v>46078</v>
          </cell>
          <cell r="M18" t="str">
            <v>3-配货完成</v>
          </cell>
          <cell r="N18">
            <v>0</v>
          </cell>
          <cell r="O18">
            <v>0</v>
          </cell>
          <cell r="P18" t="str">
            <v>国营芜湖机械厂</v>
          </cell>
          <cell r="Q18" t="str">
            <v>230</v>
          </cell>
          <cell r="R18">
            <v>0</v>
          </cell>
          <cell r="S18">
            <v>0</v>
          </cell>
          <cell r="T18">
            <v>0</v>
          </cell>
          <cell r="U18" t="str">
            <v>010000902268</v>
          </cell>
          <cell r="V18" t="str">
            <v>BIAOQIAN1</v>
          </cell>
          <cell r="W18" t="str">
            <v/>
          </cell>
          <cell r="X18" t="str">
            <v>CP-108-A</v>
          </cell>
          <cell r="Y18" t="str">
            <v/>
          </cell>
          <cell r="Z18" t="str">
            <v>1910</v>
          </cell>
          <cell r="AA18" t="str">
            <v>1100156349</v>
          </cell>
          <cell r="AB18">
            <v>1417</v>
          </cell>
          <cell r="AC18" t="str">
            <v/>
          </cell>
          <cell r="AD18">
            <v>1.4</v>
          </cell>
          <cell r="AE18" t="str">
            <v>G-110000029-251124-0135</v>
          </cell>
        </row>
        <row r="19">
          <cell r="B19" t="str">
            <v>7101078996</v>
          </cell>
          <cell r="C19" t="str">
            <v>G2510-1792</v>
          </cell>
          <cell r="D19" t="str">
            <v>000042944320011395</v>
          </cell>
          <cell r="E19" t="str">
            <v>平圆头钛铌铆钉</v>
          </cell>
          <cell r="F19" t="str">
            <v>Q/611S310-2010</v>
          </cell>
          <cell r="G19" t="str">
            <v>50W-11</v>
          </cell>
          <cell r="H19" t="str">
            <v>τ=345-410MPa</v>
          </cell>
          <cell r="I19" t="str">
            <v>蓝色阳极化</v>
          </cell>
          <cell r="J19" t="str">
            <v>Ti45Nb</v>
          </cell>
          <cell r="K19">
            <v>967</v>
          </cell>
          <cell r="L19">
            <v>46077</v>
          </cell>
          <cell r="M19" t="str">
            <v>3-配货完成</v>
          </cell>
          <cell r="N19">
            <v>0</v>
          </cell>
          <cell r="O19">
            <v>0</v>
          </cell>
          <cell r="P19" t="str">
            <v>国营芜湖机械厂</v>
          </cell>
          <cell r="Q19" t="str">
            <v>40</v>
          </cell>
          <cell r="R19">
            <v>0</v>
          </cell>
          <cell r="S19">
            <v>0</v>
          </cell>
          <cell r="T19">
            <v>0</v>
          </cell>
          <cell r="U19" t="str">
            <v>010000878114</v>
          </cell>
          <cell r="V19" t="str">
            <v>BIAOQIAN1</v>
          </cell>
          <cell r="W19" t="str">
            <v/>
          </cell>
          <cell r="X19" t="str">
            <v>CP-108-A</v>
          </cell>
          <cell r="Y19" t="str">
            <v/>
          </cell>
          <cell r="Z19" t="str">
            <v>1910</v>
          </cell>
          <cell r="AA19" t="str">
            <v>1100154845</v>
          </cell>
          <cell r="AB19">
            <v>9000</v>
          </cell>
          <cell r="AC19" t="str">
            <v/>
          </cell>
          <cell r="AD19">
            <v>4</v>
          </cell>
          <cell r="AE19" t="str">
            <v>G-110000029-251027-0102</v>
          </cell>
        </row>
        <row r="20">
          <cell r="B20" t="str">
            <v>7101078995</v>
          </cell>
          <cell r="C20" t="str">
            <v>G2404-0106</v>
          </cell>
          <cell r="D20" t="str">
            <v>000042944288001575</v>
          </cell>
          <cell r="E20" t="str">
            <v>双耳游动托板自锁螺母组件</v>
          </cell>
          <cell r="F20" t="str">
            <v>Q/611S339-2009</v>
          </cell>
          <cell r="G20" t="str">
            <v>MJ5×0.8</v>
          </cell>
          <cell r="H20" t="str">
            <v/>
          </cell>
          <cell r="I20" t="str">
            <v/>
          </cell>
          <cell r="J20" t="str">
            <v>组件</v>
          </cell>
          <cell r="K20">
            <v>30</v>
          </cell>
          <cell r="L20">
            <v>46077</v>
          </cell>
          <cell r="M20" t="str">
            <v>4-检验完成</v>
          </cell>
          <cell r="N20">
            <v>0</v>
          </cell>
          <cell r="O20">
            <v>0</v>
          </cell>
          <cell r="P20" t="str">
            <v>国营芜湖机械厂</v>
          </cell>
          <cell r="Q20" t="str">
            <v>20</v>
          </cell>
          <cell r="R20">
            <v>46078</v>
          </cell>
          <cell r="S20">
            <v>0</v>
          </cell>
          <cell r="T20">
            <v>0</v>
          </cell>
          <cell r="U20" t="str">
            <v>010000688440</v>
          </cell>
          <cell r="V20" t="str">
            <v>BIAOQIAN3</v>
          </cell>
          <cell r="W20" t="str">
            <v/>
          </cell>
          <cell r="X20" t="str">
            <v>CP-108-A</v>
          </cell>
          <cell r="Y20" t="str">
            <v/>
          </cell>
          <cell r="Z20" t="str">
            <v>1910</v>
          </cell>
          <cell r="AA20" t="str">
            <v>1100160592</v>
          </cell>
          <cell r="AB20">
            <v>50</v>
          </cell>
          <cell r="AC20" t="str">
            <v/>
          </cell>
          <cell r="AD20">
            <v>32</v>
          </cell>
          <cell r="AE20" t="str">
            <v>G-110000029-260209-0021</v>
          </cell>
        </row>
        <row r="21">
          <cell r="B21" t="str">
            <v>7101078646</v>
          </cell>
          <cell r="C21" t="str">
            <v>G2510-1835</v>
          </cell>
          <cell r="D21" t="str">
            <v>000042944320011270</v>
          </cell>
          <cell r="E21" t="str">
            <v>100°沉头钛铌铆钉</v>
          </cell>
          <cell r="F21" t="str">
            <v>Q/611S309-2010</v>
          </cell>
          <cell r="G21" t="str">
            <v>30W-10</v>
          </cell>
          <cell r="H21" t="str">
            <v>τ=345-410MPa</v>
          </cell>
          <cell r="I21" t="str">
            <v>蓝色阳极化</v>
          </cell>
          <cell r="J21" t="str">
            <v>Ti45Nb</v>
          </cell>
          <cell r="K21">
            <v>4247</v>
          </cell>
          <cell r="L21">
            <v>46075</v>
          </cell>
          <cell r="M21" t="str">
            <v>3-配货完成</v>
          </cell>
          <cell r="N21">
            <v>0</v>
          </cell>
          <cell r="O21">
            <v>0</v>
          </cell>
          <cell r="P21" t="str">
            <v>国营芜湖机械厂</v>
          </cell>
          <cell r="Q21" t="str">
            <v>610</v>
          </cell>
          <cell r="R21">
            <v>0</v>
          </cell>
          <cell r="S21">
            <v>0</v>
          </cell>
          <cell r="T21">
            <v>0</v>
          </cell>
          <cell r="U21" t="str">
            <v>010000878341</v>
          </cell>
          <cell r="V21" t="str">
            <v>BIAOQIAN4</v>
          </cell>
          <cell r="W21" t="str">
            <v/>
          </cell>
          <cell r="X21" t="str">
            <v>CP-108-A</v>
          </cell>
          <cell r="Y21" t="str">
            <v/>
          </cell>
          <cell r="Z21" t="str">
            <v>1910</v>
          </cell>
          <cell r="AA21" t="str">
            <v>1100154845</v>
          </cell>
          <cell r="AB21">
            <v>9000</v>
          </cell>
          <cell r="AC21" t="str">
            <v/>
          </cell>
          <cell r="AD21">
            <v>4</v>
          </cell>
          <cell r="AE21" t="str">
            <v>G-110000029-251027-0102</v>
          </cell>
        </row>
        <row r="22">
          <cell r="B22" t="str">
            <v>7101078599</v>
          </cell>
          <cell r="C22" t="str">
            <v>G2511-1080</v>
          </cell>
          <cell r="D22" t="str">
            <v>000042944320011314</v>
          </cell>
          <cell r="E22" t="str">
            <v>100°沉头钛铌铆钉</v>
          </cell>
          <cell r="F22" t="str">
            <v>Q/611S309-2010</v>
          </cell>
          <cell r="G22" t="str">
            <v>40W-20</v>
          </cell>
          <cell r="H22" t="str">
            <v>τ=345-410MPa</v>
          </cell>
          <cell r="I22" t="str">
            <v>蓝色阳极化</v>
          </cell>
          <cell r="J22" t="str">
            <v>Ti45Nb</v>
          </cell>
          <cell r="K22">
            <v>5</v>
          </cell>
          <cell r="L22">
            <v>46075</v>
          </cell>
          <cell r="M22" t="str">
            <v>6-过账完成</v>
          </cell>
          <cell r="N22">
            <v>0</v>
          </cell>
          <cell r="O22">
            <v>0</v>
          </cell>
          <cell r="P22" t="str">
            <v>国营芜湖机械厂</v>
          </cell>
          <cell r="Q22" t="str">
            <v>30</v>
          </cell>
          <cell r="R22">
            <v>46081</v>
          </cell>
          <cell r="S22">
            <v>46081</v>
          </cell>
          <cell r="T22">
            <v>46081</v>
          </cell>
          <cell r="U22" t="str">
            <v>010000883868</v>
          </cell>
          <cell r="V22" t="str">
            <v>BIAOQIAN1</v>
          </cell>
          <cell r="W22" t="str">
            <v/>
          </cell>
          <cell r="X22" t="str">
            <v>CP-108-A</v>
          </cell>
          <cell r="Y22" t="str">
            <v>LVYANAN</v>
          </cell>
          <cell r="Z22" t="str">
            <v>1910</v>
          </cell>
          <cell r="AA22" t="str">
            <v>1100147391</v>
          </cell>
          <cell r="AB22">
            <v>10</v>
          </cell>
          <cell r="AC22" t="str">
            <v/>
          </cell>
          <cell r="AD22">
            <v>3500</v>
          </cell>
          <cell r="AE22" t="str">
            <v>G-110000029-250520-0033</v>
          </cell>
        </row>
        <row r="23">
          <cell r="B23" t="str">
            <v>7101089909</v>
          </cell>
          <cell r="C23" t="str">
            <v>G2512-7005</v>
          </cell>
          <cell r="D23" t="str">
            <v>000042944319000486</v>
          </cell>
          <cell r="E23" t="str">
            <v>扩口式外套螺母</v>
          </cell>
          <cell r="F23" t="str">
            <v>HB4-45-2002</v>
          </cell>
          <cell r="G23" t="str">
            <v>2-8</v>
          </cell>
          <cell r="H23" t="str">
            <v>T4</v>
          </cell>
          <cell r="I23" t="str">
            <v>阳极化</v>
          </cell>
          <cell r="J23" t="str">
            <v>2A12</v>
          </cell>
          <cell r="K23">
            <v>4614</v>
          </cell>
          <cell r="L23">
            <v>46101</v>
          </cell>
          <cell r="M23" t="str">
            <v>4-检验完成</v>
          </cell>
          <cell r="N23">
            <v>0</v>
          </cell>
          <cell r="O23">
            <v>0</v>
          </cell>
          <cell r="P23" t="str">
            <v>国营芜湖机械厂</v>
          </cell>
          <cell r="Q23" t="str">
            <v>310</v>
          </cell>
          <cell r="R23">
            <v>46101</v>
          </cell>
          <cell r="S23">
            <v>0</v>
          </cell>
          <cell r="T23">
            <v>0</v>
          </cell>
          <cell r="U23" t="str">
            <v>010000888946</v>
          </cell>
          <cell r="V23" t="str">
            <v>BIAOQIAN3</v>
          </cell>
          <cell r="W23" t="str">
            <v/>
          </cell>
          <cell r="X23" t="str">
            <v>CP-108-A</v>
          </cell>
          <cell r="Y23" t="str">
            <v/>
          </cell>
          <cell r="Z23" t="str">
            <v>1910</v>
          </cell>
          <cell r="AA23" t="str">
            <v>1100156349</v>
          </cell>
          <cell r="AB23">
            <v>15425</v>
          </cell>
          <cell r="AC23" t="str">
            <v/>
          </cell>
          <cell r="AD23">
            <v>10</v>
          </cell>
          <cell r="AE23" t="str">
            <v>G-110000029-251124-0135</v>
          </cell>
        </row>
        <row r="24">
          <cell r="B24" t="str">
            <v>7101094448</v>
          </cell>
          <cell r="C24" t="str">
            <v>G2602-9027</v>
          </cell>
          <cell r="D24" t="str">
            <v>000042944160169564</v>
          </cell>
          <cell r="E24" t="str">
            <v>90°沉头螺钉</v>
          </cell>
          <cell r="F24" t="str">
            <v>HB1-205LA-2002</v>
          </cell>
          <cell r="G24" t="str">
            <v>M3×10</v>
          </cell>
          <cell r="H24" t="str">
            <v>σb≥375MPa</v>
          </cell>
          <cell r="I24" t="str">
            <v>Et·A(S)</v>
          </cell>
          <cell r="J24" t="str">
            <v>LY8</v>
          </cell>
          <cell r="K24">
            <v>50</v>
          </cell>
          <cell r="L24">
            <v>46112</v>
          </cell>
          <cell r="M24" t="str">
            <v>7-发运完成</v>
          </cell>
          <cell r="N24">
            <v>46112</v>
          </cell>
          <cell r="O24">
            <v>0.79314814814815</v>
          </cell>
          <cell r="P24" t="str">
            <v>国营芜湖机械厂</v>
          </cell>
          <cell r="Q24" t="str">
            <v>10</v>
          </cell>
          <cell r="R24">
            <v>46112</v>
          </cell>
          <cell r="S24">
            <v>46112</v>
          </cell>
          <cell r="T24">
            <v>46112</v>
          </cell>
          <cell r="U24" t="str">
            <v>010000917222</v>
          </cell>
          <cell r="V24" t="str">
            <v>BIAOQIAN4</v>
          </cell>
          <cell r="W24" t="str">
            <v/>
          </cell>
          <cell r="X24" t="str">
            <v>CP-108-A</v>
          </cell>
          <cell r="Y24" t="str">
            <v>LVYANAN</v>
          </cell>
          <cell r="Z24" t="str">
            <v>1910</v>
          </cell>
          <cell r="AA24" t="str">
            <v>1100160396</v>
          </cell>
          <cell r="AB24">
            <v>50</v>
          </cell>
          <cell r="AC24" t="str">
            <v/>
          </cell>
          <cell r="AD24">
            <v>1.4</v>
          </cell>
          <cell r="AE24" t="str">
            <v>G-110000029-260205-0017</v>
          </cell>
        </row>
        <row r="25">
          <cell r="B25" t="str">
            <v>7101094509</v>
          </cell>
          <cell r="C25" t="str">
            <v>G2511-1082</v>
          </cell>
          <cell r="D25" t="str">
            <v>000042944320011390</v>
          </cell>
          <cell r="E25" t="str">
            <v>平圆头钛铌铆钉</v>
          </cell>
          <cell r="F25" t="str">
            <v>Q/611S310-2010</v>
          </cell>
          <cell r="G25" t="str">
            <v>40W-8</v>
          </cell>
          <cell r="H25" t="str">
            <v>τ=345-410MPa</v>
          </cell>
          <cell r="I25" t="str">
            <v>蓝色阳极化</v>
          </cell>
          <cell r="J25" t="str">
            <v>Ti45Nb</v>
          </cell>
          <cell r="K25">
            <v>4.3</v>
          </cell>
          <cell r="L25">
            <v>46112</v>
          </cell>
          <cell r="M25" t="str">
            <v>4-检验完成</v>
          </cell>
        </row>
        <row r="25">
          <cell r="O25">
            <v>0</v>
          </cell>
          <cell r="P25" t="str">
            <v>国营芜湖机械厂</v>
          </cell>
          <cell r="Q25" t="str">
            <v>50</v>
          </cell>
          <cell r="R25">
            <v>46113</v>
          </cell>
        </row>
        <row r="25">
          <cell r="U25" t="str">
            <v>010000883870</v>
          </cell>
          <cell r="V25" t="str">
            <v>BIAOQIAN2</v>
          </cell>
          <cell r="W25" t="str">
            <v/>
          </cell>
          <cell r="X25" t="str">
            <v>CP-108-A</v>
          </cell>
          <cell r="Y25" t="str">
            <v/>
          </cell>
          <cell r="Z25" t="str">
            <v>1910</v>
          </cell>
          <cell r="AA25" t="str">
            <v>1100147391</v>
          </cell>
          <cell r="AB25">
            <v>8</v>
          </cell>
          <cell r="AC25" t="str">
            <v/>
          </cell>
          <cell r="AD25">
            <v>4000</v>
          </cell>
          <cell r="AE25" t="str">
            <v>G-110000029-250520-0033</v>
          </cell>
        </row>
        <row r="26">
          <cell r="B26" t="str">
            <v>7101094432</v>
          </cell>
          <cell r="C26" t="str">
            <v>G2510-1766</v>
          </cell>
          <cell r="D26" t="str">
            <v>000042944320011310</v>
          </cell>
          <cell r="E26" t="str">
            <v>100°沉头钛铌铆钉</v>
          </cell>
          <cell r="F26" t="str">
            <v>Q/611S309-2010</v>
          </cell>
          <cell r="G26" t="str">
            <v>40W-16</v>
          </cell>
          <cell r="H26" t="str">
            <v>τ=345-410MPa</v>
          </cell>
          <cell r="I26" t="str">
            <v>蓝色阳极化</v>
          </cell>
          <cell r="J26" t="str">
            <v>Ti45Nb</v>
          </cell>
          <cell r="K26">
            <v>4821</v>
          </cell>
          <cell r="L26">
            <v>46112</v>
          </cell>
          <cell r="M26" t="str">
            <v>4-检验完成</v>
          </cell>
        </row>
        <row r="26">
          <cell r="O26">
            <v>0</v>
          </cell>
          <cell r="P26" t="str">
            <v>国营芜湖机械厂</v>
          </cell>
          <cell r="Q26" t="str">
            <v>460</v>
          </cell>
          <cell r="R26">
            <v>46113</v>
          </cell>
        </row>
        <row r="26">
          <cell r="U26" t="str">
            <v>010000878079</v>
          </cell>
          <cell r="V26" t="str">
            <v>BIAOQIAN2</v>
          </cell>
          <cell r="W26" t="str">
            <v/>
          </cell>
          <cell r="X26" t="str">
            <v>CP-108-A</v>
          </cell>
          <cell r="Y26" t="str">
            <v/>
          </cell>
          <cell r="Z26" t="str">
            <v>1910</v>
          </cell>
          <cell r="AA26" t="str">
            <v>1100154845</v>
          </cell>
          <cell r="AB26">
            <v>15000</v>
          </cell>
          <cell r="AC26" t="str">
            <v/>
          </cell>
          <cell r="AD26">
            <v>4</v>
          </cell>
          <cell r="AE26" t="str">
            <v>G-110000029-251027-0102</v>
          </cell>
        </row>
        <row r="27">
          <cell r="B27" t="str">
            <v>7101094139</v>
          </cell>
          <cell r="C27" t="str">
            <v>G2602-0368</v>
          </cell>
          <cell r="D27" t="str">
            <v>000042944439141599</v>
          </cell>
          <cell r="E27" t="str">
            <v>压紧垫圈</v>
          </cell>
          <cell r="F27" t="str">
            <v>HB4-50-2002</v>
          </cell>
          <cell r="G27" t="str">
            <v>2-8</v>
          </cell>
          <cell r="H27" t="str">
            <v>T4</v>
          </cell>
          <cell r="I27" t="str">
            <v>Et·A(s)</v>
          </cell>
          <cell r="J27" t="str">
            <v>2A12</v>
          </cell>
          <cell r="K27">
            <v>50</v>
          </cell>
          <cell r="L27">
            <v>46111</v>
          </cell>
          <cell r="M27" t="str">
            <v>4-检验完成</v>
          </cell>
        </row>
        <row r="27">
          <cell r="O27">
            <v>0</v>
          </cell>
          <cell r="P27" t="str">
            <v>国营芜湖机械厂</v>
          </cell>
          <cell r="Q27" t="str">
            <v>230</v>
          </cell>
          <cell r="R27">
            <v>46113</v>
          </cell>
        </row>
        <row r="27">
          <cell r="U27" t="str">
            <v>010000911956</v>
          </cell>
          <cell r="V27" t="str">
            <v>BIAOQIAN1</v>
          </cell>
          <cell r="W27" t="str">
            <v/>
          </cell>
          <cell r="X27" t="str">
            <v>CP-108-A</v>
          </cell>
          <cell r="Y27" t="str">
            <v/>
          </cell>
          <cell r="Z27" t="str">
            <v>1910</v>
          </cell>
          <cell r="AA27" t="str">
            <v>1100159799</v>
          </cell>
          <cell r="AB27">
            <v>50</v>
          </cell>
          <cell r="AC27" t="str">
            <v/>
          </cell>
          <cell r="AD27">
            <v>3</v>
          </cell>
          <cell r="AE27" t="str">
            <v>G-110000029-260129-0009</v>
          </cell>
        </row>
        <row r="28">
          <cell r="B28" t="str">
            <v>7101093741</v>
          </cell>
          <cell r="C28" t="str">
            <v>G2603-1562</v>
          </cell>
          <cell r="D28" t="str">
            <v>000042944404000223</v>
          </cell>
          <cell r="E28" t="str">
            <v>角形垂直单耳止动垫圈</v>
          </cell>
          <cell r="F28" t="str">
            <v>HB6241-1989</v>
          </cell>
          <cell r="G28" t="str">
            <v>4×8</v>
          </cell>
          <cell r="H28" t="str">
            <v>淬火</v>
          </cell>
          <cell r="I28" t="str">
            <v/>
          </cell>
          <cell r="J28" t="str">
            <v>1Cr18Ni9Ti</v>
          </cell>
          <cell r="K28">
            <v>70</v>
          </cell>
          <cell r="L28">
            <v>46110</v>
          </cell>
          <cell r="M28" t="str">
            <v>4-检验完成</v>
          </cell>
        </row>
        <row r="28">
          <cell r="O28">
            <v>0</v>
          </cell>
          <cell r="P28" t="str">
            <v>国营芜湖机械厂</v>
          </cell>
          <cell r="Q28" t="str">
            <v>10</v>
          </cell>
          <cell r="R28">
            <v>46113</v>
          </cell>
        </row>
        <row r="28">
          <cell r="U28" t="str">
            <v>010000928543</v>
          </cell>
          <cell r="V28" t="str">
            <v>BIAOQIAN2</v>
          </cell>
          <cell r="W28" t="str">
            <v/>
          </cell>
          <cell r="X28" t="str">
            <v>CP-108-A</v>
          </cell>
          <cell r="Y28" t="str">
            <v/>
          </cell>
          <cell r="Z28" t="str">
            <v>1910</v>
          </cell>
          <cell r="AA28" t="str">
            <v>1100161785</v>
          </cell>
          <cell r="AB28">
            <v>70</v>
          </cell>
          <cell r="AC28" t="str">
            <v/>
          </cell>
          <cell r="AD28">
            <v>2</v>
          </cell>
          <cell r="AE28" t="str">
            <v>G-110000029-260313-0029</v>
          </cell>
        </row>
        <row r="29">
          <cell r="B29" t="str">
            <v>7101099113</v>
          </cell>
          <cell r="C29" t="str">
            <v>G2603-1596</v>
          </cell>
          <cell r="D29" t="str">
            <v>000036200000073889</v>
          </cell>
          <cell r="E29" t="str">
            <v>挡圈</v>
          </cell>
          <cell r="F29" t="str">
            <v>Q/3A4-92</v>
          </cell>
          <cell r="G29" t="str">
            <v>7</v>
          </cell>
          <cell r="H29" t="str">
            <v/>
          </cell>
          <cell r="I29" t="str">
            <v/>
          </cell>
          <cell r="J29" t="str">
            <v>聚四氟乙烯板</v>
          </cell>
          <cell r="K29">
            <v>50</v>
          </cell>
          <cell r="L29">
            <v>46122</v>
          </cell>
          <cell r="M29" t="str">
            <v>1-已打印</v>
          </cell>
          <cell r="N29">
            <v>0</v>
          </cell>
          <cell r="O29">
            <v>0</v>
          </cell>
          <cell r="P29" t="str">
            <v>国营芜湖机械厂</v>
          </cell>
          <cell r="Q29" t="str">
            <v>10</v>
          </cell>
          <cell r="R29">
            <v>0</v>
          </cell>
          <cell r="S29">
            <v>0</v>
          </cell>
          <cell r="T29">
            <v>0</v>
          </cell>
          <cell r="U29" t="str">
            <v>010000928663</v>
          </cell>
          <cell r="V29" t="str">
            <v/>
          </cell>
          <cell r="W29" t="str">
            <v/>
          </cell>
          <cell r="X29" t="str">
            <v>XC-DS</v>
          </cell>
          <cell r="Y29" t="str">
            <v/>
          </cell>
          <cell r="Z29" t="str">
            <v>1910</v>
          </cell>
          <cell r="AA29" t="str">
            <v>1100161787</v>
          </cell>
          <cell r="AB29">
            <v>50</v>
          </cell>
          <cell r="AC29" t="str">
            <v/>
          </cell>
          <cell r="AD29">
            <v>25</v>
          </cell>
          <cell r="AE29" t="str">
            <v>G-110000029-260313-0030</v>
          </cell>
        </row>
        <row r="30">
          <cell r="B30" t="str">
            <v>7101098770</v>
          </cell>
          <cell r="C30" t="str">
            <v>G2602-7504</v>
          </cell>
          <cell r="D30" t="str">
            <v>000042944319083062</v>
          </cell>
          <cell r="E30" t="str">
            <v>扩口式外套螺母</v>
          </cell>
          <cell r="F30" t="str">
            <v>HB4-45FB-2002</v>
          </cell>
          <cell r="G30" t="str">
            <v>2-18Cu</v>
          </cell>
          <cell r="H30" t="str">
            <v>25-35HRC</v>
          </cell>
          <cell r="I30" t="str">
            <v>螺纹Ep·Cu</v>
          </cell>
          <cell r="J30" t="str">
            <v>1Cr11Ni2W2MoV</v>
          </cell>
          <cell r="K30">
            <v>35</v>
          </cell>
          <cell r="L30">
            <v>46121</v>
          </cell>
          <cell r="M30" t="str">
            <v>3-配货完成</v>
          </cell>
          <cell r="N30">
            <v>0</v>
          </cell>
          <cell r="O30">
            <v>0</v>
          </cell>
          <cell r="P30" t="str">
            <v>国营芜湖机械厂</v>
          </cell>
          <cell r="Q30" t="str">
            <v>220</v>
          </cell>
          <cell r="R30">
            <v>0</v>
          </cell>
          <cell r="S30">
            <v>0</v>
          </cell>
          <cell r="T30">
            <v>0</v>
          </cell>
          <cell r="U30" t="str">
            <v>010000911047</v>
          </cell>
          <cell r="V30" t="str">
            <v>BIAOQIAN1</v>
          </cell>
          <cell r="W30" t="str">
            <v/>
          </cell>
          <cell r="X30" t="str">
            <v>CP-108-A</v>
          </cell>
          <cell r="Y30" t="str">
            <v/>
          </cell>
          <cell r="Z30" t="str">
            <v>1910</v>
          </cell>
          <cell r="AA30" t="str">
            <v>1100159799</v>
          </cell>
          <cell r="AB30">
            <v>50</v>
          </cell>
          <cell r="AC30" t="str">
            <v/>
          </cell>
          <cell r="AD30">
            <v>14</v>
          </cell>
          <cell r="AE30" t="str">
            <v>G-110000029-260129-0009</v>
          </cell>
        </row>
        <row r="31">
          <cell r="B31" t="str">
            <v>7101100791</v>
          </cell>
          <cell r="C31" t="str">
            <v>G2511-1081</v>
          </cell>
          <cell r="D31" t="str">
            <v>000042944320011314</v>
          </cell>
          <cell r="E31" t="str">
            <v>100°沉头钛铌铆钉</v>
          </cell>
          <cell r="F31" t="str">
            <v>Q/611S309-2010</v>
          </cell>
          <cell r="G31" t="str">
            <v>40W-20</v>
          </cell>
          <cell r="H31" t="str">
            <v>τ=345-410MPa</v>
          </cell>
          <cell r="I31" t="str">
            <v>蓝色阳极化</v>
          </cell>
          <cell r="J31" t="str">
            <v>Ti45Nb</v>
          </cell>
          <cell r="K31">
            <v>4.95</v>
          </cell>
          <cell r="L31">
            <v>46125</v>
          </cell>
          <cell r="M31" t="str">
            <v>4-检验完成</v>
          </cell>
          <cell r="N31">
            <v>0</v>
          </cell>
          <cell r="O31">
            <v>0</v>
          </cell>
          <cell r="P31" t="str">
            <v>国营芜湖机械厂</v>
          </cell>
          <cell r="Q31" t="str">
            <v>30</v>
          </cell>
          <cell r="R31">
            <v>46126</v>
          </cell>
          <cell r="S31">
            <v>0</v>
          </cell>
          <cell r="T31">
            <v>0</v>
          </cell>
          <cell r="U31" t="str">
            <v>010000883869</v>
          </cell>
          <cell r="V31" t="str">
            <v>BIAOQIAN4</v>
          </cell>
          <cell r="W31" t="str">
            <v/>
          </cell>
          <cell r="X31" t="str">
            <v>CP-108-A</v>
          </cell>
          <cell r="Y31" t="str">
            <v/>
          </cell>
          <cell r="Z31" t="str">
            <v>1910</v>
          </cell>
          <cell r="AA31" t="str">
            <v>1100147391</v>
          </cell>
          <cell r="AB31">
            <v>10</v>
          </cell>
          <cell r="AC31" t="str">
            <v/>
          </cell>
          <cell r="AD31">
            <v>3500</v>
          </cell>
          <cell r="AE31" t="str">
            <v>G-110000029-250520-0033</v>
          </cell>
        </row>
        <row r="32">
          <cell r="B32" t="str">
            <v>71011007911</v>
          </cell>
          <cell r="C32" t="str">
            <v>G2511-1080</v>
          </cell>
          <cell r="D32" t="str">
            <v>000042944320011314</v>
          </cell>
          <cell r="E32" t="str">
            <v>100°沉头钛铌铆钉</v>
          </cell>
          <cell r="F32" t="str">
            <v>Q/611S309-2010</v>
          </cell>
          <cell r="G32" t="str">
            <v>40W-20</v>
          </cell>
          <cell r="H32" t="str">
            <v>τ=345-410MPa</v>
          </cell>
          <cell r="I32" t="str">
            <v>蓝色阳极化</v>
          </cell>
          <cell r="J32" t="str">
            <v>Ti45Nb</v>
          </cell>
          <cell r="K32">
            <v>0.05</v>
          </cell>
          <cell r="L32">
            <v>46125</v>
          </cell>
          <cell r="M32" t="str">
            <v>4-检验完成</v>
          </cell>
          <cell r="N32">
            <v>0</v>
          </cell>
          <cell r="O32">
            <v>0</v>
          </cell>
          <cell r="P32" t="str">
            <v>国营芜湖机械厂</v>
          </cell>
          <cell r="Q32" t="str">
            <v>30</v>
          </cell>
          <cell r="R32">
            <v>46126</v>
          </cell>
          <cell r="S32">
            <v>0</v>
          </cell>
          <cell r="T32">
            <v>0</v>
          </cell>
          <cell r="U32" t="str">
            <v>010000883868</v>
          </cell>
          <cell r="V32" t="str">
            <v>BIAOQIAN4</v>
          </cell>
          <cell r="W32" t="str">
            <v/>
          </cell>
          <cell r="X32" t="str">
            <v>CP-30-2-2-9</v>
          </cell>
          <cell r="Y32" t="str">
            <v/>
          </cell>
          <cell r="Z32" t="str">
            <v>1910</v>
          </cell>
          <cell r="AA32" t="str">
            <v>1100147391</v>
          </cell>
          <cell r="AB32">
            <v>10</v>
          </cell>
          <cell r="AC32" t="str">
            <v/>
          </cell>
          <cell r="AD32">
            <v>3500</v>
          </cell>
          <cell r="AE32" t="str">
            <v>G-110000029-250520-0033</v>
          </cell>
        </row>
        <row r="33">
          <cell r="B33" t="str">
            <v>7101099937</v>
          </cell>
          <cell r="C33" t="str">
            <v>G2510-1763</v>
          </cell>
          <cell r="D33" t="str">
            <v>000042944320011341</v>
          </cell>
          <cell r="E33" t="str">
            <v>平圆头钛铌铆钉</v>
          </cell>
          <cell r="F33" t="str">
            <v>Q/611S310-2010</v>
          </cell>
          <cell r="G33" t="str">
            <v>25W-7</v>
          </cell>
          <cell r="H33" t="str">
            <v>τ=345-410MPa</v>
          </cell>
          <cell r="I33" t="str">
            <v>蓝色阳极化</v>
          </cell>
          <cell r="J33" t="str">
            <v>Ti45Nb</v>
          </cell>
          <cell r="K33">
            <v>2974</v>
          </cell>
          <cell r="L33">
            <v>46123</v>
          </cell>
          <cell r="M33" t="str">
            <v>4-检验完成</v>
          </cell>
          <cell r="N33">
            <v>0</v>
          </cell>
          <cell r="O33">
            <v>0</v>
          </cell>
          <cell r="P33" t="str">
            <v>国营芜湖机械厂</v>
          </cell>
          <cell r="Q33" t="str">
            <v>340</v>
          </cell>
          <cell r="R33">
            <v>46125</v>
          </cell>
          <cell r="S33">
            <v>0</v>
          </cell>
          <cell r="T33">
            <v>0</v>
          </cell>
          <cell r="U33" t="str">
            <v>010000878070</v>
          </cell>
          <cell r="V33" t="str">
            <v>BIAOQIAN3</v>
          </cell>
          <cell r="W33" t="str">
            <v/>
          </cell>
          <cell r="X33" t="str">
            <v>CP-108-A</v>
          </cell>
          <cell r="Y33" t="str">
            <v/>
          </cell>
          <cell r="Z33" t="str">
            <v>1910</v>
          </cell>
          <cell r="AA33" t="str">
            <v>1100154845</v>
          </cell>
          <cell r="AB33">
            <v>9000</v>
          </cell>
          <cell r="AC33" t="str">
            <v/>
          </cell>
          <cell r="AD33">
            <v>4</v>
          </cell>
          <cell r="AE33" t="str">
            <v>G-110000029-251027-0102</v>
          </cell>
        </row>
        <row r="34">
          <cell r="B34" t="str">
            <v>7101099894</v>
          </cell>
          <cell r="C34" t="str">
            <v>G2510-1765</v>
          </cell>
          <cell r="D34" t="str">
            <v>000042944320011340</v>
          </cell>
          <cell r="E34" t="str">
            <v>平圆头钛铌铆钉</v>
          </cell>
          <cell r="F34" t="str">
            <v>Q/611S310-2010</v>
          </cell>
          <cell r="G34" t="str">
            <v>25W-6</v>
          </cell>
          <cell r="H34" t="str">
            <v>τ=345-410MPa</v>
          </cell>
          <cell r="I34" t="str">
            <v>蓝色阳极化</v>
          </cell>
          <cell r="J34" t="str">
            <v>Ti45Nb</v>
          </cell>
          <cell r="K34">
            <v>5056</v>
          </cell>
          <cell r="L34">
            <v>46123</v>
          </cell>
          <cell r="M34" t="str">
            <v>3-配货完成</v>
          </cell>
          <cell r="N34">
            <v>0</v>
          </cell>
          <cell r="O34">
            <v>0</v>
          </cell>
          <cell r="P34" t="str">
            <v>国营芜湖机械厂</v>
          </cell>
          <cell r="Q34" t="str">
            <v>350</v>
          </cell>
          <cell r="R34">
            <v>0</v>
          </cell>
          <cell r="S34">
            <v>0</v>
          </cell>
          <cell r="T34">
            <v>0</v>
          </cell>
          <cell r="U34" t="str">
            <v>010000878074</v>
          </cell>
          <cell r="V34" t="str">
            <v>BIAOQIAN3</v>
          </cell>
          <cell r="W34" t="str">
            <v/>
          </cell>
          <cell r="X34" t="str">
            <v>CP-108-A</v>
          </cell>
          <cell r="Y34" t="str">
            <v/>
          </cell>
          <cell r="Z34" t="str">
            <v>1910</v>
          </cell>
          <cell r="AA34" t="str">
            <v>1100154845</v>
          </cell>
          <cell r="AB34">
            <v>15000</v>
          </cell>
          <cell r="AC34" t="str">
            <v/>
          </cell>
          <cell r="AD34">
            <v>4</v>
          </cell>
          <cell r="AE34" t="str">
            <v>G-110000029-251027-0102</v>
          </cell>
        </row>
        <row r="35">
          <cell r="B35" t="str">
            <v>7101099791</v>
          </cell>
          <cell r="C35" t="str">
            <v>G2511-1079</v>
          </cell>
          <cell r="D35" t="str">
            <v>000042944320011312</v>
          </cell>
          <cell r="E35" t="str">
            <v>100°沉头钛铌铆钉</v>
          </cell>
          <cell r="F35" t="str">
            <v>Q/611S309-2010</v>
          </cell>
          <cell r="G35" t="str">
            <v>40W-18</v>
          </cell>
          <cell r="H35" t="str">
            <v>τ=345-410MPa</v>
          </cell>
          <cell r="I35" t="str">
            <v>蓝色阳极化</v>
          </cell>
          <cell r="J35" t="str">
            <v>Ti45Nb</v>
          </cell>
          <cell r="K35">
            <v>4.5</v>
          </cell>
          <cell r="L35">
            <v>46123</v>
          </cell>
          <cell r="M35" t="str">
            <v>4-检验完成</v>
          </cell>
          <cell r="N35">
            <v>0</v>
          </cell>
          <cell r="O35">
            <v>0</v>
          </cell>
          <cell r="P35" t="str">
            <v>国营芜湖机械厂</v>
          </cell>
          <cell r="Q35" t="str">
            <v>20</v>
          </cell>
          <cell r="R35">
            <v>46125</v>
          </cell>
          <cell r="S35">
            <v>0</v>
          </cell>
          <cell r="T35">
            <v>0</v>
          </cell>
          <cell r="U35" t="str">
            <v>010000883867</v>
          </cell>
          <cell r="V35" t="str">
            <v>BIAOQIAN3</v>
          </cell>
          <cell r="W35" t="str">
            <v/>
          </cell>
          <cell r="X35" t="str">
            <v>CP-108-A</v>
          </cell>
          <cell r="Y35" t="str">
            <v/>
          </cell>
          <cell r="Z35" t="str">
            <v>1910</v>
          </cell>
          <cell r="AA35" t="str">
            <v>1100147391</v>
          </cell>
          <cell r="AB35">
            <v>10</v>
          </cell>
          <cell r="AC35" t="str">
            <v/>
          </cell>
          <cell r="AD35">
            <v>3500</v>
          </cell>
          <cell r="AE35" t="str">
            <v>G-110000029-250520-0033</v>
          </cell>
        </row>
        <row r="36">
          <cell r="B36" t="str">
            <v>7101099670</v>
          </cell>
          <cell r="C36" t="str">
            <v>G2511-0052</v>
          </cell>
          <cell r="D36" t="str">
            <v>000042944320011337</v>
          </cell>
          <cell r="E36" t="str">
            <v>平圆头钛铌铆钉</v>
          </cell>
          <cell r="F36" t="str">
            <v>Q/611S310-2010</v>
          </cell>
          <cell r="G36" t="str">
            <v>25W-11</v>
          </cell>
          <cell r="H36" t="str">
            <v>τ=345-410MPa</v>
          </cell>
          <cell r="I36" t="str">
            <v>蓝色阳极化</v>
          </cell>
          <cell r="J36" t="str">
            <v>Ti45Nb</v>
          </cell>
          <cell r="K36">
            <v>2930</v>
          </cell>
          <cell r="L36">
            <v>46122</v>
          </cell>
          <cell r="M36" t="str">
            <v>3-配货完成</v>
          </cell>
          <cell r="N36">
            <v>0</v>
          </cell>
          <cell r="O36">
            <v>0</v>
          </cell>
          <cell r="P36" t="str">
            <v>国营芜湖机械厂</v>
          </cell>
          <cell r="Q36" t="str">
            <v>370</v>
          </cell>
          <cell r="R36">
            <v>0</v>
          </cell>
          <cell r="S36">
            <v>0</v>
          </cell>
          <cell r="T36">
            <v>0</v>
          </cell>
          <cell r="U36" t="str">
            <v>010000879634</v>
          </cell>
          <cell r="V36" t="str">
            <v>BIAOQIAN3</v>
          </cell>
          <cell r="W36" t="str">
            <v/>
          </cell>
          <cell r="X36" t="str">
            <v>CP-108-A</v>
          </cell>
          <cell r="Y36" t="str">
            <v/>
          </cell>
          <cell r="Z36" t="str">
            <v>1910</v>
          </cell>
          <cell r="AA36" t="str">
            <v>1100154845</v>
          </cell>
          <cell r="AB36">
            <v>9000</v>
          </cell>
          <cell r="AC36" t="str">
            <v/>
          </cell>
          <cell r="AD36">
            <v>4</v>
          </cell>
          <cell r="AE36" t="str">
            <v>G-110000029-251027-0102</v>
          </cell>
        </row>
        <row r="37">
          <cell r="B37" t="str">
            <v>71010996701</v>
          </cell>
          <cell r="C37" t="str">
            <v>G2511-0053</v>
          </cell>
          <cell r="D37" t="str">
            <v>000042944320011337</v>
          </cell>
          <cell r="E37" t="str">
            <v>平圆头钛铌铆钉</v>
          </cell>
          <cell r="F37" t="str">
            <v>Q/611S310-2010</v>
          </cell>
          <cell r="G37" t="str">
            <v>25W-11</v>
          </cell>
          <cell r="H37" t="str">
            <v>τ=345-410MPa</v>
          </cell>
          <cell r="I37" t="str">
            <v>蓝色阳极化</v>
          </cell>
          <cell r="J37" t="str">
            <v>Ti45Nb</v>
          </cell>
          <cell r="K37">
            <v>2959</v>
          </cell>
          <cell r="L37">
            <v>46122</v>
          </cell>
          <cell r="M37" t="str">
            <v>3-配货完成</v>
          </cell>
          <cell r="N37">
            <v>0</v>
          </cell>
          <cell r="O37">
            <v>0</v>
          </cell>
          <cell r="P37" t="str">
            <v>国营芜湖机械厂</v>
          </cell>
          <cell r="Q37" t="str">
            <v>370</v>
          </cell>
          <cell r="R37">
            <v>0</v>
          </cell>
          <cell r="S37">
            <v>0</v>
          </cell>
          <cell r="T37">
            <v>0</v>
          </cell>
          <cell r="U37" t="str">
            <v>010000879635</v>
          </cell>
          <cell r="V37" t="str">
            <v>BIAOQIAN3</v>
          </cell>
          <cell r="W37" t="str">
            <v/>
          </cell>
          <cell r="X37" t="str">
            <v>CP-108-A</v>
          </cell>
          <cell r="Y37" t="str">
            <v/>
          </cell>
          <cell r="Z37" t="str">
            <v>1910</v>
          </cell>
          <cell r="AA37" t="str">
            <v>1100154845</v>
          </cell>
          <cell r="AB37">
            <v>9000</v>
          </cell>
          <cell r="AC37" t="str">
            <v/>
          </cell>
          <cell r="AD37">
            <v>4</v>
          </cell>
          <cell r="AE37" t="str">
            <v>G-110000029-251027-0102</v>
          </cell>
        </row>
        <row r="38">
          <cell r="B38" t="str">
            <v>71010996691</v>
          </cell>
          <cell r="C38" t="str">
            <v>G2510-1759</v>
          </cell>
          <cell r="D38" t="str">
            <v>000042944320011343</v>
          </cell>
          <cell r="E38" t="str">
            <v>平圆头钛铌铆钉</v>
          </cell>
          <cell r="F38" t="str">
            <v>Q/611S310-2010</v>
          </cell>
          <cell r="G38" t="str">
            <v>25W-9</v>
          </cell>
          <cell r="H38" t="str">
            <v>τ=345-410MPa</v>
          </cell>
          <cell r="I38" t="str">
            <v>蓝色阳极化</v>
          </cell>
          <cell r="J38" t="str">
            <v>Ti45Nb</v>
          </cell>
          <cell r="K38">
            <v>4270</v>
          </cell>
          <cell r="L38">
            <v>46122</v>
          </cell>
          <cell r="M38" t="str">
            <v>3-配货完成</v>
          </cell>
          <cell r="N38">
            <v>0</v>
          </cell>
          <cell r="O38">
            <v>0</v>
          </cell>
          <cell r="P38" t="str">
            <v>国营芜湖机械厂</v>
          </cell>
          <cell r="Q38" t="str">
            <v>320</v>
          </cell>
          <cell r="R38">
            <v>0</v>
          </cell>
          <cell r="S38">
            <v>0</v>
          </cell>
          <cell r="T38">
            <v>0</v>
          </cell>
          <cell r="U38" t="str">
            <v>010000878054</v>
          </cell>
          <cell r="V38" t="str">
            <v>BIAOQIAN3</v>
          </cell>
          <cell r="W38" t="str">
            <v/>
          </cell>
          <cell r="X38" t="str">
            <v>CP-108-A</v>
          </cell>
          <cell r="Y38" t="str">
            <v/>
          </cell>
          <cell r="Z38" t="str">
            <v>1910</v>
          </cell>
          <cell r="AA38" t="str">
            <v>1100154845</v>
          </cell>
          <cell r="AB38">
            <v>9000</v>
          </cell>
          <cell r="AC38" t="str">
            <v/>
          </cell>
          <cell r="AD38">
            <v>4</v>
          </cell>
          <cell r="AE38" t="str">
            <v>G-110000029-251027-0102</v>
          </cell>
        </row>
        <row r="39">
          <cell r="B39" t="str">
            <v>7101099669</v>
          </cell>
          <cell r="C39" t="str">
            <v>G2509-2599</v>
          </cell>
          <cell r="D39" t="str">
            <v>000042944320011343</v>
          </cell>
          <cell r="E39" t="str">
            <v>平圆头钛铌铆钉</v>
          </cell>
          <cell r="F39" t="str">
            <v>Q/611S310-2010</v>
          </cell>
          <cell r="G39" t="str">
            <v>25W-9</v>
          </cell>
          <cell r="H39" t="str">
            <v>τ=345-410MPa</v>
          </cell>
          <cell r="I39" t="str">
            <v>蓝色阳极化</v>
          </cell>
          <cell r="J39" t="str">
            <v>Ti45Nb</v>
          </cell>
          <cell r="K39">
            <v>153</v>
          </cell>
          <cell r="L39">
            <v>46122</v>
          </cell>
          <cell r="M39" t="str">
            <v>3-配货完成</v>
          </cell>
          <cell r="N39">
            <v>0</v>
          </cell>
          <cell r="O39">
            <v>0</v>
          </cell>
          <cell r="P39" t="str">
            <v>国营芜湖机械厂</v>
          </cell>
          <cell r="Q39" t="str">
            <v>320</v>
          </cell>
          <cell r="R39">
            <v>0</v>
          </cell>
          <cell r="S39">
            <v>0</v>
          </cell>
          <cell r="T39">
            <v>0</v>
          </cell>
          <cell r="U39" t="str">
            <v>010000867584</v>
          </cell>
          <cell r="V39" t="str">
            <v>BIAOQIAN3</v>
          </cell>
          <cell r="W39" t="str">
            <v/>
          </cell>
          <cell r="X39" t="str">
            <v>CP-12-2-5-3</v>
          </cell>
          <cell r="Y39" t="str">
            <v/>
          </cell>
          <cell r="Z39" t="str">
            <v>1910</v>
          </cell>
          <cell r="AA39" t="str">
            <v>1100154845</v>
          </cell>
          <cell r="AB39">
            <v>9000</v>
          </cell>
          <cell r="AC39" t="str">
            <v/>
          </cell>
          <cell r="AD39">
            <v>4</v>
          </cell>
          <cell r="AE39" t="str">
            <v>G-110000029-251027-0102</v>
          </cell>
        </row>
        <row r="40">
          <cell r="B40" t="str">
            <v>7101099664</v>
          </cell>
          <cell r="C40" t="str">
            <v>G2510-1762</v>
          </cell>
          <cell r="D40" t="str">
            <v>000042944320011342</v>
          </cell>
          <cell r="E40" t="str">
            <v>平圆头钛铌铆钉</v>
          </cell>
          <cell r="F40" t="str">
            <v>Q/611S310-2010</v>
          </cell>
          <cell r="G40" t="str">
            <v>25W-8</v>
          </cell>
          <cell r="H40" t="str">
            <v>τ=345-410MPa</v>
          </cell>
          <cell r="I40" t="str">
            <v>蓝色阳极化</v>
          </cell>
          <cell r="J40" t="str">
            <v>Ti45Nb</v>
          </cell>
          <cell r="K40">
            <v>4780</v>
          </cell>
          <cell r="L40">
            <v>46122</v>
          </cell>
          <cell r="M40" t="str">
            <v>3-配货完成</v>
          </cell>
          <cell r="N40">
            <v>0</v>
          </cell>
          <cell r="O40">
            <v>0</v>
          </cell>
          <cell r="P40" t="str">
            <v>国营芜湖机械厂</v>
          </cell>
          <cell r="Q40" t="str">
            <v>330</v>
          </cell>
          <cell r="R40">
            <v>0</v>
          </cell>
          <cell r="S40">
            <v>0</v>
          </cell>
          <cell r="T40">
            <v>0</v>
          </cell>
          <cell r="U40" t="str">
            <v>010000878062</v>
          </cell>
          <cell r="V40" t="str">
            <v>BIAOQIAN1</v>
          </cell>
          <cell r="W40" t="str">
            <v/>
          </cell>
          <cell r="X40" t="str">
            <v>CP-108-A</v>
          </cell>
          <cell r="Y40" t="str">
            <v/>
          </cell>
          <cell r="Z40" t="str">
            <v>1910</v>
          </cell>
          <cell r="AA40" t="str">
            <v>1100154845</v>
          </cell>
          <cell r="AB40">
            <v>15000</v>
          </cell>
          <cell r="AC40" t="str">
            <v/>
          </cell>
          <cell r="AD40">
            <v>4</v>
          </cell>
          <cell r="AE40" t="str">
            <v>G-110000029-251027-0102</v>
          </cell>
        </row>
        <row r="41">
          <cell r="B41" t="str">
            <v>7101099605</v>
          </cell>
          <cell r="C41" t="str">
            <v>G2510-1800</v>
          </cell>
          <cell r="D41" t="str">
            <v>000042944320056550</v>
          </cell>
          <cell r="E41" t="str">
            <v>平圆头钛铌铆钉</v>
          </cell>
          <cell r="F41" t="str">
            <v>Q/611S310-2010</v>
          </cell>
          <cell r="G41" t="str">
            <v>25W-10</v>
          </cell>
          <cell r="H41" t="str">
            <v>τ=345-410MPa</v>
          </cell>
          <cell r="I41" t="str">
            <v>蓝色阳极化</v>
          </cell>
          <cell r="J41" t="str">
            <v>Ti45Nb</v>
          </cell>
          <cell r="K41">
            <v>4500</v>
          </cell>
          <cell r="L41">
            <v>46122</v>
          </cell>
          <cell r="M41" t="str">
            <v>3-配货完成</v>
          </cell>
          <cell r="N41">
            <v>0</v>
          </cell>
          <cell r="O41">
            <v>0</v>
          </cell>
          <cell r="P41" t="str">
            <v>国营芜湖机械厂</v>
          </cell>
          <cell r="Q41" t="str">
            <v>380</v>
          </cell>
          <cell r="R41">
            <v>0</v>
          </cell>
          <cell r="S41">
            <v>0</v>
          </cell>
          <cell r="T41">
            <v>0</v>
          </cell>
          <cell r="U41" t="str">
            <v>010000878144</v>
          </cell>
          <cell r="V41" t="str">
            <v>BIAOQIAN2</v>
          </cell>
          <cell r="W41" t="str">
            <v/>
          </cell>
          <cell r="X41" t="str">
            <v>CP-108-A</v>
          </cell>
          <cell r="Y41" t="str">
            <v/>
          </cell>
          <cell r="Z41" t="str">
            <v>1910</v>
          </cell>
          <cell r="AA41" t="str">
            <v>1100154845</v>
          </cell>
          <cell r="AB41">
            <v>9000</v>
          </cell>
          <cell r="AC41" t="str">
            <v/>
          </cell>
          <cell r="AD41">
            <v>4</v>
          </cell>
          <cell r="AE41" t="str">
            <v>G-110000029-251027-0102</v>
          </cell>
        </row>
      </sheetData>
      <sheetData sheetId="1">
        <row r="1">
          <cell r="I1">
            <v>0</v>
          </cell>
        </row>
        <row r="2">
          <cell r="I2">
            <v>0</v>
          </cell>
        </row>
      </sheetData>
      <sheetData sheetId="2"/>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7.19 (3)"/>
      <sheetName val="7.19 (2)"/>
      <sheetName val="7.19"/>
      <sheetName val="7.18"/>
      <sheetName val="7.31(2)"/>
      <sheetName val="7.31(1)"/>
      <sheetName val="7.28"/>
      <sheetName val="7.26（2）"/>
      <sheetName val="7.26（1）"/>
      <sheetName val="8.31"/>
      <sheetName val="9.29"/>
      <sheetName val="9.29 (2)"/>
      <sheetName val="9.29 (3)"/>
      <sheetName val="9.29 (4)"/>
      <sheetName val="1.29"/>
      <sheetName val="1.30"/>
      <sheetName val="2.1"/>
      <sheetName val="2.11"/>
      <sheetName val="1.25"/>
      <sheetName val="12.28"/>
      <sheetName val="12.27"/>
      <sheetName val="12.15"/>
      <sheetName val="12.12"/>
      <sheetName val="12.9"/>
      <sheetName val="11.30"/>
      <sheetName val="11.15"/>
      <sheetName val="11.14"/>
      <sheetName val="11.13"/>
      <sheetName val="11.9"/>
      <sheetName val="10.31"/>
      <sheetName val="10.27"/>
      <sheetName val="10.23(1)"/>
      <sheetName val="10.23(2)"/>
      <sheetName val="10.11"/>
      <sheetName val="模板"/>
      <sheetName val="三院"/>
      <sheetName val="匹配"/>
      <sheetName val="7.24"/>
      <sheetName val="7.21(1 (2)"/>
      <sheetName val="7.21(1"/>
      <sheetName val="Sheet3"/>
      <sheetName val="11.10"/>
      <sheetName val="Sheet2"/>
      <sheetName val="Sheet1"/>
      <sheetName val="公式"/>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ow r="1">
          <cell r="B1" t="str">
            <v>提货单号</v>
          </cell>
          <cell r="C1" t="str">
            <v>批号</v>
          </cell>
          <cell r="D1" t="str">
            <v>物料编号</v>
          </cell>
          <cell r="E1" t="str">
            <v>物品名称</v>
          </cell>
          <cell r="F1" t="str">
            <v>采用标准</v>
          </cell>
          <cell r="G1" t="str">
            <v>规格</v>
          </cell>
        </row>
        <row r="2">
          <cell r="B2" t="str">
            <v>7101102722</v>
          </cell>
          <cell r="C2" t="str">
            <v>G2603-1628</v>
          </cell>
          <cell r="D2" t="str">
            <v>000042944000001095</v>
          </cell>
          <cell r="E2" t="str">
            <v>悬挂卡箍</v>
          </cell>
          <cell r="F2" t="str">
            <v>HB3-16FD-2000</v>
          </cell>
          <cell r="G2" t="str">
            <v>15</v>
          </cell>
        </row>
        <row r="3">
          <cell r="B3" t="str">
            <v>7101102317</v>
          </cell>
          <cell r="C3" t="str">
            <v>G2410-1900</v>
          </cell>
          <cell r="D3" t="str">
            <v>000042944360135512</v>
          </cell>
          <cell r="E3" t="str">
            <v>快卸止动销</v>
          </cell>
          <cell r="F3" t="str">
            <v>HB1-704G-1983</v>
          </cell>
          <cell r="G3" t="str">
            <v>6×80</v>
          </cell>
        </row>
        <row r="4">
          <cell r="B4" t="str">
            <v>7101101925</v>
          </cell>
          <cell r="C4" t="str">
            <v>G2601-1405</v>
          </cell>
          <cell r="D4" t="str">
            <v>000036200000155830</v>
          </cell>
          <cell r="E4" t="str">
            <v>液压气动用O形橡胶密封圈</v>
          </cell>
          <cell r="F4" t="str">
            <v>GB/T3452.1-2005</v>
          </cell>
          <cell r="G4" t="str">
            <v>16×1.8-A-S</v>
          </cell>
        </row>
        <row r="5">
          <cell r="B5" t="str">
            <v>7101101459</v>
          </cell>
          <cell r="C5" t="str">
            <v>G2601-0486</v>
          </cell>
          <cell r="D5" t="str">
            <v>000042944360164547</v>
          </cell>
          <cell r="E5" t="str">
            <v>快卸止动销</v>
          </cell>
          <cell r="F5" t="str">
            <v>HB1-704-1983</v>
          </cell>
          <cell r="G5" t="str">
            <v>14×110</v>
          </cell>
        </row>
        <row r="6">
          <cell r="B6" t="str">
            <v>71010889381</v>
          </cell>
          <cell r="C6" t="str">
            <v>G2507-1568</v>
          </cell>
          <cell r="D6" t="str">
            <v>000042944000001105</v>
          </cell>
          <cell r="E6" t="str">
            <v>悬挂卡箍</v>
          </cell>
          <cell r="F6" t="str">
            <v>HB3-16FD-2000</v>
          </cell>
          <cell r="G6" t="str">
            <v>20</v>
          </cell>
        </row>
        <row r="7">
          <cell r="B7" t="str">
            <v>71010889382</v>
          </cell>
          <cell r="C7" t="str">
            <v>G2512-0861</v>
          </cell>
          <cell r="D7" t="str">
            <v>000042944000001105</v>
          </cell>
          <cell r="E7" t="str">
            <v>悬挂卡箍</v>
          </cell>
          <cell r="F7" t="str">
            <v>HB3-16FD-2000</v>
          </cell>
          <cell r="G7" t="str">
            <v>20</v>
          </cell>
        </row>
        <row r="8">
          <cell r="B8" t="str">
            <v>7101089001</v>
          </cell>
          <cell r="C8" t="str">
            <v>G2511-1399</v>
          </cell>
          <cell r="D8" t="str">
            <v>000042944288100133</v>
          </cell>
          <cell r="E8" t="str">
            <v>全金属自锁螺母-双耳托板螺母</v>
          </cell>
          <cell r="F8" t="str">
            <v>QJ3079.7A-2011</v>
          </cell>
          <cell r="G8" t="str">
            <v>M12×1.5</v>
          </cell>
        </row>
        <row r="9">
          <cell r="B9" t="str">
            <v>7101088938</v>
          </cell>
          <cell r="C9" t="str">
            <v>G2501-1620</v>
          </cell>
          <cell r="D9" t="str">
            <v>000042944000001105</v>
          </cell>
          <cell r="E9" t="str">
            <v>悬挂卡箍</v>
          </cell>
          <cell r="F9" t="str">
            <v>HB3-16FD-2000</v>
          </cell>
          <cell r="G9" t="str">
            <v>20</v>
          </cell>
        </row>
        <row r="10">
          <cell r="B10" t="str">
            <v>7101088938</v>
          </cell>
          <cell r="C10" t="str">
            <v>G2507-1568</v>
          </cell>
          <cell r="D10" t="str">
            <v>000042944000001105</v>
          </cell>
          <cell r="E10" t="str">
            <v>悬挂卡箍</v>
          </cell>
          <cell r="F10" t="str">
            <v>HB3-16FD-2000</v>
          </cell>
          <cell r="G10" t="str">
            <v>20</v>
          </cell>
        </row>
        <row r="11">
          <cell r="B11" t="str">
            <v>7101088938</v>
          </cell>
          <cell r="C11" t="str">
            <v>G2512-0861</v>
          </cell>
          <cell r="D11" t="str">
            <v>000042944000001105</v>
          </cell>
          <cell r="E11" t="str">
            <v>悬挂卡箍</v>
          </cell>
          <cell r="F11" t="str">
            <v>HB3-16FD-2000</v>
          </cell>
          <cell r="G11" t="str">
            <v>20</v>
          </cell>
        </row>
        <row r="12">
          <cell r="B12" t="str">
            <v>7101088758</v>
          </cell>
          <cell r="C12" t="str">
            <v>G2601-0571</v>
          </cell>
          <cell r="D12" t="str">
            <v>000042944000040433</v>
          </cell>
          <cell r="E12" t="str">
            <v>扩口式管接头的堵盖</v>
          </cell>
          <cell r="F12" t="str">
            <v>HB4-69-2002</v>
          </cell>
          <cell r="G12" t="str">
            <v>6</v>
          </cell>
        </row>
        <row r="13">
          <cell r="B13" t="str">
            <v>7101088727</v>
          </cell>
          <cell r="C13" t="str">
            <v>G2512-0755</v>
          </cell>
          <cell r="D13" t="str">
            <v>000042944440000075</v>
          </cell>
          <cell r="E13" t="str">
            <v>孔用弹性挡圈-A型</v>
          </cell>
          <cell r="F13" t="str">
            <v>GB893.1-1986</v>
          </cell>
          <cell r="G13" t="str">
            <v>13</v>
          </cell>
        </row>
        <row r="14">
          <cell r="B14" t="str">
            <v>7101047289</v>
          </cell>
          <cell r="C14" t="str">
            <v>G2507-0970</v>
          </cell>
          <cell r="D14" t="str">
            <v>42944239000856</v>
          </cell>
          <cell r="E14" t="str">
            <v>90°沉头螺栓</v>
          </cell>
          <cell r="F14" t="str">
            <v>HB1-129-1995</v>
          </cell>
          <cell r="G14" t="str">
            <v>4×14</v>
          </cell>
        </row>
        <row r="15">
          <cell r="B15">
            <v>7101054342</v>
          </cell>
          <cell r="C15" t="str">
            <v>G2507-1431</v>
          </cell>
          <cell r="D15">
            <v>36200000155822</v>
          </cell>
          <cell r="E15" t="str">
            <v>液压气动用O形橡胶密封圈</v>
          </cell>
          <cell r="F15" t="str">
            <v>GB/T3452.1-2005</v>
          </cell>
          <cell r="G15" t="str">
            <v>63×2.65-A-S</v>
          </cell>
        </row>
        <row r="16">
          <cell r="B16">
            <v>7101054341</v>
          </cell>
          <cell r="C16" t="str">
            <v>G2507-1431</v>
          </cell>
          <cell r="D16">
            <v>36200000155822</v>
          </cell>
          <cell r="E16" t="str">
            <v>液压气动用O形橡胶密封圈</v>
          </cell>
          <cell r="F16" t="str">
            <v>GB/T3452.1-2005</v>
          </cell>
          <cell r="G16" t="str">
            <v>63×2.65-A-S</v>
          </cell>
        </row>
        <row r="17">
          <cell r="B17">
            <v>7101054218</v>
          </cell>
          <cell r="C17" t="str">
            <v>G2507-2502</v>
          </cell>
          <cell r="D17">
            <v>36200000155821</v>
          </cell>
          <cell r="E17" t="str">
            <v>液压气动用O形橡胶密封圈</v>
          </cell>
          <cell r="F17" t="str">
            <v>GB/T3452.1-2005</v>
          </cell>
          <cell r="G17" t="str">
            <v>73×2.65-A-S</v>
          </cell>
        </row>
        <row r="18">
          <cell r="B18" t="str">
            <v>7101059531</v>
          </cell>
          <cell r="C18" t="str">
            <v>G2410-0943</v>
          </cell>
          <cell r="D18" t="str">
            <v>000042944000137502</v>
          </cell>
          <cell r="E18" t="str">
            <v>带两个管状接头的搭铁线</v>
          </cell>
          <cell r="F18" t="str">
            <v>HB6-74TD-1983</v>
          </cell>
          <cell r="G18" t="str">
            <v>4×200</v>
          </cell>
        </row>
        <row r="19">
          <cell r="B19" t="str">
            <v>7101064504</v>
          </cell>
          <cell r="C19" t="str">
            <v>G2512-0506</v>
          </cell>
          <cell r="D19" t="str">
            <v>000036200000155824</v>
          </cell>
          <cell r="E19" t="str">
            <v>液压气动用O形橡胶密封圈</v>
          </cell>
          <cell r="F19" t="str">
            <v>GB/T3452.1-2005</v>
          </cell>
          <cell r="G19" t="str">
            <v>48.7×3.55-A-S</v>
          </cell>
        </row>
        <row r="20">
          <cell r="B20" t="str">
            <v>7101065640</v>
          </cell>
          <cell r="C20" t="str">
            <v>G2601-0482</v>
          </cell>
          <cell r="D20" t="str">
            <v>42944000002531</v>
          </cell>
          <cell r="E20" t="str">
            <v>螺旋宽带卡箍</v>
          </cell>
          <cell r="F20" t="str">
            <v>HB6119-1987</v>
          </cell>
          <cell r="G20" t="str">
            <v>6</v>
          </cell>
        </row>
        <row r="21">
          <cell r="B21" t="str">
            <v>7101072702</v>
          </cell>
          <cell r="C21" t="str">
            <v>G2510-0154</v>
          </cell>
          <cell r="D21" t="str">
            <v>000042944000002487</v>
          </cell>
          <cell r="E21" t="str">
            <v>导线小接头</v>
          </cell>
          <cell r="F21" t="str">
            <v>HB6-10-2004</v>
          </cell>
          <cell r="G21" t="str">
            <v>5</v>
          </cell>
        </row>
        <row r="22">
          <cell r="B22" t="str">
            <v>7101078063</v>
          </cell>
          <cell r="C22" t="str">
            <v>G2406-1206</v>
          </cell>
          <cell r="D22" t="str">
            <v>000042944000001131</v>
          </cell>
          <cell r="E22" t="str">
            <v>悬挂卡箍</v>
          </cell>
          <cell r="F22" t="str">
            <v>HB3-16LB-2000</v>
          </cell>
          <cell r="G22" t="str">
            <v>8</v>
          </cell>
        </row>
        <row r="23">
          <cell r="B23" t="str">
            <v>7101078063</v>
          </cell>
          <cell r="C23" t="str">
            <v>G2110-0584</v>
          </cell>
          <cell r="D23" t="str">
            <v>000042944000086781</v>
          </cell>
          <cell r="E23" t="str">
            <v>悬挂卡箍</v>
          </cell>
          <cell r="F23" t="str">
            <v>HB3-16LB-2000</v>
          </cell>
          <cell r="G23" t="str">
            <v>6</v>
          </cell>
        </row>
        <row r="24">
          <cell r="B24" t="str">
            <v>7101085459</v>
          </cell>
          <cell r="C24" t="str">
            <v>H2101-2306</v>
          </cell>
          <cell r="D24" t="str">
            <v>000042944000001095</v>
          </cell>
          <cell r="E24" t="str">
            <v>悬挂卡箍</v>
          </cell>
          <cell r="F24" t="str">
            <v>HB3-16FD-2000</v>
          </cell>
          <cell r="G24" t="str">
            <v>15</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7.19 (3)"/>
      <sheetName val="7.19 (2)"/>
      <sheetName val="7.19"/>
      <sheetName val="7.18"/>
      <sheetName val="7.31(2)"/>
      <sheetName val="7.31(1)"/>
      <sheetName val="7.28"/>
      <sheetName val="7.26（2）"/>
      <sheetName val="7.26（1）"/>
      <sheetName val="8.31"/>
      <sheetName val="9.29"/>
      <sheetName val="9.29 (2)"/>
      <sheetName val="9.29 (3)"/>
      <sheetName val="9.29 (4)"/>
      <sheetName val="1.29"/>
      <sheetName val="1.30"/>
      <sheetName val="2.1"/>
      <sheetName val="2.11"/>
      <sheetName val="1.25"/>
      <sheetName val="12.28"/>
      <sheetName val="12.27"/>
      <sheetName val="12.15"/>
      <sheetName val="12.12"/>
      <sheetName val="12.9"/>
      <sheetName val="11.30"/>
      <sheetName val="11.15"/>
      <sheetName val="11.14"/>
      <sheetName val="11.13"/>
      <sheetName val="11.9"/>
      <sheetName val="10.31"/>
      <sheetName val="10.27"/>
      <sheetName val="10.23(1)"/>
      <sheetName val="10.23(2)"/>
      <sheetName val="10.11"/>
      <sheetName val="模板"/>
      <sheetName val="三院"/>
      <sheetName val="匹配"/>
      <sheetName val="7.24"/>
      <sheetName val="7.21(1 (2)"/>
      <sheetName val="7.21(1"/>
      <sheetName val="Sheet3"/>
      <sheetName val="11.10"/>
      <sheetName val="Sheet2"/>
      <sheetName val="Sheet1"/>
      <sheetName val="公式"/>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row r="1">
          <cell r="B1" t="str">
            <v>提货单号</v>
          </cell>
          <cell r="C1" t="str">
            <v>批号</v>
          </cell>
          <cell r="D1" t="str">
            <v>物料编号</v>
          </cell>
          <cell r="E1" t="str">
            <v>物品名称</v>
          </cell>
          <cell r="F1" t="str">
            <v>采用标准</v>
          </cell>
          <cell r="G1" t="str">
            <v>规格</v>
          </cell>
        </row>
        <row r="2">
          <cell r="B2" t="str">
            <v>7101006806</v>
          </cell>
          <cell r="C2" t="str">
            <v>G2507-1568</v>
          </cell>
          <cell r="D2" t="str">
            <v>000042944000001105</v>
          </cell>
          <cell r="E2" t="str">
            <v>悬挂卡箍</v>
          </cell>
          <cell r="F2" t="str">
            <v>HB3-16FD-2000</v>
          </cell>
          <cell r="G2" t="str">
            <v>20</v>
          </cell>
        </row>
        <row r="3">
          <cell r="B3" t="str">
            <v>7101006370</v>
          </cell>
          <cell r="C3" t="str">
            <v>G2507-0964</v>
          </cell>
          <cell r="D3" t="str">
            <v>000042944000002556</v>
          </cell>
          <cell r="E3" t="str">
            <v>双爪导线接头</v>
          </cell>
          <cell r="F3" t="str">
            <v>HB6-17-1976</v>
          </cell>
          <cell r="G3" t="str">
            <v>A1</v>
          </cell>
        </row>
        <row r="4">
          <cell r="B4" t="str">
            <v>7101006312</v>
          </cell>
          <cell r="C4" t="str">
            <v>H2109-7599</v>
          </cell>
          <cell r="D4" t="str">
            <v>000042944999004532</v>
          </cell>
          <cell r="E4" t="str">
            <v>平管嘴</v>
          </cell>
          <cell r="F4" t="str">
            <v>HB4-44HF-2002</v>
          </cell>
          <cell r="G4" t="str">
            <v>10</v>
          </cell>
        </row>
        <row r="5">
          <cell r="B5" t="str">
            <v>7101006309</v>
          </cell>
          <cell r="C5" t="str">
            <v>H2307-1946</v>
          </cell>
          <cell r="D5" t="str">
            <v>000042944239082002</v>
          </cell>
          <cell r="E5" t="str">
            <v>90°沉头螺栓</v>
          </cell>
          <cell r="F5" t="str">
            <v>HB1-129-2002</v>
          </cell>
          <cell r="G5" t="str">
            <v>10×32</v>
          </cell>
        </row>
        <row r="6">
          <cell r="B6" t="str">
            <v>7101006301</v>
          </cell>
          <cell r="C6" t="str">
            <v>H2110-0123</v>
          </cell>
          <cell r="D6" t="str">
            <v>000042944044007806</v>
          </cell>
          <cell r="E6" t="str">
            <v>十字槽100°沉头螺钉</v>
          </cell>
          <cell r="F6" t="str">
            <v>HB7218-1995</v>
          </cell>
          <cell r="G6" t="str">
            <v>M4×10</v>
          </cell>
        </row>
        <row r="7">
          <cell r="B7" t="str">
            <v>7101006298</v>
          </cell>
          <cell r="C7" t="str">
            <v>G2203-1912</v>
          </cell>
          <cell r="D7" t="str">
            <v>000042944288000666</v>
          </cell>
          <cell r="E7" t="str">
            <v>气密单耳托板自锁螺母</v>
          </cell>
          <cell r="F7" t="str">
            <v>GB932-88</v>
          </cell>
          <cell r="G7" t="str">
            <v>M5</v>
          </cell>
        </row>
        <row r="8">
          <cell r="B8" t="str">
            <v>7101002056</v>
          </cell>
          <cell r="C8" t="str">
            <v>G2507-1435</v>
          </cell>
          <cell r="D8" t="str">
            <v>000036200000155826</v>
          </cell>
          <cell r="E8" t="str">
            <v>液压气动用O形橡胶密封圈</v>
          </cell>
          <cell r="F8" t="str">
            <v>GB/T3452.1-2005</v>
          </cell>
          <cell r="G8" t="str">
            <v>38.7×3.55-A-S</v>
          </cell>
        </row>
        <row r="9">
          <cell r="B9" t="str">
            <v>7101008347</v>
          </cell>
          <cell r="C9" t="str">
            <v>G2504-2883</v>
          </cell>
          <cell r="D9" t="str">
            <v>000042944319103951</v>
          </cell>
          <cell r="E9" t="str">
            <v>外套螺母</v>
          </cell>
          <cell r="F9" t="str">
            <v>HB5539-1983</v>
          </cell>
          <cell r="G9" t="str">
            <v>6</v>
          </cell>
        </row>
        <row r="10">
          <cell r="B10" t="str">
            <v>7101008122</v>
          </cell>
          <cell r="C10" t="str">
            <v>G2504-7516</v>
          </cell>
          <cell r="D10" t="str">
            <v>000042944319000415</v>
          </cell>
          <cell r="E10" t="str">
            <v>扩口式外套螺母</v>
          </cell>
          <cell r="F10" t="str">
            <v>HB4-45-2002</v>
          </cell>
          <cell r="G10" t="str">
            <v>16</v>
          </cell>
        </row>
        <row r="11">
          <cell r="B11" t="str">
            <v>7101006370</v>
          </cell>
          <cell r="C11" t="str">
            <v>G2507-0964</v>
          </cell>
          <cell r="D11" t="str">
            <v>000042944000002556</v>
          </cell>
          <cell r="E11" t="str">
            <v>双爪导线接头</v>
          </cell>
          <cell r="F11" t="str">
            <v>HB6-17-1976</v>
          </cell>
          <cell r="G11" t="str">
            <v>A1</v>
          </cell>
        </row>
        <row r="12">
          <cell r="B12" t="str">
            <v>7101006312</v>
          </cell>
          <cell r="C12" t="str">
            <v>H2109-7599</v>
          </cell>
          <cell r="D12" t="str">
            <v>000042944999004532</v>
          </cell>
          <cell r="E12" t="str">
            <v>平管嘴</v>
          </cell>
          <cell r="F12" t="str">
            <v>HB4-44HF-2002</v>
          </cell>
          <cell r="G12" t="str">
            <v>10</v>
          </cell>
        </row>
        <row r="13">
          <cell r="B13" t="str">
            <v>7101006309</v>
          </cell>
          <cell r="C13" t="str">
            <v>H2307-1946</v>
          </cell>
          <cell r="D13" t="str">
            <v>000042944239082002</v>
          </cell>
          <cell r="E13" t="str">
            <v>90°沉头螺栓</v>
          </cell>
          <cell r="F13" t="str">
            <v>HB1-129-2002</v>
          </cell>
          <cell r="G13" t="str">
            <v>10×32</v>
          </cell>
        </row>
        <row r="14">
          <cell r="B14" t="str">
            <v>7101006301</v>
          </cell>
          <cell r="C14" t="str">
            <v>H2110-0123</v>
          </cell>
          <cell r="D14" t="str">
            <v>000042944044007806</v>
          </cell>
          <cell r="E14" t="str">
            <v>十字槽100°沉头螺钉</v>
          </cell>
          <cell r="F14" t="str">
            <v>HB7218-1995</v>
          </cell>
          <cell r="G14" t="str">
            <v>M4×10</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1"/>
      <sheetName val="2"/>
      <sheetName val="合同"/>
      <sheetName val="匹配"/>
    </sheetNames>
    <sheetDataSet>
      <sheetData sheetId="0" refreshError="1"/>
      <sheetData sheetId="1" refreshError="1"/>
      <sheetData sheetId="2" refreshError="1"/>
      <sheetData sheetId="3">
        <row r="1">
          <cell r="B1" t="str">
            <v>提货单号</v>
          </cell>
          <cell r="C1" t="str">
            <v>批号</v>
          </cell>
          <cell r="D1" t="str">
            <v>物料编号</v>
          </cell>
          <cell r="E1" t="str">
            <v>物品名称</v>
          </cell>
          <cell r="F1" t="str">
            <v>采用标准</v>
          </cell>
          <cell r="G1" t="str">
            <v>规格</v>
          </cell>
          <cell r="H1" t="str">
            <v>性能等级</v>
          </cell>
          <cell r="I1" t="str">
            <v>表面处理</v>
          </cell>
          <cell r="J1" t="str">
            <v>材质</v>
          </cell>
          <cell r="K1" t="str">
            <v>已提货数量</v>
          </cell>
          <cell r="L1" t="str">
            <v>提货创建日期</v>
          </cell>
          <cell r="M1" t="str">
            <v>提货单状态</v>
          </cell>
          <cell r="N1" t="str">
            <v>运单回填日期</v>
          </cell>
          <cell r="O1" t="str">
            <v>运单回填时间</v>
          </cell>
          <cell r="P1" t="str">
            <v>售达方描述</v>
          </cell>
          <cell r="Q1" t="str">
            <v>销售凭证项目</v>
          </cell>
          <cell r="R1" t="str">
            <v>检验日期</v>
          </cell>
          <cell r="S1" t="str">
            <v>包装日期</v>
          </cell>
          <cell r="T1" t="str">
            <v>过帐日期</v>
          </cell>
          <cell r="U1" t="str">
            <v>生产订单</v>
          </cell>
          <cell r="V1" t="str">
            <v>配货人</v>
          </cell>
          <cell r="W1" t="str">
            <v>取消原因</v>
          </cell>
          <cell r="X1" t="str">
            <v>货位号</v>
          </cell>
          <cell r="Y1" t="str">
            <v>包装人</v>
          </cell>
          <cell r="Z1" t="str">
            <v>销售办公室</v>
          </cell>
          <cell r="AA1" t="str">
            <v>销售凭证</v>
          </cell>
          <cell r="AB1" t="str">
            <v>订单数量</v>
          </cell>
          <cell r="AC1" t="str">
            <v>调度令号码</v>
          </cell>
          <cell r="AD1" t="str">
            <v>价格</v>
          </cell>
          <cell r="AE1" t="str">
            <v>客户采购订单编号</v>
          </cell>
          <cell r="AF1" t="str">
            <v>销售订单行</v>
          </cell>
        </row>
        <row r="2">
          <cell r="B2" t="str">
            <v>7101105378</v>
          </cell>
          <cell r="C2" t="str">
            <v>G2509-3007</v>
          </cell>
          <cell r="D2" t="str">
            <v>000042944239129914</v>
          </cell>
          <cell r="E2" t="str">
            <v>双六角自锁螺母</v>
          </cell>
          <cell r="F2" t="str">
            <v>AS3552(B版)</v>
          </cell>
          <cell r="G2" t="str">
            <v>AS3552-11</v>
          </cell>
          <cell r="H2" t="str">
            <v>32-44HRC</v>
          </cell>
          <cell r="I2" t="str">
            <v>螺纹镀银</v>
          </cell>
          <cell r="J2" t="str">
            <v>Waspaloy</v>
          </cell>
          <cell r="K2">
            <v>6</v>
          </cell>
          <cell r="L2">
            <v>46134</v>
          </cell>
          <cell r="M2" t="str">
            <v>3-配货完成</v>
          </cell>
        </row>
        <row r="2">
          <cell r="O2">
            <v>0</v>
          </cell>
          <cell r="P2" t="str">
            <v>西安市西航集团莱特航空制造技术有限公司</v>
          </cell>
          <cell r="Q2" t="str">
            <v>290</v>
          </cell>
        </row>
        <row r="2">
          <cell r="U2" t="str">
            <v>010000868653</v>
          </cell>
          <cell r="V2" t="str">
            <v>BIAOQIAN2</v>
          </cell>
          <cell r="W2" t="str">
            <v/>
          </cell>
          <cell r="X2" t="str">
            <v>CP-27-2-1-5/6</v>
          </cell>
          <cell r="Y2" t="str">
            <v/>
          </cell>
          <cell r="Z2" t="str">
            <v>1915</v>
          </cell>
          <cell r="AA2" t="str">
            <v>1100163643</v>
          </cell>
          <cell r="AB2">
            <v>44</v>
          </cell>
          <cell r="AC2" t="str">
            <v/>
          </cell>
          <cell r="AD2">
            <v>46</v>
          </cell>
          <cell r="AE2" t="str">
            <v>G-100016847-260416-0020XH</v>
          </cell>
          <cell r="AF2" t="str">
            <v>1100163643/290</v>
          </cell>
        </row>
        <row r="3">
          <cell r="B3" t="str">
            <v>7101105378</v>
          </cell>
          <cell r="C3" t="str">
            <v>G2509-3007</v>
          </cell>
          <cell r="D3" t="str">
            <v>000042944239129914</v>
          </cell>
          <cell r="E3" t="str">
            <v>双六角自锁螺母</v>
          </cell>
          <cell r="F3" t="str">
            <v>AS3552(B版)</v>
          </cell>
          <cell r="G3" t="str">
            <v>AS3552-11</v>
          </cell>
          <cell r="H3" t="str">
            <v>32-44HRC</v>
          </cell>
          <cell r="I3" t="str">
            <v>螺纹镀银</v>
          </cell>
          <cell r="J3" t="str">
            <v>Waspaloy</v>
          </cell>
          <cell r="K3">
            <v>42</v>
          </cell>
          <cell r="L3">
            <v>46134</v>
          </cell>
          <cell r="M3" t="str">
            <v>3-配货完成</v>
          </cell>
        </row>
        <row r="3">
          <cell r="O3">
            <v>0</v>
          </cell>
          <cell r="P3" t="str">
            <v>西安市西航集团莱特航空制造技术有限公司</v>
          </cell>
          <cell r="Q3" t="str">
            <v>300</v>
          </cell>
        </row>
        <row r="3">
          <cell r="U3" t="str">
            <v>010000868653</v>
          </cell>
          <cell r="V3" t="str">
            <v>BIAOQIAN2</v>
          </cell>
          <cell r="W3" t="str">
            <v/>
          </cell>
          <cell r="X3" t="str">
            <v>CP-27-2-1-5/6</v>
          </cell>
          <cell r="Y3" t="str">
            <v/>
          </cell>
          <cell r="Z3" t="str">
            <v>1915</v>
          </cell>
          <cell r="AA3" t="str">
            <v>1100163643</v>
          </cell>
          <cell r="AB3">
            <v>42</v>
          </cell>
          <cell r="AC3" t="str">
            <v/>
          </cell>
          <cell r="AD3">
            <v>46</v>
          </cell>
          <cell r="AE3" t="str">
            <v>G-100016847-260416-0020XH</v>
          </cell>
          <cell r="AF3" t="str">
            <v>1100163643/300</v>
          </cell>
        </row>
        <row r="4">
          <cell r="B4" t="str">
            <v>7101105376</v>
          </cell>
          <cell r="C4" t="str">
            <v>G2507-1617</v>
          </cell>
          <cell r="D4" t="str">
            <v>000042944239129914</v>
          </cell>
          <cell r="E4" t="str">
            <v>双六角自锁螺母</v>
          </cell>
          <cell r="F4" t="str">
            <v>AS3552(B版)</v>
          </cell>
          <cell r="G4" t="str">
            <v>AS3552-11</v>
          </cell>
          <cell r="H4" t="str">
            <v>32-44HRC</v>
          </cell>
          <cell r="I4" t="str">
            <v>螺纹镀银</v>
          </cell>
          <cell r="J4" t="str">
            <v>UNSN07001</v>
          </cell>
          <cell r="K4">
            <v>64</v>
          </cell>
          <cell r="L4">
            <v>46134</v>
          </cell>
          <cell r="M4" t="str">
            <v>3-配货完成</v>
          </cell>
        </row>
        <row r="4">
          <cell r="O4">
            <v>0</v>
          </cell>
          <cell r="P4" t="str">
            <v>西安市西航集团莱特航空制造技术有限公司</v>
          </cell>
          <cell r="Q4" t="str">
            <v>280</v>
          </cell>
        </row>
        <row r="4">
          <cell r="U4" t="str">
            <v>010000847090</v>
          </cell>
          <cell r="V4" t="str">
            <v>BIAOQIAN1</v>
          </cell>
          <cell r="W4" t="str">
            <v/>
          </cell>
          <cell r="X4" t="str">
            <v>CP-31-3-1-6</v>
          </cell>
          <cell r="Y4" t="str">
            <v/>
          </cell>
          <cell r="Z4" t="str">
            <v>1915</v>
          </cell>
          <cell r="AA4" t="str">
            <v>1100163643</v>
          </cell>
          <cell r="AB4">
            <v>64</v>
          </cell>
          <cell r="AC4" t="str">
            <v/>
          </cell>
          <cell r="AD4">
            <v>46</v>
          </cell>
          <cell r="AE4" t="str">
            <v>G-100016847-260416-0020XH</v>
          </cell>
          <cell r="AF4" t="str">
            <v>1100163643/280</v>
          </cell>
        </row>
        <row r="5">
          <cell r="B5" t="str">
            <v>7101105376</v>
          </cell>
          <cell r="C5" t="str">
            <v>G2507-1617</v>
          </cell>
          <cell r="D5" t="str">
            <v>000042944239129914</v>
          </cell>
          <cell r="E5" t="str">
            <v>双六角自锁螺母</v>
          </cell>
          <cell r="F5" t="str">
            <v>AS3552(B版)</v>
          </cell>
          <cell r="G5" t="str">
            <v>AS3552-11</v>
          </cell>
          <cell r="H5" t="str">
            <v>32-44HRC</v>
          </cell>
          <cell r="I5" t="str">
            <v>螺纹镀银</v>
          </cell>
          <cell r="J5" t="str">
            <v>UNSN07001</v>
          </cell>
          <cell r="K5">
            <v>38</v>
          </cell>
          <cell r="L5">
            <v>46134</v>
          </cell>
          <cell r="M5" t="str">
            <v>3-配货完成</v>
          </cell>
        </row>
        <row r="5">
          <cell r="O5">
            <v>0</v>
          </cell>
          <cell r="P5" t="str">
            <v>西安市西航集团莱特航空制造技术有限公司</v>
          </cell>
          <cell r="Q5" t="str">
            <v>290</v>
          </cell>
        </row>
        <row r="5">
          <cell r="U5" t="str">
            <v>010000847090</v>
          </cell>
          <cell r="V5" t="str">
            <v>BIAOQIAN1</v>
          </cell>
          <cell r="W5" t="str">
            <v/>
          </cell>
          <cell r="X5" t="str">
            <v>CP-31-3-1-6</v>
          </cell>
          <cell r="Y5" t="str">
            <v/>
          </cell>
          <cell r="Z5" t="str">
            <v>1915</v>
          </cell>
          <cell r="AA5" t="str">
            <v>1100163643</v>
          </cell>
          <cell r="AB5">
            <v>44</v>
          </cell>
          <cell r="AC5" t="str">
            <v/>
          </cell>
          <cell r="AD5">
            <v>46</v>
          </cell>
          <cell r="AE5" t="str">
            <v>G-100016847-260416-0020XH</v>
          </cell>
          <cell r="AF5" t="str">
            <v>1100163643/290</v>
          </cell>
        </row>
        <row r="6">
          <cell r="B6" t="str">
            <v>7101105373</v>
          </cell>
          <cell r="C6" t="str">
            <v>G2511-0701</v>
          </cell>
          <cell r="D6" t="str">
            <v>000042944239133766</v>
          </cell>
          <cell r="E6" t="str">
            <v>十二角头扩展垫圈头螺栓</v>
          </cell>
          <cell r="F6" t="str">
            <v>MS9697</v>
          </cell>
          <cell r="G6" t="str">
            <v>14</v>
          </cell>
          <cell r="H6" t="str">
            <v>≥165KSI</v>
          </cell>
          <cell r="I6" t="str">
            <v/>
          </cell>
          <cell r="J6" t="str">
            <v>GH4738</v>
          </cell>
          <cell r="K6">
            <v>26</v>
          </cell>
          <cell r="L6">
            <v>46134</v>
          </cell>
          <cell r="M6" t="str">
            <v>3-配货完成</v>
          </cell>
        </row>
        <row r="6">
          <cell r="O6">
            <v>0</v>
          </cell>
          <cell r="P6" t="str">
            <v>西安市西航集团莱特航空制造技术有限公司</v>
          </cell>
          <cell r="Q6" t="str">
            <v>260</v>
          </cell>
        </row>
        <row r="6">
          <cell r="U6" t="str">
            <v>010000881924</v>
          </cell>
          <cell r="V6" t="str">
            <v>BIAOQIAN4</v>
          </cell>
          <cell r="W6" t="str">
            <v/>
          </cell>
          <cell r="X6" t="str">
            <v>CP-33-2-3-2</v>
          </cell>
          <cell r="Y6" t="str">
            <v/>
          </cell>
          <cell r="Z6" t="str">
            <v>1915</v>
          </cell>
          <cell r="AA6" t="str">
            <v>1100163643</v>
          </cell>
          <cell r="AB6">
            <v>26</v>
          </cell>
          <cell r="AC6" t="str">
            <v/>
          </cell>
          <cell r="AD6">
            <v>51.43</v>
          </cell>
          <cell r="AE6" t="str">
            <v>G-100016847-260416-0020XH</v>
          </cell>
          <cell r="AF6" t="str">
            <v>1100163643/260</v>
          </cell>
        </row>
        <row r="7">
          <cell r="B7" t="str">
            <v>7101105373</v>
          </cell>
          <cell r="C7" t="str">
            <v>G2511-0701</v>
          </cell>
          <cell r="D7" t="str">
            <v>000042944239133766</v>
          </cell>
          <cell r="E7" t="str">
            <v>十二角头扩展垫圈头螺栓</v>
          </cell>
          <cell r="F7" t="str">
            <v>MS9697</v>
          </cell>
          <cell r="G7" t="str">
            <v>14</v>
          </cell>
          <cell r="H7" t="str">
            <v>≥165KSI</v>
          </cell>
          <cell r="I7" t="str">
            <v/>
          </cell>
          <cell r="J7" t="str">
            <v>GH4738</v>
          </cell>
          <cell r="K7">
            <v>26</v>
          </cell>
          <cell r="L7">
            <v>46134</v>
          </cell>
          <cell r="M7" t="str">
            <v>3-配货完成</v>
          </cell>
        </row>
        <row r="7">
          <cell r="O7">
            <v>0</v>
          </cell>
          <cell r="P7" t="str">
            <v>西安市西航集团莱特航空制造技术有限公司</v>
          </cell>
          <cell r="Q7" t="str">
            <v>270</v>
          </cell>
        </row>
        <row r="7">
          <cell r="U7" t="str">
            <v>010000881924</v>
          </cell>
          <cell r="V7" t="str">
            <v>BIAOQIAN4</v>
          </cell>
          <cell r="W7" t="str">
            <v/>
          </cell>
          <cell r="X7" t="str">
            <v>CP-33-2-3-2</v>
          </cell>
          <cell r="Y7" t="str">
            <v/>
          </cell>
          <cell r="Z7" t="str">
            <v>1915</v>
          </cell>
          <cell r="AA7" t="str">
            <v>1100163643</v>
          </cell>
          <cell r="AB7">
            <v>26</v>
          </cell>
          <cell r="AC7" t="str">
            <v/>
          </cell>
          <cell r="AD7">
            <v>51.43</v>
          </cell>
          <cell r="AE7" t="str">
            <v>G-100016847-260416-0020XH</v>
          </cell>
          <cell r="AF7" t="str">
            <v>1100163643/270</v>
          </cell>
        </row>
        <row r="8">
          <cell r="B8" t="str">
            <v>7101105370</v>
          </cell>
          <cell r="C8" t="str">
            <v>G2601-1891</v>
          </cell>
          <cell r="D8" t="str">
            <v>000042944288155964</v>
          </cell>
          <cell r="E8" t="str">
            <v>双六角自锁螺母</v>
          </cell>
          <cell r="F8" t="str">
            <v>AS3552</v>
          </cell>
          <cell r="G8" t="str">
            <v>AS3552-10</v>
          </cell>
          <cell r="H8" t="str">
            <v>σb≥180KSI</v>
          </cell>
          <cell r="I8" t="str">
            <v>螺纹镀银</v>
          </cell>
          <cell r="J8" t="str">
            <v>GH4738</v>
          </cell>
          <cell r="K8">
            <v>26</v>
          </cell>
          <cell r="L8">
            <v>46134</v>
          </cell>
          <cell r="M8" t="str">
            <v>3-配货完成</v>
          </cell>
        </row>
        <row r="8">
          <cell r="O8">
            <v>0</v>
          </cell>
          <cell r="P8" t="str">
            <v>西安市西航集团莱特航空制造技术有限公司</v>
          </cell>
          <cell r="Q8" t="str">
            <v>240</v>
          </cell>
        </row>
        <row r="8">
          <cell r="U8" t="str">
            <v>010000906266</v>
          </cell>
          <cell r="V8" t="str">
            <v>BIAOQIAN2</v>
          </cell>
          <cell r="W8" t="str">
            <v/>
          </cell>
          <cell r="X8" t="str">
            <v>36-3-1-1</v>
          </cell>
          <cell r="Y8" t="str">
            <v/>
          </cell>
          <cell r="Z8" t="str">
            <v>1915</v>
          </cell>
          <cell r="AA8" t="str">
            <v>1100163643</v>
          </cell>
          <cell r="AB8">
            <v>26</v>
          </cell>
          <cell r="AC8" t="str">
            <v/>
          </cell>
          <cell r="AD8">
            <v>32.2</v>
          </cell>
          <cell r="AE8" t="str">
            <v>G-100016847-260416-0020XH</v>
          </cell>
          <cell r="AF8" t="str">
            <v>1100163643/240</v>
          </cell>
        </row>
        <row r="9">
          <cell r="B9" t="str">
            <v>7101105370</v>
          </cell>
          <cell r="C9" t="str">
            <v>G2601-1891</v>
          </cell>
          <cell r="D9" t="str">
            <v>000042944288155964</v>
          </cell>
          <cell r="E9" t="str">
            <v>双六角自锁螺母</v>
          </cell>
          <cell r="F9" t="str">
            <v>AS3552</v>
          </cell>
          <cell r="G9" t="str">
            <v>AS3552-10</v>
          </cell>
          <cell r="H9" t="str">
            <v>σb≥180KSI</v>
          </cell>
          <cell r="I9" t="str">
            <v>螺纹镀银</v>
          </cell>
          <cell r="J9" t="str">
            <v>GH4738</v>
          </cell>
          <cell r="K9">
            <v>26</v>
          </cell>
          <cell r="L9">
            <v>46134</v>
          </cell>
          <cell r="M9" t="str">
            <v>3-配货完成</v>
          </cell>
        </row>
        <row r="9">
          <cell r="O9">
            <v>0</v>
          </cell>
          <cell r="P9" t="str">
            <v>西安市西航集团莱特航空制造技术有限公司</v>
          </cell>
          <cell r="Q9" t="str">
            <v>250</v>
          </cell>
        </row>
        <row r="9">
          <cell r="U9" t="str">
            <v>010000906266</v>
          </cell>
          <cell r="V9" t="str">
            <v>BIAOQIAN2</v>
          </cell>
          <cell r="W9" t="str">
            <v/>
          </cell>
          <cell r="X9" t="str">
            <v>36-3-1-1</v>
          </cell>
          <cell r="Y9" t="str">
            <v/>
          </cell>
          <cell r="Z9" t="str">
            <v>1915</v>
          </cell>
          <cell r="AA9" t="str">
            <v>1100163643</v>
          </cell>
          <cell r="AB9">
            <v>26</v>
          </cell>
          <cell r="AC9" t="str">
            <v/>
          </cell>
          <cell r="AD9">
            <v>32.2</v>
          </cell>
          <cell r="AE9" t="str">
            <v>G-100016847-260416-0020XH</v>
          </cell>
          <cell r="AF9" t="str">
            <v>1100163643/250</v>
          </cell>
        </row>
        <row r="10">
          <cell r="B10" t="str">
            <v>7101105362</v>
          </cell>
          <cell r="C10" t="str">
            <v>G2603-1768</v>
          </cell>
          <cell r="D10" t="str">
            <v>000042944999145354</v>
          </cell>
          <cell r="E10" t="str">
            <v>熔焊型导管接嘴</v>
          </cell>
          <cell r="F10" t="str">
            <v>SPE8005</v>
          </cell>
          <cell r="G10" t="str">
            <v>CEE8005G-08B</v>
          </cell>
          <cell r="H10" t="str">
            <v/>
          </cell>
          <cell r="I10" t="str">
            <v/>
          </cell>
          <cell r="J10" t="str">
            <v>IN625</v>
          </cell>
          <cell r="K10">
            <v>3</v>
          </cell>
          <cell r="L10">
            <v>46134</v>
          </cell>
          <cell r="M10" t="str">
            <v>1-已打印</v>
          </cell>
        </row>
        <row r="10">
          <cell r="O10">
            <v>0</v>
          </cell>
          <cell r="P10" t="str">
            <v>西安市西航集团莱特航空制造技术有限公司</v>
          </cell>
          <cell r="Q10" t="str">
            <v>160</v>
          </cell>
        </row>
        <row r="10">
          <cell r="U10" t="str">
            <v>010000929964</v>
          </cell>
          <cell r="V10" t="str">
            <v/>
          </cell>
          <cell r="W10" t="str">
            <v/>
          </cell>
          <cell r="X10" t="str">
            <v>CP-8-4-2-6</v>
          </cell>
          <cell r="Y10" t="str">
            <v/>
          </cell>
          <cell r="Z10" t="str">
            <v>1915</v>
          </cell>
          <cell r="AA10" t="str">
            <v>1100163643</v>
          </cell>
          <cell r="AB10">
            <v>6</v>
          </cell>
          <cell r="AC10" t="str">
            <v/>
          </cell>
          <cell r="AD10">
            <v>76.11</v>
          </cell>
          <cell r="AE10" t="str">
            <v>G-100016847-260416-0020XH</v>
          </cell>
          <cell r="AF10" t="str">
            <v>1100163643/160</v>
          </cell>
        </row>
        <row r="11">
          <cell r="B11" t="str">
            <v>7101105340</v>
          </cell>
          <cell r="C11" t="str">
            <v>G2603-1768</v>
          </cell>
          <cell r="D11" t="str">
            <v>000042944999145354</v>
          </cell>
          <cell r="E11" t="str">
            <v>熔焊型导管接嘴</v>
          </cell>
          <cell r="F11" t="str">
            <v>SPE8005</v>
          </cell>
          <cell r="G11" t="str">
            <v>CEE8005G-08B</v>
          </cell>
          <cell r="H11" t="str">
            <v/>
          </cell>
          <cell r="I11" t="str">
            <v/>
          </cell>
          <cell r="J11" t="str">
            <v>IN625</v>
          </cell>
          <cell r="K11">
            <v>3</v>
          </cell>
          <cell r="L11">
            <v>46134</v>
          </cell>
          <cell r="M11" t="str">
            <v>3-配货完成</v>
          </cell>
        </row>
        <row r="11">
          <cell r="O11">
            <v>0</v>
          </cell>
          <cell r="P11" t="str">
            <v>西安市西航集团莱特航空制造技术有限公司</v>
          </cell>
          <cell r="Q11" t="str">
            <v>130</v>
          </cell>
        </row>
        <row r="11">
          <cell r="U11" t="str">
            <v>010000929964</v>
          </cell>
          <cell r="V11" t="str">
            <v>BIAOQIAN2</v>
          </cell>
          <cell r="W11" t="str">
            <v/>
          </cell>
          <cell r="X11" t="str">
            <v>CP-8-4-2-6</v>
          </cell>
          <cell r="Y11" t="str">
            <v/>
          </cell>
          <cell r="Z11" t="str">
            <v>1915</v>
          </cell>
          <cell r="AA11" t="str">
            <v>1100163643</v>
          </cell>
          <cell r="AB11">
            <v>3</v>
          </cell>
          <cell r="AC11" t="str">
            <v/>
          </cell>
          <cell r="AD11">
            <v>76.11</v>
          </cell>
          <cell r="AE11" t="str">
            <v>G-100016847-260416-0020XH</v>
          </cell>
          <cell r="AF11" t="str">
            <v>1100163643/130</v>
          </cell>
        </row>
        <row r="12">
          <cell r="B12" t="str">
            <v>7101105340</v>
          </cell>
          <cell r="C12" t="str">
            <v>G2603-1768</v>
          </cell>
          <cell r="D12" t="str">
            <v>000042944999145354</v>
          </cell>
          <cell r="E12" t="str">
            <v>熔焊型导管接嘴</v>
          </cell>
          <cell r="F12" t="str">
            <v>SPE8005</v>
          </cell>
          <cell r="G12" t="str">
            <v>CEE8005G-08B</v>
          </cell>
          <cell r="H12" t="str">
            <v/>
          </cell>
          <cell r="I12" t="str">
            <v/>
          </cell>
          <cell r="J12" t="str">
            <v>IN625</v>
          </cell>
          <cell r="K12">
            <v>3</v>
          </cell>
          <cell r="L12">
            <v>46134</v>
          </cell>
          <cell r="M12" t="str">
            <v>3-配货完成</v>
          </cell>
        </row>
        <row r="12">
          <cell r="O12">
            <v>0</v>
          </cell>
          <cell r="P12" t="str">
            <v>西安市西航集团莱特航空制造技术有限公司</v>
          </cell>
          <cell r="Q12" t="str">
            <v>140</v>
          </cell>
        </row>
        <row r="12">
          <cell r="U12" t="str">
            <v>010000929964</v>
          </cell>
          <cell r="V12" t="str">
            <v>BIAOQIAN2</v>
          </cell>
          <cell r="W12" t="str">
            <v/>
          </cell>
          <cell r="X12" t="str">
            <v>CP-8-4-2-6</v>
          </cell>
          <cell r="Y12" t="str">
            <v/>
          </cell>
          <cell r="Z12" t="str">
            <v>1915</v>
          </cell>
          <cell r="AA12" t="str">
            <v>1100163643</v>
          </cell>
          <cell r="AB12">
            <v>3</v>
          </cell>
          <cell r="AC12" t="str">
            <v/>
          </cell>
          <cell r="AD12">
            <v>76.11</v>
          </cell>
          <cell r="AE12" t="str">
            <v>G-100016847-260416-0020XH</v>
          </cell>
          <cell r="AF12" t="str">
            <v>1100163643/140</v>
          </cell>
        </row>
        <row r="13">
          <cell r="B13" t="str">
            <v>7101105340</v>
          </cell>
          <cell r="C13" t="str">
            <v>G2603-1768</v>
          </cell>
          <cell r="D13" t="str">
            <v>000042944999145354</v>
          </cell>
          <cell r="E13" t="str">
            <v>熔焊型导管接嘴</v>
          </cell>
          <cell r="F13" t="str">
            <v>SPE8005</v>
          </cell>
          <cell r="G13" t="str">
            <v>CEE8005G-08B</v>
          </cell>
          <cell r="H13" t="str">
            <v/>
          </cell>
          <cell r="I13" t="str">
            <v/>
          </cell>
          <cell r="J13" t="str">
            <v>IN625</v>
          </cell>
          <cell r="K13">
            <v>3</v>
          </cell>
          <cell r="L13">
            <v>46134</v>
          </cell>
          <cell r="M13" t="str">
            <v>3-配货完成</v>
          </cell>
        </row>
        <row r="13">
          <cell r="O13">
            <v>0</v>
          </cell>
          <cell r="P13" t="str">
            <v>西安市西航集团莱特航空制造技术有限公司</v>
          </cell>
          <cell r="Q13" t="str">
            <v>150</v>
          </cell>
        </row>
        <row r="13">
          <cell r="U13" t="str">
            <v>010000929964</v>
          </cell>
          <cell r="V13" t="str">
            <v>BIAOQIAN2</v>
          </cell>
          <cell r="W13" t="str">
            <v/>
          </cell>
          <cell r="X13" t="str">
            <v>CP-8-4-2-6</v>
          </cell>
          <cell r="Y13" t="str">
            <v/>
          </cell>
          <cell r="Z13" t="str">
            <v>1915</v>
          </cell>
          <cell r="AA13" t="str">
            <v>1100163643</v>
          </cell>
          <cell r="AB13">
            <v>3</v>
          </cell>
          <cell r="AC13" t="str">
            <v/>
          </cell>
          <cell r="AD13">
            <v>76.11</v>
          </cell>
          <cell r="AE13" t="str">
            <v>G-100016847-260416-0020XH</v>
          </cell>
          <cell r="AF13" t="str">
            <v>1100163643/150</v>
          </cell>
        </row>
        <row r="14">
          <cell r="B14" t="str">
            <v>7101105340</v>
          </cell>
          <cell r="C14" t="str">
            <v>G2603-1768</v>
          </cell>
          <cell r="D14" t="str">
            <v>000042944999145354</v>
          </cell>
          <cell r="E14" t="str">
            <v>熔焊型导管接嘴</v>
          </cell>
          <cell r="F14" t="str">
            <v>SPE8005</v>
          </cell>
          <cell r="G14" t="str">
            <v>CEE8005G-08B</v>
          </cell>
          <cell r="H14" t="str">
            <v/>
          </cell>
          <cell r="I14" t="str">
            <v/>
          </cell>
          <cell r="J14" t="str">
            <v>IN625</v>
          </cell>
          <cell r="K14">
            <v>3</v>
          </cell>
          <cell r="L14">
            <v>46134</v>
          </cell>
          <cell r="M14" t="str">
            <v>3-配货完成</v>
          </cell>
        </row>
        <row r="14">
          <cell r="O14">
            <v>0</v>
          </cell>
          <cell r="P14" t="str">
            <v>西安市西航集团莱特航空制造技术有限公司</v>
          </cell>
          <cell r="Q14" t="str">
            <v>160</v>
          </cell>
        </row>
        <row r="14">
          <cell r="U14" t="str">
            <v>010000929964</v>
          </cell>
          <cell r="V14" t="str">
            <v>BIAOQIAN2</v>
          </cell>
          <cell r="W14" t="str">
            <v/>
          </cell>
          <cell r="X14" t="str">
            <v>CP-8-4-2-6</v>
          </cell>
          <cell r="Y14" t="str">
            <v/>
          </cell>
          <cell r="Z14" t="str">
            <v>1915</v>
          </cell>
          <cell r="AA14" t="str">
            <v>1100163643</v>
          </cell>
          <cell r="AB14">
            <v>6</v>
          </cell>
          <cell r="AC14" t="str">
            <v/>
          </cell>
          <cell r="AD14">
            <v>76.11</v>
          </cell>
          <cell r="AE14" t="str">
            <v>G-100016847-260416-0020XH</v>
          </cell>
          <cell r="AF14" t="str">
            <v>1100163643/160</v>
          </cell>
        </row>
        <row r="15">
          <cell r="B15" t="str">
            <v>7101105338</v>
          </cell>
          <cell r="C15" t="str">
            <v>G2512-2321</v>
          </cell>
          <cell r="D15" t="str">
            <v>000042944999145539</v>
          </cell>
          <cell r="E15" t="str">
            <v>球形导管接头</v>
          </cell>
          <cell r="F15" t="str">
            <v>SPE8004</v>
          </cell>
          <cell r="G15" t="str">
            <v>CEE8004G-06B</v>
          </cell>
          <cell r="H15" t="str">
            <v/>
          </cell>
          <cell r="I15" t="str">
            <v/>
          </cell>
          <cell r="J15" t="str">
            <v>IN625</v>
          </cell>
          <cell r="K15">
            <v>2</v>
          </cell>
          <cell r="L15">
            <v>46134</v>
          </cell>
          <cell r="M15" t="str">
            <v>3-配货完成</v>
          </cell>
        </row>
        <row r="15">
          <cell r="O15">
            <v>0</v>
          </cell>
          <cell r="P15" t="str">
            <v>西安市西航集团莱特航空制造技术有限公司</v>
          </cell>
          <cell r="Q15" t="str">
            <v>50</v>
          </cell>
        </row>
        <row r="15">
          <cell r="U15" t="str">
            <v>010000898807</v>
          </cell>
          <cell r="V15" t="str">
            <v>BIAOQIAN2</v>
          </cell>
          <cell r="W15" t="str">
            <v/>
          </cell>
          <cell r="X15" t="str">
            <v>CP-11-3-7-6</v>
          </cell>
          <cell r="Y15" t="str">
            <v/>
          </cell>
          <cell r="Z15" t="str">
            <v>1915</v>
          </cell>
          <cell r="AA15" t="str">
            <v>1100163643</v>
          </cell>
          <cell r="AB15">
            <v>2</v>
          </cell>
          <cell r="AC15" t="str">
            <v/>
          </cell>
          <cell r="AD15">
            <v>37</v>
          </cell>
          <cell r="AE15" t="str">
            <v>G-100016847-260416-0020XH</v>
          </cell>
          <cell r="AF15" t="str">
            <v>1100163643/50</v>
          </cell>
        </row>
        <row r="16">
          <cell r="B16" t="str">
            <v>7101105338</v>
          </cell>
          <cell r="C16" t="str">
            <v>G2512-2321</v>
          </cell>
          <cell r="D16" t="str">
            <v>000042944999145539</v>
          </cell>
          <cell r="E16" t="str">
            <v>球形导管接头</v>
          </cell>
          <cell r="F16" t="str">
            <v>SPE8004</v>
          </cell>
          <cell r="G16" t="str">
            <v>CEE8004G-06B</v>
          </cell>
          <cell r="H16" t="str">
            <v/>
          </cell>
          <cell r="I16" t="str">
            <v/>
          </cell>
          <cell r="J16" t="str">
            <v>IN625</v>
          </cell>
          <cell r="K16">
            <v>2</v>
          </cell>
          <cell r="L16">
            <v>46134</v>
          </cell>
          <cell r="M16" t="str">
            <v>3-配货完成</v>
          </cell>
        </row>
        <row r="16">
          <cell r="O16">
            <v>0</v>
          </cell>
          <cell r="P16" t="str">
            <v>西安市西航集团莱特航空制造技术有限公司</v>
          </cell>
          <cell r="Q16" t="str">
            <v>60</v>
          </cell>
        </row>
        <row r="16">
          <cell r="U16" t="str">
            <v>010000898807</v>
          </cell>
          <cell r="V16" t="str">
            <v>BIAOQIAN2</v>
          </cell>
          <cell r="W16" t="str">
            <v/>
          </cell>
          <cell r="X16" t="str">
            <v>CP-11-3-7-6</v>
          </cell>
          <cell r="Y16" t="str">
            <v/>
          </cell>
          <cell r="Z16" t="str">
            <v>1915</v>
          </cell>
          <cell r="AA16" t="str">
            <v>1100163643</v>
          </cell>
          <cell r="AB16">
            <v>2</v>
          </cell>
          <cell r="AC16" t="str">
            <v/>
          </cell>
          <cell r="AD16">
            <v>37</v>
          </cell>
          <cell r="AE16" t="str">
            <v>G-100016847-260416-0020XH</v>
          </cell>
          <cell r="AF16" t="str">
            <v>1100163643/60</v>
          </cell>
        </row>
        <row r="17">
          <cell r="B17" t="str">
            <v>7101105338</v>
          </cell>
          <cell r="C17" t="str">
            <v>G2512-2321</v>
          </cell>
          <cell r="D17" t="str">
            <v>000042944999145539</v>
          </cell>
          <cell r="E17" t="str">
            <v>球形导管接头</v>
          </cell>
          <cell r="F17" t="str">
            <v>SPE8004</v>
          </cell>
          <cell r="G17" t="str">
            <v>CEE8004G-06B</v>
          </cell>
          <cell r="H17" t="str">
            <v/>
          </cell>
          <cell r="I17" t="str">
            <v/>
          </cell>
          <cell r="J17" t="str">
            <v>IN625</v>
          </cell>
          <cell r="K17">
            <v>4</v>
          </cell>
          <cell r="L17">
            <v>46134</v>
          </cell>
          <cell r="M17" t="str">
            <v>3-配货完成</v>
          </cell>
        </row>
        <row r="17">
          <cell r="O17">
            <v>0</v>
          </cell>
          <cell r="P17" t="str">
            <v>西安市西航集团莱特航空制造技术有限公司</v>
          </cell>
          <cell r="Q17" t="str">
            <v>80</v>
          </cell>
        </row>
        <row r="17">
          <cell r="U17" t="str">
            <v>010000898807</v>
          </cell>
          <cell r="V17" t="str">
            <v>BIAOQIAN2</v>
          </cell>
          <cell r="W17" t="str">
            <v/>
          </cell>
          <cell r="X17" t="str">
            <v>CP-11-3-7-6</v>
          </cell>
          <cell r="Y17" t="str">
            <v/>
          </cell>
          <cell r="Z17" t="str">
            <v>1915</v>
          </cell>
          <cell r="AA17" t="str">
            <v>1100163643</v>
          </cell>
          <cell r="AB17">
            <v>4</v>
          </cell>
          <cell r="AC17" t="str">
            <v/>
          </cell>
          <cell r="AD17">
            <v>37</v>
          </cell>
          <cell r="AE17" t="str">
            <v>G-100016847-260416-0020XH</v>
          </cell>
          <cell r="AF17" t="str">
            <v>1100163643/80</v>
          </cell>
        </row>
        <row r="18">
          <cell r="B18" t="str">
            <v>7101105338</v>
          </cell>
          <cell r="C18" t="str">
            <v>G2512-2321</v>
          </cell>
          <cell r="D18" t="str">
            <v>000042944999145539</v>
          </cell>
          <cell r="E18" t="str">
            <v>球形导管接头</v>
          </cell>
          <cell r="F18" t="str">
            <v>SPE8004</v>
          </cell>
          <cell r="G18" t="str">
            <v>CEE8004G-06B</v>
          </cell>
          <cell r="H18" t="str">
            <v/>
          </cell>
          <cell r="I18" t="str">
            <v/>
          </cell>
          <cell r="J18" t="str">
            <v>IN625</v>
          </cell>
          <cell r="K18">
            <v>2</v>
          </cell>
          <cell r="L18">
            <v>46134</v>
          </cell>
          <cell r="M18" t="str">
            <v>3-配货完成</v>
          </cell>
        </row>
        <row r="18">
          <cell r="O18">
            <v>0</v>
          </cell>
          <cell r="P18" t="str">
            <v>西安市西航集团莱特航空制造技术有限公司</v>
          </cell>
          <cell r="Q18" t="str">
            <v>70</v>
          </cell>
        </row>
        <row r="18">
          <cell r="U18" t="str">
            <v>010000898807</v>
          </cell>
          <cell r="V18" t="str">
            <v>BIAOQIAN2</v>
          </cell>
          <cell r="W18" t="str">
            <v/>
          </cell>
          <cell r="X18" t="str">
            <v>CP-11-3-7-6</v>
          </cell>
          <cell r="Y18" t="str">
            <v/>
          </cell>
          <cell r="Z18" t="str">
            <v>1915</v>
          </cell>
          <cell r="AA18" t="str">
            <v>1100163643</v>
          </cell>
          <cell r="AB18">
            <v>2</v>
          </cell>
          <cell r="AC18" t="str">
            <v/>
          </cell>
          <cell r="AD18">
            <v>37</v>
          </cell>
          <cell r="AE18" t="str">
            <v>G-100016847-260416-0020XH</v>
          </cell>
          <cell r="AF18" t="str">
            <v>1100163643/70</v>
          </cell>
        </row>
        <row r="19">
          <cell r="B19" t="str">
            <v>7101105337</v>
          </cell>
          <cell r="C19" t="str">
            <v>G2511-1044</v>
          </cell>
          <cell r="D19" t="str">
            <v>000042944999145540</v>
          </cell>
          <cell r="E19" t="str">
            <v>球形导管接头</v>
          </cell>
          <cell r="F19" t="str">
            <v>SPE8004</v>
          </cell>
          <cell r="G19" t="str">
            <v>CEE8004G-08B</v>
          </cell>
          <cell r="H19" t="str">
            <v/>
          </cell>
          <cell r="I19" t="str">
            <v/>
          </cell>
          <cell r="J19" t="str">
            <v>IN625</v>
          </cell>
          <cell r="K19">
            <v>3</v>
          </cell>
          <cell r="L19">
            <v>46134</v>
          </cell>
          <cell r="M19" t="str">
            <v>4-检验完成</v>
          </cell>
        </row>
        <row r="19">
          <cell r="O19">
            <v>0</v>
          </cell>
          <cell r="P19" t="str">
            <v>西安市西航集团莱特航空制造技术有限公司</v>
          </cell>
          <cell r="Q19" t="str">
            <v>10</v>
          </cell>
          <cell r="R19">
            <v>46136</v>
          </cell>
        </row>
        <row r="19">
          <cell r="U19" t="str">
            <v>010000883770</v>
          </cell>
          <cell r="V19" t="str">
            <v>BIAOQIAN4</v>
          </cell>
          <cell r="W19" t="str">
            <v/>
          </cell>
          <cell r="X19" t="str">
            <v>CP-44-2-4-6</v>
          </cell>
          <cell r="Y19" t="str">
            <v/>
          </cell>
          <cell r="Z19" t="str">
            <v>1915</v>
          </cell>
          <cell r="AA19" t="str">
            <v>1100163643</v>
          </cell>
          <cell r="AB19">
            <v>3</v>
          </cell>
          <cell r="AC19" t="str">
            <v/>
          </cell>
          <cell r="AD19">
            <v>69</v>
          </cell>
          <cell r="AE19" t="str">
            <v>G-100016847-260416-0020XH</v>
          </cell>
          <cell r="AF19" t="str">
            <v>1100163643/10</v>
          </cell>
        </row>
        <row r="20">
          <cell r="B20" t="str">
            <v>7101105337</v>
          </cell>
          <cell r="C20" t="str">
            <v>G2511-1044</v>
          </cell>
          <cell r="D20" t="str">
            <v>000042944999145540</v>
          </cell>
          <cell r="E20" t="str">
            <v>球形导管接头</v>
          </cell>
          <cell r="F20" t="str">
            <v>SPE8004</v>
          </cell>
          <cell r="G20" t="str">
            <v>CEE8004G-08B</v>
          </cell>
          <cell r="H20" t="str">
            <v/>
          </cell>
          <cell r="I20" t="str">
            <v/>
          </cell>
          <cell r="J20" t="str">
            <v>IN625</v>
          </cell>
          <cell r="K20">
            <v>3</v>
          </cell>
          <cell r="L20">
            <v>46134</v>
          </cell>
          <cell r="M20" t="str">
            <v>4-检验完成</v>
          </cell>
        </row>
        <row r="20">
          <cell r="O20">
            <v>0</v>
          </cell>
          <cell r="P20" t="str">
            <v>西安市西航集团莱特航空制造技术有限公司</v>
          </cell>
          <cell r="Q20" t="str">
            <v>20</v>
          </cell>
          <cell r="R20">
            <v>46136</v>
          </cell>
        </row>
        <row r="20">
          <cell r="U20" t="str">
            <v>010000883770</v>
          </cell>
          <cell r="V20" t="str">
            <v>BIAOQIAN4</v>
          </cell>
          <cell r="W20" t="str">
            <v/>
          </cell>
          <cell r="X20" t="str">
            <v>CP-44-2-4-6</v>
          </cell>
          <cell r="Y20" t="str">
            <v/>
          </cell>
          <cell r="Z20" t="str">
            <v>1915</v>
          </cell>
          <cell r="AA20" t="str">
            <v>1100163643</v>
          </cell>
          <cell r="AB20">
            <v>3</v>
          </cell>
          <cell r="AC20" t="str">
            <v/>
          </cell>
          <cell r="AD20">
            <v>69</v>
          </cell>
          <cell r="AE20" t="str">
            <v>G-100016847-260416-0020XH</v>
          </cell>
          <cell r="AF20" t="str">
            <v>1100163643/20</v>
          </cell>
        </row>
        <row r="21">
          <cell r="B21" t="str">
            <v>7101105337</v>
          </cell>
          <cell r="C21" t="str">
            <v>G2511-1044</v>
          </cell>
          <cell r="D21" t="str">
            <v>000042944999145540</v>
          </cell>
          <cell r="E21" t="str">
            <v>球形导管接头</v>
          </cell>
          <cell r="F21" t="str">
            <v>SPE8004</v>
          </cell>
          <cell r="G21" t="str">
            <v>CEE8004G-08B</v>
          </cell>
          <cell r="H21" t="str">
            <v/>
          </cell>
          <cell r="I21" t="str">
            <v/>
          </cell>
          <cell r="J21" t="str">
            <v>IN625</v>
          </cell>
          <cell r="K21">
            <v>3</v>
          </cell>
          <cell r="L21">
            <v>46134</v>
          </cell>
          <cell r="M21" t="str">
            <v>4-检验完成</v>
          </cell>
        </row>
        <row r="21">
          <cell r="O21">
            <v>0</v>
          </cell>
          <cell r="P21" t="str">
            <v>西安市西航集团莱特航空制造技术有限公司</v>
          </cell>
          <cell r="Q21" t="str">
            <v>30</v>
          </cell>
          <cell r="R21">
            <v>46136</v>
          </cell>
        </row>
        <row r="21">
          <cell r="U21" t="str">
            <v>010000883770</v>
          </cell>
          <cell r="V21" t="str">
            <v>BIAOQIAN4</v>
          </cell>
          <cell r="W21" t="str">
            <v/>
          </cell>
          <cell r="X21" t="str">
            <v>CP-44-2-4-6</v>
          </cell>
          <cell r="Y21" t="str">
            <v/>
          </cell>
          <cell r="Z21" t="str">
            <v>1915</v>
          </cell>
          <cell r="AA21" t="str">
            <v>1100163643</v>
          </cell>
          <cell r="AB21">
            <v>3</v>
          </cell>
          <cell r="AC21" t="str">
            <v/>
          </cell>
          <cell r="AD21">
            <v>69</v>
          </cell>
          <cell r="AE21" t="str">
            <v>G-100016847-260416-0020XH</v>
          </cell>
          <cell r="AF21" t="str">
            <v>1100163643/30</v>
          </cell>
        </row>
        <row r="22">
          <cell r="B22" t="str">
            <v>7101105337</v>
          </cell>
          <cell r="C22" t="str">
            <v>G2511-1044</v>
          </cell>
          <cell r="D22" t="str">
            <v>000042944999145540</v>
          </cell>
          <cell r="E22" t="str">
            <v>球形导管接头</v>
          </cell>
          <cell r="F22" t="str">
            <v>SPE8004</v>
          </cell>
          <cell r="G22" t="str">
            <v>CEE8004G-08B</v>
          </cell>
          <cell r="H22" t="str">
            <v/>
          </cell>
          <cell r="I22" t="str">
            <v/>
          </cell>
          <cell r="J22" t="str">
            <v>IN625</v>
          </cell>
          <cell r="K22">
            <v>6</v>
          </cell>
          <cell r="L22">
            <v>46134</v>
          </cell>
          <cell r="M22" t="str">
            <v>4-检验完成</v>
          </cell>
        </row>
        <row r="22">
          <cell r="O22">
            <v>0</v>
          </cell>
          <cell r="P22" t="str">
            <v>西安市西航集团莱特航空制造技术有限公司</v>
          </cell>
          <cell r="Q22" t="str">
            <v>40</v>
          </cell>
          <cell r="R22">
            <v>46136</v>
          </cell>
        </row>
        <row r="22">
          <cell r="U22" t="str">
            <v>010000883770</v>
          </cell>
          <cell r="V22" t="str">
            <v>BIAOQIAN4</v>
          </cell>
          <cell r="W22" t="str">
            <v/>
          </cell>
          <cell r="X22" t="str">
            <v>CP-44-2-4-6</v>
          </cell>
          <cell r="Y22" t="str">
            <v/>
          </cell>
          <cell r="Z22" t="str">
            <v>1915</v>
          </cell>
          <cell r="AA22" t="str">
            <v>1100163643</v>
          </cell>
          <cell r="AB22">
            <v>6</v>
          </cell>
          <cell r="AC22" t="str">
            <v/>
          </cell>
          <cell r="AD22">
            <v>69</v>
          </cell>
          <cell r="AE22" t="str">
            <v>G-100016847-260416-0020XH</v>
          </cell>
          <cell r="AF22" t="str">
            <v>1100163643/40</v>
          </cell>
        </row>
      </sheetData>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陕西飞机工业"/>
      <sheetName val="库房"/>
      <sheetName val="采购"/>
      <sheetName val="Sheet3"/>
      <sheetName val="匹配数据"/>
      <sheetName val="客户批次"/>
    </sheetNames>
    <sheetDataSet>
      <sheetData sheetId="0" refreshError="1"/>
      <sheetData sheetId="1" refreshError="1"/>
      <sheetData sheetId="2" refreshError="1"/>
      <sheetData sheetId="3" refreshError="1"/>
      <sheetData sheetId="4">
        <row r="1">
          <cell r="B1" t="str">
            <v>提货单号</v>
          </cell>
          <cell r="C1" t="str">
            <v>批号</v>
          </cell>
          <cell r="D1" t="str">
            <v>物料编号</v>
          </cell>
          <cell r="E1" t="str">
            <v>物品名称</v>
          </cell>
          <cell r="F1" t="str">
            <v>采用标准</v>
          </cell>
          <cell r="G1" t="str">
            <v>规格</v>
          </cell>
          <cell r="H1" t="str">
            <v>性能等级</v>
          </cell>
          <cell r="I1" t="str">
            <v>表面处理</v>
          </cell>
          <cell r="J1" t="str">
            <v>材质</v>
          </cell>
          <cell r="K1" t="str">
            <v>已提货数量</v>
          </cell>
          <cell r="L1" t="str">
            <v>提货创建日期</v>
          </cell>
          <cell r="M1" t="str">
            <v>提货单状态</v>
          </cell>
          <cell r="N1" t="str">
            <v>运单回填日期</v>
          </cell>
          <cell r="O1" t="str">
            <v>运单回填时间</v>
          </cell>
          <cell r="P1" t="str">
            <v>售达方描述</v>
          </cell>
          <cell r="Q1" t="str">
            <v>销售凭证项目</v>
          </cell>
          <cell r="R1" t="str">
            <v>检验日期</v>
          </cell>
          <cell r="S1" t="str">
            <v>包装日期</v>
          </cell>
          <cell r="T1" t="str">
            <v>过帐日期</v>
          </cell>
          <cell r="U1" t="str">
            <v>生产订单</v>
          </cell>
          <cell r="V1" t="str">
            <v>配货人</v>
          </cell>
          <cell r="W1" t="str">
            <v>取消原因</v>
          </cell>
          <cell r="X1" t="str">
            <v>货位号</v>
          </cell>
          <cell r="Y1" t="str">
            <v>包装人</v>
          </cell>
          <cell r="Z1" t="str">
            <v>销售办公室</v>
          </cell>
          <cell r="AA1" t="str">
            <v>销售凭证</v>
          </cell>
          <cell r="AB1" t="str">
            <v>订单数量</v>
          </cell>
          <cell r="AC1" t="str">
            <v>调度令号码</v>
          </cell>
          <cell r="AD1" t="str">
            <v>价格</v>
          </cell>
          <cell r="AE1" t="str">
            <v>客户采购订单编号</v>
          </cell>
          <cell r="AF1" t="str">
            <v>销售订单行</v>
          </cell>
        </row>
        <row r="2">
          <cell r="B2" t="str">
            <v>7101104702</v>
          </cell>
          <cell r="C2" t="str">
            <v>G2602-0264</v>
          </cell>
          <cell r="D2" t="str">
            <v>000042944000134149</v>
          </cell>
          <cell r="E2" t="str">
            <v>1/8英寸沉头注油嘴</v>
          </cell>
          <cell r="F2" t="str">
            <v>YSD601-1N</v>
          </cell>
          <cell r="G2" t="str">
            <v/>
          </cell>
          <cell r="H2" t="str">
            <v/>
          </cell>
          <cell r="I2" t="str">
            <v/>
          </cell>
          <cell r="J2" t="str">
            <v>组件</v>
          </cell>
          <cell r="K2">
            <v>186</v>
          </cell>
          <cell r="L2">
            <v>46133</v>
          </cell>
          <cell r="M2" t="str">
            <v>3-配货完成</v>
          </cell>
        </row>
        <row r="2">
          <cell r="O2">
            <v>0</v>
          </cell>
          <cell r="P2" t="str">
            <v>中航西安飞机工业集团股份有限公司</v>
          </cell>
          <cell r="Q2" t="str">
            <v>20</v>
          </cell>
        </row>
        <row r="2">
          <cell r="U2" t="str">
            <v>010000911509</v>
          </cell>
          <cell r="V2" t="str">
            <v>BIAOQIAN2</v>
          </cell>
          <cell r="W2" t="str">
            <v/>
          </cell>
          <cell r="X2" t="str">
            <v>CP-108-A</v>
          </cell>
          <cell r="Y2" t="str">
            <v/>
          </cell>
          <cell r="Z2" t="str">
            <v>1915</v>
          </cell>
          <cell r="AA2" t="str">
            <v>1100140058</v>
          </cell>
          <cell r="AB2">
            <v>550</v>
          </cell>
          <cell r="AC2" t="str">
            <v/>
          </cell>
          <cell r="AD2">
            <v>60</v>
          </cell>
          <cell r="AE2" t="str">
            <v>G-100003643-250108-0014</v>
          </cell>
          <cell r="AF2" t="str">
            <v>1100140058/20</v>
          </cell>
        </row>
        <row r="3">
          <cell r="B3" t="str">
            <v>7101104130</v>
          </cell>
          <cell r="C3" t="str">
            <v>G2602-0570</v>
          </cell>
          <cell r="D3" t="str">
            <v>000042944320104783</v>
          </cell>
          <cell r="E3" t="str">
            <v>90°埋头铆钉</v>
          </cell>
          <cell r="F3" t="str">
            <v>4A1-106-2.6×6</v>
          </cell>
          <cell r="G3" t="str">
            <v/>
          </cell>
          <cell r="H3" t="str">
            <v>τ≥245MPa</v>
          </cell>
          <cell r="I3" t="str">
            <v>Ct·O</v>
          </cell>
          <cell r="J3" t="str">
            <v>2A10</v>
          </cell>
          <cell r="K3">
            <v>6040</v>
          </cell>
          <cell r="L3">
            <v>46132</v>
          </cell>
          <cell r="M3" t="str">
            <v>4-检验完成</v>
          </cell>
        </row>
        <row r="3">
          <cell r="O3">
            <v>0</v>
          </cell>
          <cell r="P3" t="str">
            <v>中航西安飞机工业集团股份有限公司</v>
          </cell>
          <cell r="Q3" t="str">
            <v>10</v>
          </cell>
          <cell r="R3">
            <v>46133</v>
          </cell>
        </row>
        <row r="3">
          <cell r="U3" t="str">
            <v>010000912678</v>
          </cell>
          <cell r="V3" t="str">
            <v>BIAOQIAN2</v>
          </cell>
          <cell r="W3" t="str">
            <v/>
          </cell>
          <cell r="X3" t="str">
            <v>CP-108-A</v>
          </cell>
          <cell r="Y3" t="str">
            <v/>
          </cell>
          <cell r="Z3" t="str">
            <v>1915</v>
          </cell>
          <cell r="AA3" t="str">
            <v>1100159261</v>
          </cell>
          <cell r="AB3">
            <v>6040</v>
          </cell>
          <cell r="AC3" t="str">
            <v/>
          </cell>
          <cell r="AD3">
            <v>0.2</v>
          </cell>
          <cell r="AE3" t="str">
            <v>G-100003643-260119-0051</v>
          </cell>
          <cell r="AF3" t="str">
            <v>1100159261/10</v>
          </cell>
        </row>
        <row r="4">
          <cell r="B4" t="str">
            <v>7101092570</v>
          </cell>
          <cell r="C4" t="str">
            <v>G2602-0895</v>
          </cell>
          <cell r="D4" t="str">
            <v>000042944288001535</v>
          </cell>
          <cell r="E4" t="str">
            <v>气密双耳托板自锁螺母</v>
          </cell>
          <cell r="F4" t="str">
            <v>4A1-45-8</v>
          </cell>
          <cell r="G4" t="str">
            <v/>
          </cell>
          <cell r="H4" t="str">
            <v/>
          </cell>
          <cell r="I4" t="str">
            <v/>
          </cell>
          <cell r="J4" t="str">
            <v>组件(ML18/5870)</v>
          </cell>
          <cell r="K4">
            <v>77</v>
          </cell>
          <cell r="L4">
            <v>46106</v>
          </cell>
          <cell r="M4" t="str">
            <v>4-检验完成</v>
          </cell>
        </row>
        <row r="4">
          <cell r="O4">
            <v>0</v>
          </cell>
          <cell r="P4" t="str">
            <v>中航西安飞机工业集团股份有限公司</v>
          </cell>
          <cell r="Q4" t="str">
            <v>10</v>
          </cell>
          <cell r="R4">
            <v>46106</v>
          </cell>
        </row>
        <row r="4">
          <cell r="U4" t="str">
            <v>010000914360</v>
          </cell>
          <cell r="V4" t="str">
            <v>PANMINGTAO</v>
          </cell>
          <cell r="W4" t="str">
            <v/>
          </cell>
          <cell r="X4" t="str">
            <v>XC-1-4-2-1</v>
          </cell>
          <cell r="Y4" t="str">
            <v/>
          </cell>
          <cell r="Z4" t="str">
            <v>1915</v>
          </cell>
          <cell r="AA4" t="str">
            <v>1100155330</v>
          </cell>
          <cell r="AB4">
            <v>120</v>
          </cell>
          <cell r="AC4" t="str">
            <v/>
          </cell>
          <cell r="AD4">
            <v>7.5</v>
          </cell>
          <cell r="AE4" t="str">
            <v>G-100003643-251106-0356</v>
          </cell>
          <cell r="AF4" t="str">
            <v>1100155330/10</v>
          </cell>
        </row>
        <row r="5">
          <cell r="B5" t="str">
            <v>7101075085</v>
          </cell>
          <cell r="C5" t="str">
            <v>G2511-0472</v>
          </cell>
          <cell r="D5" t="str">
            <v>000042944288001535</v>
          </cell>
          <cell r="E5" t="str">
            <v>气密双耳托板自锁螺母</v>
          </cell>
          <cell r="F5" t="str">
            <v>4A1-45-8</v>
          </cell>
          <cell r="G5" t="str">
            <v/>
          </cell>
          <cell r="H5" t="str">
            <v/>
          </cell>
          <cell r="I5" t="str">
            <v/>
          </cell>
          <cell r="J5" t="str">
            <v>组件(ML18/5870)</v>
          </cell>
          <cell r="K5">
            <v>43</v>
          </cell>
          <cell r="L5">
            <v>46060</v>
          </cell>
          <cell r="M5" t="str">
            <v>4-检验完成</v>
          </cell>
        </row>
        <row r="5">
          <cell r="O5">
            <v>0</v>
          </cell>
          <cell r="P5" t="str">
            <v>中航西安飞机工业集团股份有限公司</v>
          </cell>
          <cell r="Q5" t="str">
            <v>10</v>
          </cell>
          <cell r="R5">
            <v>46064</v>
          </cell>
        </row>
        <row r="5">
          <cell r="U5" t="str">
            <v>010000881087</v>
          </cell>
          <cell r="V5" t="str">
            <v>PANMINGTAO</v>
          </cell>
          <cell r="W5" t="str">
            <v/>
          </cell>
          <cell r="X5" t="str">
            <v>XC-1-2-3-3</v>
          </cell>
          <cell r="Y5" t="str">
            <v/>
          </cell>
          <cell r="Z5" t="str">
            <v>1915</v>
          </cell>
          <cell r="AA5" t="str">
            <v>1100155330</v>
          </cell>
          <cell r="AB5">
            <v>120</v>
          </cell>
          <cell r="AC5" t="str">
            <v/>
          </cell>
          <cell r="AD5">
            <v>7.5</v>
          </cell>
          <cell r="AE5" t="str">
            <v>G-100003643-251106-0356</v>
          </cell>
          <cell r="AF5" t="str">
            <v>1100155330/10</v>
          </cell>
        </row>
        <row r="6">
          <cell r="B6" t="str">
            <v>7101050680</v>
          </cell>
          <cell r="C6" t="str">
            <v>G2511-0469</v>
          </cell>
          <cell r="D6" t="str">
            <v>000042944288001531</v>
          </cell>
          <cell r="E6" t="str">
            <v>气密双耳托板自锁螺母</v>
          </cell>
          <cell r="F6" t="str">
            <v>4A1-45-3</v>
          </cell>
          <cell r="G6" t="str">
            <v/>
          </cell>
          <cell r="H6" t="str">
            <v/>
          </cell>
          <cell r="I6" t="str">
            <v/>
          </cell>
          <cell r="J6" t="str">
            <v>组件(ML18/5870)</v>
          </cell>
          <cell r="K6">
            <v>50</v>
          </cell>
          <cell r="L6">
            <v>46007</v>
          </cell>
          <cell r="M6" t="str">
            <v>4-检验完成</v>
          </cell>
        </row>
        <row r="6">
          <cell r="O6">
            <v>0</v>
          </cell>
          <cell r="P6" t="str">
            <v>中航西安飞机工业集团股份有限公司</v>
          </cell>
          <cell r="Q6" t="str">
            <v>20</v>
          </cell>
          <cell r="R6">
            <v>46017</v>
          </cell>
        </row>
        <row r="6">
          <cell r="U6" t="str">
            <v>010000881081</v>
          </cell>
          <cell r="V6" t="str">
            <v>PANMINGTAO</v>
          </cell>
          <cell r="W6" t="str">
            <v/>
          </cell>
          <cell r="X6" t="str">
            <v>XC-28-1-4-6</v>
          </cell>
          <cell r="Y6" t="str">
            <v/>
          </cell>
          <cell r="Z6" t="str">
            <v>1915</v>
          </cell>
          <cell r="AA6" t="str">
            <v>1100155330</v>
          </cell>
          <cell r="AB6">
            <v>50</v>
          </cell>
          <cell r="AC6" t="str">
            <v/>
          </cell>
          <cell r="AD6">
            <v>6.5</v>
          </cell>
          <cell r="AE6" t="str">
            <v>G-100003643-251106-0356</v>
          </cell>
          <cell r="AF6" t="str">
            <v>1100155330/20</v>
          </cell>
        </row>
        <row r="7">
          <cell r="B7" t="str">
            <v>7101048239</v>
          </cell>
          <cell r="C7" t="str">
            <v>G2508-1082</v>
          </cell>
          <cell r="D7" t="str">
            <v>000042944288001553</v>
          </cell>
          <cell r="E7" t="str">
            <v>气密单耳托板自锁螺母</v>
          </cell>
          <cell r="F7" t="str">
            <v>4A1-50-5</v>
          </cell>
          <cell r="G7" t="str">
            <v/>
          </cell>
          <cell r="H7" t="str">
            <v/>
          </cell>
          <cell r="I7" t="str">
            <v/>
          </cell>
          <cell r="J7" t="str">
            <v>组件(ML16CrSiNi/5870)</v>
          </cell>
          <cell r="K7">
            <v>148</v>
          </cell>
          <cell r="L7">
            <v>46000</v>
          </cell>
          <cell r="M7" t="str">
            <v>4-检验完成</v>
          </cell>
        </row>
        <row r="7">
          <cell r="O7">
            <v>0</v>
          </cell>
          <cell r="P7" t="str">
            <v>中航西安飞机工业集团股份有限公司</v>
          </cell>
          <cell r="Q7" t="str">
            <v>50</v>
          </cell>
          <cell r="R7">
            <v>46001</v>
          </cell>
        </row>
        <row r="7">
          <cell r="U7" t="str">
            <v>010000854750</v>
          </cell>
          <cell r="V7" t="str">
            <v>PANMINGTAO</v>
          </cell>
          <cell r="W7" t="str">
            <v/>
          </cell>
          <cell r="X7" t="str">
            <v>XC-28-1-4-6</v>
          </cell>
          <cell r="Y7" t="str">
            <v/>
          </cell>
          <cell r="Z7" t="str">
            <v>1915</v>
          </cell>
          <cell r="AA7" t="str">
            <v>1100153171</v>
          </cell>
          <cell r="AB7">
            <v>200</v>
          </cell>
          <cell r="AC7" t="str">
            <v/>
          </cell>
          <cell r="AD7">
            <v>8</v>
          </cell>
          <cell r="AE7" t="str">
            <v>G-100003643-250918-0309</v>
          </cell>
          <cell r="AF7" t="str">
            <v>1100153171/50</v>
          </cell>
        </row>
        <row r="8">
          <cell r="B8" t="str">
            <v>7101048239</v>
          </cell>
          <cell r="C8" t="str">
            <v>G2509-2474</v>
          </cell>
          <cell r="D8" t="str">
            <v>000042944288001553</v>
          </cell>
          <cell r="E8" t="str">
            <v>气密单耳托板自锁螺母</v>
          </cell>
          <cell r="F8" t="str">
            <v>4A1-50-5</v>
          </cell>
          <cell r="G8" t="str">
            <v/>
          </cell>
          <cell r="H8" t="str">
            <v/>
          </cell>
          <cell r="I8" t="str">
            <v/>
          </cell>
          <cell r="J8" t="str">
            <v>组件(ML16CrSiNi/5870)</v>
          </cell>
          <cell r="K8">
            <v>52</v>
          </cell>
          <cell r="L8">
            <v>46000</v>
          </cell>
          <cell r="M8" t="str">
            <v>4-检验完成</v>
          </cell>
        </row>
        <row r="8">
          <cell r="O8">
            <v>0</v>
          </cell>
          <cell r="P8" t="str">
            <v>中航西安飞机工业集团股份有限公司</v>
          </cell>
          <cell r="Q8" t="str">
            <v>50</v>
          </cell>
          <cell r="R8">
            <v>46001</v>
          </cell>
        </row>
        <row r="8">
          <cell r="U8" t="str">
            <v>010000867239</v>
          </cell>
          <cell r="V8" t="str">
            <v>PANMINGTAO</v>
          </cell>
          <cell r="W8" t="str">
            <v/>
          </cell>
          <cell r="X8" t="str">
            <v>XC-28-1-4-6</v>
          </cell>
          <cell r="Y8" t="str">
            <v/>
          </cell>
          <cell r="Z8" t="str">
            <v>1915</v>
          </cell>
          <cell r="AA8" t="str">
            <v>1100153171</v>
          </cell>
          <cell r="AB8">
            <v>200</v>
          </cell>
          <cell r="AC8" t="str">
            <v/>
          </cell>
          <cell r="AD8">
            <v>8</v>
          </cell>
          <cell r="AE8" t="str">
            <v>G-100003643-250918-0309</v>
          </cell>
          <cell r="AF8" t="str">
            <v>1100153171/50</v>
          </cell>
        </row>
        <row r="9">
          <cell r="B9" t="str">
            <v>7101046506</v>
          </cell>
          <cell r="C9" t="str">
            <v>G2506-2052</v>
          </cell>
          <cell r="D9" t="str">
            <v>000042944288001552</v>
          </cell>
          <cell r="E9" t="str">
            <v>气密单耳托板自锁螺母</v>
          </cell>
          <cell r="F9" t="str">
            <v>4A1-50-4</v>
          </cell>
          <cell r="G9" t="str">
            <v/>
          </cell>
          <cell r="H9" t="str">
            <v/>
          </cell>
          <cell r="I9" t="str">
            <v/>
          </cell>
          <cell r="J9" t="str">
            <v>组件(ML16CrSiNi/5870)</v>
          </cell>
          <cell r="K9">
            <v>64</v>
          </cell>
          <cell r="L9">
            <v>45995</v>
          </cell>
          <cell r="M9" t="str">
            <v>4-检验完成</v>
          </cell>
        </row>
        <row r="9">
          <cell r="O9">
            <v>0</v>
          </cell>
          <cell r="P9" t="str">
            <v>中航西安飞机工业集团股份有限公司</v>
          </cell>
          <cell r="Q9" t="str">
            <v>10</v>
          </cell>
          <cell r="R9">
            <v>45996</v>
          </cell>
        </row>
        <row r="9">
          <cell r="U9" t="str">
            <v>010000839184</v>
          </cell>
          <cell r="V9" t="str">
            <v>PANMINGTAO</v>
          </cell>
          <cell r="W9" t="str">
            <v/>
          </cell>
          <cell r="X9" t="str">
            <v>XC-29-1-4-5</v>
          </cell>
          <cell r="Y9" t="str">
            <v/>
          </cell>
          <cell r="Z9" t="str">
            <v>1915</v>
          </cell>
          <cell r="AA9" t="str">
            <v>1100156666</v>
          </cell>
          <cell r="AB9">
            <v>250</v>
          </cell>
          <cell r="AC9" t="str">
            <v/>
          </cell>
          <cell r="AD9">
            <v>6.5</v>
          </cell>
          <cell r="AE9" t="str">
            <v>G-100003643-251128-0411</v>
          </cell>
          <cell r="AF9" t="str">
            <v>1100156666/10</v>
          </cell>
        </row>
        <row r="10">
          <cell r="B10" t="str">
            <v>7101046506</v>
          </cell>
          <cell r="C10" t="str">
            <v>G2509-2473</v>
          </cell>
          <cell r="D10" t="str">
            <v>000042944288001552</v>
          </cell>
          <cell r="E10" t="str">
            <v>气密单耳托板自锁螺母</v>
          </cell>
          <cell r="F10" t="str">
            <v>4A1-50-4</v>
          </cell>
          <cell r="G10" t="str">
            <v/>
          </cell>
          <cell r="H10" t="str">
            <v/>
          </cell>
          <cell r="I10" t="str">
            <v/>
          </cell>
          <cell r="J10" t="str">
            <v>组件(ML16CrSiNi/5870)</v>
          </cell>
          <cell r="K10">
            <v>14</v>
          </cell>
          <cell r="L10">
            <v>45995</v>
          </cell>
          <cell r="M10" t="str">
            <v>4-检验完成</v>
          </cell>
        </row>
        <row r="10">
          <cell r="O10">
            <v>0</v>
          </cell>
          <cell r="P10" t="str">
            <v>中航西安飞机工业集团股份有限公司</v>
          </cell>
          <cell r="Q10" t="str">
            <v>10</v>
          </cell>
          <cell r="R10">
            <v>45996</v>
          </cell>
        </row>
        <row r="10">
          <cell r="U10" t="str">
            <v>010000867236</v>
          </cell>
          <cell r="V10" t="str">
            <v>PANMINGTAO</v>
          </cell>
          <cell r="W10" t="str">
            <v/>
          </cell>
          <cell r="X10" t="str">
            <v>XC-29-1-4-5</v>
          </cell>
          <cell r="Y10" t="str">
            <v/>
          </cell>
          <cell r="Z10" t="str">
            <v>1915</v>
          </cell>
          <cell r="AA10" t="str">
            <v>1100156666</v>
          </cell>
          <cell r="AB10">
            <v>250</v>
          </cell>
          <cell r="AC10" t="str">
            <v/>
          </cell>
          <cell r="AD10">
            <v>6.5</v>
          </cell>
          <cell r="AE10" t="str">
            <v>G-100003643-251128-0411</v>
          </cell>
          <cell r="AF10" t="str">
            <v>1100156666/10</v>
          </cell>
        </row>
        <row r="11">
          <cell r="B11" t="str">
            <v>7101046505</v>
          </cell>
          <cell r="C11" t="str">
            <v>G2509-2473</v>
          </cell>
          <cell r="D11" t="str">
            <v>000042944288001552</v>
          </cell>
          <cell r="E11" t="str">
            <v>气密单耳托板自锁螺母</v>
          </cell>
          <cell r="F11" t="str">
            <v>4A1-50-4</v>
          </cell>
          <cell r="G11" t="str">
            <v/>
          </cell>
          <cell r="H11" t="str">
            <v/>
          </cell>
          <cell r="I11" t="str">
            <v/>
          </cell>
          <cell r="J11" t="str">
            <v>组件(ML16CrSiNi/5870)</v>
          </cell>
          <cell r="K11">
            <v>100</v>
          </cell>
          <cell r="L11">
            <v>45995</v>
          </cell>
          <cell r="M11" t="str">
            <v>4-检验完成</v>
          </cell>
        </row>
        <row r="11">
          <cell r="O11">
            <v>0</v>
          </cell>
          <cell r="P11" t="str">
            <v>中航西安飞机工业集团股份有限公司</v>
          </cell>
          <cell r="Q11" t="str">
            <v>20</v>
          </cell>
          <cell r="R11">
            <v>45996</v>
          </cell>
        </row>
        <row r="11">
          <cell r="U11" t="str">
            <v>010000867236</v>
          </cell>
          <cell r="V11" t="str">
            <v>PANMINGTAO</v>
          </cell>
          <cell r="W11" t="str">
            <v/>
          </cell>
          <cell r="X11" t="str">
            <v>XC-29-1-4-5</v>
          </cell>
          <cell r="Y11" t="str">
            <v/>
          </cell>
          <cell r="Z11" t="str">
            <v>1915</v>
          </cell>
          <cell r="AA11" t="str">
            <v>1100153171</v>
          </cell>
          <cell r="AB11">
            <v>100</v>
          </cell>
          <cell r="AC11" t="str">
            <v/>
          </cell>
          <cell r="AD11">
            <v>7.5</v>
          </cell>
          <cell r="AE11" t="str">
            <v>G-100003643-250918-0309</v>
          </cell>
          <cell r="AF11" t="str">
            <v>1100153171/20</v>
          </cell>
        </row>
        <row r="12">
          <cell r="B12" t="str">
            <v>7101046506</v>
          </cell>
          <cell r="C12" t="str">
            <v>G2509-2473</v>
          </cell>
          <cell r="D12" t="str">
            <v>000042944288001552</v>
          </cell>
          <cell r="E12" t="str">
            <v>气密单耳托板自锁螺母</v>
          </cell>
          <cell r="F12" t="str">
            <v>4A1-50-4</v>
          </cell>
          <cell r="G12" t="str">
            <v/>
          </cell>
          <cell r="H12" t="str">
            <v/>
          </cell>
          <cell r="I12" t="str">
            <v/>
          </cell>
          <cell r="J12" t="str">
            <v>组件(ML16CrSiNi/5870)</v>
          </cell>
          <cell r="K12">
            <v>14</v>
          </cell>
          <cell r="L12">
            <v>45995</v>
          </cell>
          <cell r="M12" t="str">
            <v>4-检验完成</v>
          </cell>
        </row>
        <row r="12">
          <cell r="O12">
            <v>0</v>
          </cell>
          <cell r="P12" t="str">
            <v>中航西安飞机工业集团股份有限公司</v>
          </cell>
          <cell r="Q12" t="str">
            <v>10</v>
          </cell>
          <cell r="R12">
            <v>45996</v>
          </cell>
        </row>
        <row r="12">
          <cell r="U12" t="str">
            <v>010000867236</v>
          </cell>
          <cell r="V12" t="str">
            <v>PANMINGTAO</v>
          </cell>
          <cell r="W12" t="str">
            <v/>
          </cell>
          <cell r="X12" t="str">
            <v>XC-29-1-4-5</v>
          </cell>
          <cell r="Y12" t="str">
            <v/>
          </cell>
          <cell r="Z12" t="str">
            <v>1915</v>
          </cell>
          <cell r="AA12" t="str">
            <v>1100156666</v>
          </cell>
          <cell r="AB12">
            <v>250</v>
          </cell>
          <cell r="AC12" t="str">
            <v/>
          </cell>
          <cell r="AD12">
            <v>6.5</v>
          </cell>
          <cell r="AE12" t="str">
            <v>G-100003643-251128-0411</v>
          </cell>
          <cell r="AF12" t="str">
            <v>1100156666/10</v>
          </cell>
        </row>
        <row r="13">
          <cell r="B13" t="str">
            <v>7101046505</v>
          </cell>
          <cell r="C13" t="str">
            <v>G2509-2473</v>
          </cell>
          <cell r="D13" t="str">
            <v>000042944288001552</v>
          </cell>
          <cell r="E13" t="str">
            <v>气密单耳托板自锁螺母</v>
          </cell>
          <cell r="F13" t="str">
            <v>4A1-50-4</v>
          </cell>
          <cell r="G13" t="str">
            <v/>
          </cell>
          <cell r="H13" t="str">
            <v/>
          </cell>
          <cell r="I13" t="str">
            <v/>
          </cell>
          <cell r="J13" t="str">
            <v>组件(ML16CrSiNi/5870)</v>
          </cell>
          <cell r="K13">
            <v>100</v>
          </cell>
          <cell r="L13">
            <v>45995</v>
          </cell>
          <cell r="M13" t="str">
            <v>4-检验完成</v>
          </cell>
        </row>
        <row r="13">
          <cell r="O13">
            <v>0</v>
          </cell>
          <cell r="P13" t="str">
            <v>中航西安飞机工业集团股份有限公司</v>
          </cell>
          <cell r="Q13" t="str">
            <v>20</v>
          </cell>
          <cell r="R13">
            <v>45996</v>
          </cell>
        </row>
        <row r="13">
          <cell r="U13" t="str">
            <v>010000867236</v>
          </cell>
          <cell r="V13" t="str">
            <v>PANMINGTAO</v>
          </cell>
          <cell r="W13" t="str">
            <v/>
          </cell>
          <cell r="X13" t="str">
            <v>XC-29-1-4-5</v>
          </cell>
          <cell r="Y13" t="str">
            <v/>
          </cell>
          <cell r="Z13" t="str">
            <v>1915</v>
          </cell>
          <cell r="AA13" t="str">
            <v>1100153171</v>
          </cell>
          <cell r="AB13">
            <v>100</v>
          </cell>
          <cell r="AC13" t="str">
            <v/>
          </cell>
          <cell r="AD13">
            <v>7.5</v>
          </cell>
          <cell r="AE13" t="str">
            <v>G-100003643-250918-0309</v>
          </cell>
          <cell r="AF13" t="str">
            <v>1100153171/20</v>
          </cell>
        </row>
        <row r="14">
          <cell r="B14" t="str">
            <v>7101048239</v>
          </cell>
          <cell r="C14" t="str">
            <v>G2509-2474</v>
          </cell>
          <cell r="D14" t="str">
            <v>000042944288001553</v>
          </cell>
          <cell r="E14" t="str">
            <v>气密单耳托板自锁螺母</v>
          </cell>
          <cell r="F14" t="str">
            <v>4A1-50-5</v>
          </cell>
          <cell r="G14" t="str">
            <v/>
          </cell>
          <cell r="H14" t="str">
            <v/>
          </cell>
          <cell r="I14" t="str">
            <v/>
          </cell>
          <cell r="J14" t="str">
            <v>组件(ML16CrSiNi/5870)</v>
          </cell>
          <cell r="K14">
            <v>52</v>
          </cell>
          <cell r="L14">
            <v>46000</v>
          </cell>
          <cell r="M14" t="str">
            <v>4-检验完成</v>
          </cell>
        </row>
        <row r="14">
          <cell r="O14">
            <v>0</v>
          </cell>
          <cell r="P14" t="str">
            <v>中航西安飞机工业集团股份有限公司</v>
          </cell>
          <cell r="Q14" t="str">
            <v>50</v>
          </cell>
          <cell r="R14">
            <v>46001</v>
          </cell>
        </row>
        <row r="14">
          <cell r="U14" t="str">
            <v>010000867239</v>
          </cell>
          <cell r="V14" t="str">
            <v>PANMINGTAO</v>
          </cell>
          <cell r="W14" t="str">
            <v/>
          </cell>
          <cell r="X14" t="str">
            <v>XC-28-1-4-6</v>
          </cell>
          <cell r="Y14" t="str">
            <v/>
          </cell>
          <cell r="Z14" t="str">
            <v>1915</v>
          </cell>
          <cell r="AA14" t="str">
            <v>1100153171</v>
          </cell>
          <cell r="AB14">
            <v>200</v>
          </cell>
          <cell r="AC14" t="str">
            <v/>
          </cell>
          <cell r="AD14">
            <v>8</v>
          </cell>
          <cell r="AE14" t="str">
            <v>G-100003643-250918-0309</v>
          </cell>
          <cell r="AF14" t="str">
            <v>1100153171/50</v>
          </cell>
        </row>
        <row r="15">
          <cell r="B15" t="str">
            <v>7101046506</v>
          </cell>
          <cell r="C15" t="str">
            <v>G2506-2052</v>
          </cell>
          <cell r="D15" t="str">
            <v>000042944288001552</v>
          </cell>
          <cell r="E15" t="str">
            <v>气密单耳托板自锁螺母</v>
          </cell>
          <cell r="F15" t="str">
            <v>4A1-50-4</v>
          </cell>
          <cell r="G15" t="str">
            <v/>
          </cell>
          <cell r="H15" t="str">
            <v/>
          </cell>
          <cell r="I15" t="str">
            <v/>
          </cell>
          <cell r="J15" t="str">
            <v>组件(ML16CrSiNi/5870)</v>
          </cell>
          <cell r="K15">
            <v>64</v>
          </cell>
          <cell r="L15">
            <v>45995</v>
          </cell>
          <cell r="M15" t="str">
            <v>4-检验完成</v>
          </cell>
        </row>
        <row r="15">
          <cell r="O15">
            <v>0</v>
          </cell>
          <cell r="P15" t="str">
            <v>中航西安飞机工业集团股份有限公司</v>
          </cell>
          <cell r="Q15" t="str">
            <v>10</v>
          </cell>
          <cell r="R15">
            <v>45996</v>
          </cell>
        </row>
        <row r="15">
          <cell r="U15" t="str">
            <v>010000839184</v>
          </cell>
          <cell r="V15" t="str">
            <v>PANMINGTAO</v>
          </cell>
          <cell r="W15" t="str">
            <v/>
          </cell>
          <cell r="X15" t="str">
            <v>XC-29-1-4-5</v>
          </cell>
          <cell r="Y15" t="str">
            <v/>
          </cell>
          <cell r="Z15" t="str">
            <v>1915</v>
          </cell>
          <cell r="AA15" t="str">
            <v>1100156666</v>
          </cell>
          <cell r="AB15">
            <v>250</v>
          </cell>
          <cell r="AC15" t="str">
            <v/>
          </cell>
          <cell r="AD15">
            <v>6.5</v>
          </cell>
          <cell r="AE15" t="str">
            <v>G-100003643-251128-0411</v>
          </cell>
          <cell r="AF15" t="str">
            <v>1100156666/10</v>
          </cell>
        </row>
        <row r="16">
          <cell r="B16" t="str">
            <v>7101046506</v>
          </cell>
          <cell r="C16" t="str">
            <v>G2509-2473</v>
          </cell>
          <cell r="D16" t="str">
            <v>000042944288001552</v>
          </cell>
          <cell r="E16" t="str">
            <v>气密单耳托板自锁螺母</v>
          </cell>
          <cell r="F16" t="str">
            <v>4A1-50-4</v>
          </cell>
          <cell r="G16" t="str">
            <v/>
          </cell>
          <cell r="H16" t="str">
            <v/>
          </cell>
          <cell r="I16" t="str">
            <v/>
          </cell>
          <cell r="J16" t="str">
            <v>组件(ML16CrSiNi/5870)</v>
          </cell>
          <cell r="K16">
            <v>14</v>
          </cell>
          <cell r="L16">
            <v>45995</v>
          </cell>
          <cell r="M16" t="str">
            <v>4-检验完成</v>
          </cell>
        </row>
        <row r="16">
          <cell r="O16">
            <v>0</v>
          </cell>
          <cell r="P16" t="str">
            <v>中航西安飞机工业集团股份有限公司</v>
          </cell>
          <cell r="Q16" t="str">
            <v>10</v>
          </cell>
          <cell r="R16">
            <v>45996</v>
          </cell>
        </row>
        <row r="16">
          <cell r="U16" t="str">
            <v>010000867236</v>
          </cell>
          <cell r="V16" t="str">
            <v>PANMINGTAO</v>
          </cell>
          <cell r="W16" t="str">
            <v/>
          </cell>
          <cell r="X16" t="str">
            <v>XC-29-1-4-5</v>
          </cell>
          <cell r="Y16" t="str">
            <v/>
          </cell>
          <cell r="Z16" t="str">
            <v>1915</v>
          </cell>
          <cell r="AA16" t="str">
            <v>1100156666</v>
          </cell>
          <cell r="AB16">
            <v>250</v>
          </cell>
          <cell r="AC16" t="str">
            <v/>
          </cell>
          <cell r="AD16">
            <v>6.5</v>
          </cell>
          <cell r="AE16" t="str">
            <v>G-100003643-251128-0411</v>
          </cell>
          <cell r="AF16" t="str">
            <v>1100156666/10</v>
          </cell>
        </row>
        <row r="17">
          <cell r="B17" t="str">
            <v>7101046505</v>
          </cell>
          <cell r="C17" t="str">
            <v>G2509-2473</v>
          </cell>
          <cell r="D17" t="str">
            <v>000042944288001552</v>
          </cell>
          <cell r="E17" t="str">
            <v>气密单耳托板自锁螺母</v>
          </cell>
          <cell r="F17" t="str">
            <v>4A1-50-4</v>
          </cell>
          <cell r="G17" t="str">
            <v/>
          </cell>
          <cell r="H17" t="str">
            <v/>
          </cell>
          <cell r="I17" t="str">
            <v/>
          </cell>
          <cell r="J17" t="str">
            <v>组件(ML16CrSiNi/5870)</v>
          </cell>
          <cell r="K17">
            <v>100</v>
          </cell>
          <cell r="L17">
            <v>45995</v>
          </cell>
          <cell r="M17" t="str">
            <v>4-检验完成</v>
          </cell>
        </row>
        <row r="17">
          <cell r="O17">
            <v>0</v>
          </cell>
          <cell r="P17" t="str">
            <v>中航西安飞机工业集团股份有限公司</v>
          </cell>
          <cell r="Q17" t="str">
            <v>20</v>
          </cell>
          <cell r="R17">
            <v>45996</v>
          </cell>
        </row>
        <row r="17">
          <cell r="U17" t="str">
            <v>010000867236</v>
          </cell>
          <cell r="V17" t="str">
            <v>PANMINGTAO</v>
          </cell>
          <cell r="W17" t="str">
            <v/>
          </cell>
          <cell r="X17" t="str">
            <v>XC-29-1-4-5</v>
          </cell>
          <cell r="Y17" t="str">
            <v/>
          </cell>
          <cell r="Z17" t="str">
            <v>1915</v>
          </cell>
          <cell r="AA17" t="str">
            <v>1100153171</v>
          </cell>
          <cell r="AB17">
            <v>100</v>
          </cell>
          <cell r="AC17" t="str">
            <v/>
          </cell>
          <cell r="AD17">
            <v>7.5</v>
          </cell>
          <cell r="AE17" t="str">
            <v>G-100003643-250918-0309</v>
          </cell>
          <cell r="AF17" t="str">
            <v>1100153171/20</v>
          </cell>
        </row>
        <row r="18">
          <cell r="B18" t="str">
            <v>7101078517</v>
          </cell>
          <cell r="C18" t="str">
            <v>G2508-1080</v>
          </cell>
          <cell r="D18" t="str">
            <v>42944288001534</v>
          </cell>
          <cell r="E18" t="str">
            <v>气密双耳托板自锁螺母</v>
          </cell>
          <cell r="F18" t="str">
            <v>4A1-45-6</v>
          </cell>
        </row>
        <row r="18">
          <cell r="J18" t="str">
            <v>组件(ML18/5870)</v>
          </cell>
          <cell r="K18">
            <v>70</v>
          </cell>
          <cell r="L18" t="str">
            <v>2026.02.22</v>
          </cell>
          <cell r="M18" t="str">
            <v>4-检验完成</v>
          </cell>
        </row>
        <row r="18">
          <cell r="P18" t="str">
            <v>中航西安飞机工业集团股份有限公司</v>
          </cell>
          <cell r="Q18" t="str">
            <v>20</v>
          </cell>
          <cell r="R18" t="str">
            <v>2026.02.25</v>
          </cell>
        </row>
        <row r="18">
          <cell r="U18" t="str">
            <v>10000854748</v>
          </cell>
          <cell r="V18" t="str">
            <v>PANMINGTAO</v>
          </cell>
        </row>
        <row r="18">
          <cell r="X18" t="str">
            <v>XC-10-1-10-2</v>
          </cell>
        </row>
        <row r="18">
          <cell r="Z18" t="str">
            <v>1915</v>
          </cell>
          <cell r="AA18" t="str">
            <v>1100151361</v>
          </cell>
          <cell r="AB18">
            <v>70</v>
          </cell>
        </row>
        <row r="18">
          <cell r="AD18">
            <v>7.5</v>
          </cell>
          <cell r="AE18" t="str">
            <v>G-100003643-250812-0255</v>
          </cell>
          <cell r="AF18" t="str">
            <v>1100151361/20</v>
          </cell>
        </row>
        <row r="19">
          <cell r="B19" t="str">
            <v>7101078516</v>
          </cell>
          <cell r="C19" t="str">
            <v>G2508-1080</v>
          </cell>
          <cell r="D19" t="str">
            <v>42944288001534</v>
          </cell>
          <cell r="E19" t="str">
            <v>气密双耳托板自锁螺母</v>
          </cell>
          <cell r="F19" t="str">
            <v>4A1-45-6</v>
          </cell>
        </row>
        <row r="19">
          <cell r="J19" t="str">
            <v>组件(ML18/5870)</v>
          </cell>
          <cell r="K19">
            <v>30</v>
          </cell>
          <cell r="L19" t="str">
            <v>2026.02.22</v>
          </cell>
          <cell r="M19" t="str">
            <v>4-检验完成</v>
          </cell>
        </row>
        <row r="19">
          <cell r="P19" t="str">
            <v>中航西安飞机工业集团股份有限公司</v>
          </cell>
          <cell r="Q19" t="str">
            <v>10</v>
          </cell>
          <cell r="R19" t="str">
            <v>2026.02.25</v>
          </cell>
        </row>
        <row r="19">
          <cell r="U19" t="str">
            <v>10000854748</v>
          </cell>
          <cell r="V19" t="str">
            <v>PANMINGTAO</v>
          </cell>
        </row>
        <row r="19">
          <cell r="X19" t="str">
            <v>XC-10-1-10-2</v>
          </cell>
        </row>
        <row r="19">
          <cell r="Z19" t="str">
            <v>1915</v>
          </cell>
          <cell r="AA19" t="str">
            <v>1100151361</v>
          </cell>
          <cell r="AB19">
            <v>30</v>
          </cell>
        </row>
        <row r="19">
          <cell r="AD19">
            <v>7.5</v>
          </cell>
          <cell r="AE19" t="str">
            <v>G-100003643-250812-0255</v>
          </cell>
          <cell r="AF19" t="str">
            <v>1100151361/10</v>
          </cell>
        </row>
        <row r="20">
          <cell r="B20" t="str">
            <v>7101078480</v>
          </cell>
          <cell r="C20" t="str">
            <v>G2508-1080</v>
          </cell>
          <cell r="D20" t="str">
            <v>42944288001534</v>
          </cell>
          <cell r="E20" t="str">
            <v>气密双耳托板自锁螺母</v>
          </cell>
          <cell r="F20" t="str">
            <v>4A1-45-6</v>
          </cell>
        </row>
        <row r="20">
          <cell r="J20" t="str">
            <v>组件(ML18/5870)</v>
          </cell>
          <cell r="K20">
            <v>50</v>
          </cell>
          <cell r="L20" t="str">
            <v>2026.02.22</v>
          </cell>
          <cell r="M20" t="str">
            <v>4-检验完成</v>
          </cell>
        </row>
        <row r="20">
          <cell r="P20" t="str">
            <v>中航西安飞机工业集团股份有限公司</v>
          </cell>
          <cell r="Q20" t="str">
            <v>40</v>
          </cell>
          <cell r="R20" t="str">
            <v>2026.02.25</v>
          </cell>
        </row>
        <row r="20">
          <cell r="U20" t="str">
            <v>10000854748</v>
          </cell>
          <cell r="V20" t="str">
            <v>PANMINGTAO</v>
          </cell>
        </row>
        <row r="20">
          <cell r="X20" t="str">
            <v>XC-10-1-10-2</v>
          </cell>
        </row>
        <row r="20">
          <cell r="Z20" t="str">
            <v>1915</v>
          </cell>
          <cell r="AA20" t="str">
            <v>1100152824</v>
          </cell>
          <cell r="AB20">
            <v>50</v>
          </cell>
        </row>
        <row r="20">
          <cell r="AD20">
            <v>7.5</v>
          </cell>
          <cell r="AE20" t="str">
            <v>G-100003643-250910-0298</v>
          </cell>
          <cell r="AF20" t="str">
            <v>1100152824/40</v>
          </cell>
        </row>
        <row r="21">
          <cell r="B21" t="str">
            <v>7101088399</v>
          </cell>
          <cell r="C21" t="str">
            <v>G2601-7521</v>
          </cell>
          <cell r="D21" t="str">
            <v>42944000003334</v>
          </cell>
          <cell r="E21" t="str">
            <v>带凸肩的压装衬套</v>
          </cell>
          <cell r="F21" t="str">
            <v>Q/4A3-6-6×8×7</v>
          </cell>
        </row>
        <row r="21">
          <cell r="I21" t="str">
            <v>D·Zn·D</v>
          </cell>
          <cell r="J21" t="str">
            <v>45A</v>
          </cell>
          <cell r="K21">
            <v>130</v>
          </cell>
          <cell r="L21" t="str">
            <v>2026.03.17</v>
          </cell>
          <cell r="M21" t="str">
            <v>3-配货完成</v>
          </cell>
        </row>
        <row r="21">
          <cell r="P21" t="str">
            <v>中航西安飞机工业集团股份有限公司</v>
          </cell>
          <cell r="Q21" t="str">
            <v>20</v>
          </cell>
        </row>
        <row r="21">
          <cell r="U21" t="str">
            <v>10000904427</v>
          </cell>
          <cell r="V21" t="str">
            <v>BIAOQIAN4</v>
          </cell>
        </row>
        <row r="21">
          <cell r="X21" t="str">
            <v>CP-108-A</v>
          </cell>
        </row>
        <row r="21">
          <cell r="Z21" t="str">
            <v>1915</v>
          </cell>
          <cell r="AA21" t="str">
            <v>1100158548</v>
          </cell>
          <cell r="AB21">
            <v>130</v>
          </cell>
        </row>
        <row r="21">
          <cell r="AD21">
            <v>4.5</v>
          </cell>
          <cell r="AE21" t="str">
            <v>G-100003643-260108-0014</v>
          </cell>
          <cell r="AF21" t="str">
            <v>1100158548/20</v>
          </cell>
        </row>
        <row r="22">
          <cell r="B22" t="str">
            <v>7101094819</v>
          </cell>
          <cell r="C22" t="str">
            <v>G2603-1916</v>
          </cell>
          <cell r="D22" t="str">
            <v>000042944999007809</v>
          </cell>
          <cell r="E22" t="str">
            <v>承力快卸锁</v>
          </cell>
          <cell r="F22" t="str">
            <v>Q/Lb8.939.007-11</v>
          </cell>
          <cell r="G22" t="str">
            <v/>
          </cell>
          <cell r="H22" t="str">
            <v/>
          </cell>
          <cell r="I22" t="str">
            <v/>
          </cell>
          <cell r="J22" t="str">
            <v>组件</v>
          </cell>
          <cell r="K22">
            <v>15</v>
          </cell>
          <cell r="L22">
            <v>46112</v>
          </cell>
          <cell r="M22" t="str">
            <v>3-配货完成</v>
          </cell>
        </row>
        <row r="22">
          <cell r="O22">
            <v>0</v>
          </cell>
          <cell r="P22" t="str">
            <v>中航西安飞机工业集团股份有限公司</v>
          </cell>
          <cell r="Q22" t="str">
            <v>10</v>
          </cell>
        </row>
        <row r="22">
          <cell r="U22" t="str">
            <v>010000930823</v>
          </cell>
          <cell r="V22" t="str">
            <v>BIAOQIAN2</v>
          </cell>
          <cell r="W22" t="str">
            <v/>
          </cell>
          <cell r="X22" t="str">
            <v>CP-108-A</v>
          </cell>
          <cell r="Y22" t="str">
            <v/>
          </cell>
          <cell r="Z22" t="str">
            <v>1915</v>
          </cell>
          <cell r="AA22" t="str">
            <v>1100162064</v>
          </cell>
          <cell r="AB22">
            <v>200</v>
          </cell>
          <cell r="AC22" t="str">
            <v/>
          </cell>
          <cell r="AD22">
            <v>239</v>
          </cell>
          <cell r="AE22" t="str">
            <v>G-100003643-260319-0169</v>
          </cell>
          <cell r="AF22" t="str">
            <v>1100162064/10</v>
          </cell>
        </row>
        <row r="23">
          <cell r="B23" t="str">
            <v>7101097141</v>
          </cell>
          <cell r="C23" t="str">
            <v>G2602-1733</v>
          </cell>
          <cell r="D23" t="str">
            <v>42944999007814</v>
          </cell>
          <cell r="E23" t="str">
            <v>承力快卸锁</v>
          </cell>
          <cell r="F23" t="str">
            <v>Q/Lb8.939.007-5</v>
          </cell>
        </row>
        <row r="23">
          <cell r="J23" t="str">
            <v>组件</v>
          </cell>
          <cell r="K23">
            <v>17</v>
          </cell>
          <cell r="L23" t="str">
            <v>2026.04.06</v>
          </cell>
          <cell r="M23" t="str">
            <v>7-发运完成</v>
          </cell>
          <cell r="N23" t="str">
            <v>2026.04.09</v>
          </cell>
          <cell r="O23" t="str">
            <v>14:54:34</v>
          </cell>
          <cell r="P23" t="str">
            <v>中航西安飞机工业集团股份有限公司</v>
          </cell>
          <cell r="Q23" t="str">
            <v>20</v>
          </cell>
          <cell r="R23" t="str">
            <v>2026.04.08</v>
          </cell>
          <cell r="S23" t="str">
            <v>2026.04.08</v>
          </cell>
          <cell r="T23" t="str">
            <v>2026.04.08</v>
          </cell>
          <cell r="U23" t="str">
            <v>10000919310</v>
          </cell>
          <cell r="V23" t="str">
            <v>BIAOQIAN2</v>
          </cell>
        </row>
        <row r="23">
          <cell r="X23" t="str">
            <v>CP-108-A</v>
          </cell>
          <cell r="Y23" t="str">
            <v>LVYANAN</v>
          </cell>
          <cell r="Z23" t="str">
            <v>1915</v>
          </cell>
          <cell r="AA23" t="str">
            <v>1100160863</v>
          </cell>
          <cell r="AB23">
            <v>50</v>
          </cell>
        </row>
        <row r="23">
          <cell r="AD23">
            <v>236</v>
          </cell>
          <cell r="AE23" t="str">
            <v>G-100003643-260211-0117</v>
          </cell>
          <cell r="AF23" t="str">
            <v>1100160863/20</v>
          </cell>
        </row>
        <row r="24">
          <cell r="B24" t="str">
            <v>7101097141</v>
          </cell>
          <cell r="C24" t="str">
            <v>G2512-1199</v>
          </cell>
          <cell r="D24" t="str">
            <v>42944999007814</v>
          </cell>
          <cell r="E24" t="str">
            <v>承力快卸锁</v>
          </cell>
          <cell r="F24" t="str">
            <v>Q/Lb8.939.007-5</v>
          </cell>
        </row>
        <row r="24">
          <cell r="J24" t="str">
            <v>组件</v>
          </cell>
          <cell r="K24">
            <v>15</v>
          </cell>
          <cell r="L24" t="str">
            <v>2026.04.06</v>
          </cell>
          <cell r="M24" t="str">
            <v>7-发运完成</v>
          </cell>
          <cell r="N24" t="str">
            <v>2026.04.09</v>
          </cell>
          <cell r="O24" t="str">
            <v>14:54:34</v>
          </cell>
          <cell r="P24" t="str">
            <v>中航西安飞机工业集团股份有限公司</v>
          </cell>
          <cell r="Q24" t="str">
            <v>20</v>
          </cell>
          <cell r="R24" t="str">
            <v>2026.04.08</v>
          </cell>
          <cell r="S24" t="str">
            <v>2026.04.08</v>
          </cell>
          <cell r="T24" t="str">
            <v>2026.04.08</v>
          </cell>
          <cell r="U24" t="str">
            <v>10000894387</v>
          </cell>
          <cell r="V24" t="str">
            <v>BIAOQIAN2</v>
          </cell>
        </row>
        <row r="24">
          <cell r="X24" t="str">
            <v>CP-108-A</v>
          </cell>
          <cell r="Y24" t="str">
            <v>LVYANAN</v>
          </cell>
          <cell r="Z24" t="str">
            <v>1915</v>
          </cell>
          <cell r="AA24" t="str">
            <v>1100160863</v>
          </cell>
          <cell r="AB24">
            <v>50</v>
          </cell>
        </row>
        <row r="24">
          <cell r="AD24">
            <v>236</v>
          </cell>
          <cell r="AE24" t="str">
            <v>G-100003643-260211-0117</v>
          </cell>
          <cell r="AF24" t="str">
            <v>1100160863/20</v>
          </cell>
        </row>
        <row r="25">
          <cell r="B25" t="str">
            <v>7101097140</v>
          </cell>
          <cell r="C25" t="str">
            <v>G2512-1199</v>
          </cell>
          <cell r="D25" t="str">
            <v>42944999007814</v>
          </cell>
          <cell r="E25" t="str">
            <v>承力快卸锁</v>
          </cell>
          <cell r="F25" t="str">
            <v>Q/Lb8.939.007-5</v>
          </cell>
        </row>
        <row r="25">
          <cell r="J25" t="str">
            <v>组件</v>
          </cell>
          <cell r="K25">
            <v>100</v>
          </cell>
          <cell r="L25" t="str">
            <v>2026.04.06</v>
          </cell>
          <cell r="M25" t="str">
            <v>7-发运完成</v>
          </cell>
          <cell r="N25" t="str">
            <v>2026.04.09</v>
          </cell>
          <cell r="O25" t="str">
            <v>14:54:24</v>
          </cell>
          <cell r="P25" t="str">
            <v>中航西安飞机工业集团股份有限公司</v>
          </cell>
          <cell r="Q25" t="str">
            <v>10</v>
          </cell>
          <cell r="R25" t="str">
            <v>2026.04.08</v>
          </cell>
          <cell r="S25" t="str">
            <v>2026.04.08</v>
          </cell>
          <cell r="T25" t="str">
            <v>2026.04.08</v>
          </cell>
          <cell r="U25" t="str">
            <v>10000894387</v>
          </cell>
          <cell r="V25" t="str">
            <v>BIAOQIAN2</v>
          </cell>
        </row>
        <row r="25">
          <cell r="X25" t="str">
            <v>CP-108-A</v>
          </cell>
          <cell r="Y25" t="str">
            <v>LVYANAN</v>
          </cell>
          <cell r="Z25" t="str">
            <v>1915</v>
          </cell>
          <cell r="AA25" t="str">
            <v>1100157269</v>
          </cell>
          <cell r="AB25">
            <v>100</v>
          </cell>
        </row>
        <row r="25">
          <cell r="AD25">
            <v>230</v>
          </cell>
          <cell r="AE25" t="str">
            <v>G-100003643-251208-0434</v>
          </cell>
          <cell r="AF25" t="str">
            <v>1100157269/10</v>
          </cell>
        </row>
        <row r="26">
          <cell r="B26" t="str">
            <v>7101097139</v>
          </cell>
          <cell r="C26" t="str">
            <v>G2512-1199</v>
          </cell>
          <cell r="D26" t="str">
            <v>42944999007814</v>
          </cell>
          <cell r="E26" t="str">
            <v>承力快卸锁</v>
          </cell>
          <cell r="F26" t="str">
            <v>Q/Lb8.939.007-5</v>
          </cell>
        </row>
        <row r="26">
          <cell r="J26" t="str">
            <v>组件</v>
          </cell>
          <cell r="K26">
            <v>10</v>
          </cell>
          <cell r="L26" t="str">
            <v>2026.04.06</v>
          </cell>
          <cell r="M26" t="str">
            <v>7-发运完成</v>
          </cell>
          <cell r="N26" t="str">
            <v>2026.04.09</v>
          </cell>
          <cell r="O26" t="str">
            <v>14:55:14</v>
          </cell>
          <cell r="P26" t="str">
            <v>中航西安飞机工业集团股份有限公司</v>
          </cell>
          <cell r="Q26" t="str">
            <v>20</v>
          </cell>
          <cell r="R26" t="str">
            <v>2026.04.08</v>
          </cell>
          <cell r="S26" t="str">
            <v>2026.04.08</v>
          </cell>
          <cell r="T26" t="str">
            <v>2026.04.08</v>
          </cell>
          <cell r="U26" t="str">
            <v>10000894387</v>
          </cell>
          <cell r="V26" t="str">
            <v>BIAOQIAN2</v>
          </cell>
        </row>
        <row r="26">
          <cell r="X26" t="str">
            <v>CP-108-A</v>
          </cell>
          <cell r="Y26" t="str">
            <v>LVYANAN</v>
          </cell>
          <cell r="Z26" t="str">
            <v>1915</v>
          </cell>
          <cell r="AA26" t="str">
            <v>1100125840</v>
          </cell>
          <cell r="AB26">
            <v>55</v>
          </cell>
        </row>
        <row r="26">
          <cell r="AD26">
            <v>236</v>
          </cell>
          <cell r="AE26" t="str">
            <v>G-100003643-240311-0031</v>
          </cell>
          <cell r="AF26" t="str">
            <v>1100125840/20</v>
          </cell>
        </row>
      </sheetData>
      <sheetData sheetId="5"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长沙起落架胡少芳"/>
      <sheetName val="起落架王濛"/>
      <sheetName val="重庆红宇"/>
      <sheetName val="5702"/>
      <sheetName val="匹配"/>
      <sheetName val="771"/>
      <sheetName val="东安实业"/>
      <sheetName val="1"/>
      <sheetName val="Sheet1"/>
      <sheetName val="Sheet2"/>
    </sheetNames>
    <sheetDataSet>
      <sheetData sheetId="0" refreshError="1"/>
      <sheetData sheetId="1" refreshError="1"/>
      <sheetData sheetId="2" refreshError="1"/>
      <sheetData sheetId="3" refreshError="1"/>
      <sheetData sheetId="4">
        <row r="1">
          <cell r="B1" t="str">
            <v>提货单号</v>
          </cell>
          <cell r="C1" t="str">
            <v>批号</v>
          </cell>
          <cell r="D1" t="str">
            <v>物料编号</v>
          </cell>
          <cell r="E1" t="str">
            <v>物品名称</v>
          </cell>
          <cell r="F1" t="str">
            <v>采用标准</v>
          </cell>
          <cell r="G1" t="str">
            <v>规格</v>
          </cell>
          <cell r="H1" t="str">
            <v>性能等级</v>
          </cell>
          <cell r="I1" t="str">
            <v>表面处理</v>
          </cell>
          <cell r="J1" t="str">
            <v>材质</v>
          </cell>
          <cell r="K1" t="str">
            <v>提货数量</v>
          </cell>
          <cell r="L1" t="str">
            <v>提货创建日期</v>
          </cell>
          <cell r="M1" t="str">
            <v>提货单状态</v>
          </cell>
          <cell r="N1" t="str">
            <v>运单回填日期</v>
          </cell>
          <cell r="O1" t="str">
            <v>运单回填时间</v>
          </cell>
          <cell r="P1" t="str">
            <v>售达方描述</v>
          </cell>
          <cell r="Q1" t="str">
            <v>销售凭证项目</v>
          </cell>
          <cell r="R1" t="str">
            <v>检验日期</v>
          </cell>
          <cell r="S1" t="str">
            <v>包装日期</v>
          </cell>
          <cell r="T1" t="str">
            <v>过帐日期</v>
          </cell>
          <cell r="U1" t="str">
            <v>生产订单</v>
          </cell>
          <cell r="V1" t="str">
            <v>配货人</v>
          </cell>
          <cell r="W1" t="str">
            <v>取消原因</v>
          </cell>
          <cell r="X1" t="str">
            <v>货位号</v>
          </cell>
          <cell r="Y1" t="str">
            <v>包装人</v>
          </cell>
          <cell r="Z1" t="str">
            <v>销售办公室</v>
          </cell>
          <cell r="AA1" t="str">
            <v>销售凭证</v>
          </cell>
          <cell r="AB1" t="str">
            <v>订单数量</v>
          </cell>
          <cell r="AC1" t="str">
            <v>调度令号码</v>
          </cell>
          <cell r="AD1" t="str">
            <v>价格</v>
          </cell>
          <cell r="AE1" t="str">
            <v>客户采购订单编号</v>
          </cell>
        </row>
        <row r="2">
          <cell r="B2">
            <v>7100771724</v>
          </cell>
          <cell r="C2" t="str">
            <v>G2312-1669</v>
          </cell>
          <cell r="D2">
            <v>42944360127067</v>
          </cell>
          <cell r="E2" t="str">
            <v>销子</v>
          </cell>
          <cell r="F2" t="str">
            <v>S17.67.9718</v>
          </cell>
          <cell r="G2" t="str">
            <v>-</v>
          </cell>
          <cell r="H2" t="str">
            <v>29-38HRC</v>
          </cell>
          <cell r="I2" t="str">
            <v>Ct·P</v>
          </cell>
          <cell r="J2" t="str">
            <v>5Cr17Ni4Cu4Nb</v>
          </cell>
          <cell r="K2">
            <v>200</v>
          </cell>
          <cell r="L2" t="str">
            <v>2023.12.28</v>
          </cell>
          <cell r="M2" t="str">
            <v>3-配货完成</v>
          </cell>
        </row>
        <row r="2">
          <cell r="P2" t="str">
            <v>哈尔滨东安实业发展有限公司</v>
          </cell>
          <cell r="Q2">
            <v>70</v>
          </cell>
        </row>
        <row r="2">
          <cell r="U2">
            <v>10000661567</v>
          </cell>
          <cell r="V2" t="str">
            <v>ZHANGYU</v>
          </cell>
        </row>
        <row r="2">
          <cell r="X2" t="str">
            <v>CP-108-A</v>
          </cell>
        </row>
        <row r="2">
          <cell r="Z2">
            <v>1906</v>
          </cell>
          <cell r="AA2">
            <v>1100122538</v>
          </cell>
          <cell r="AB2">
            <v>200</v>
          </cell>
        </row>
        <row r="2">
          <cell r="AD2">
            <v>20</v>
          </cell>
          <cell r="AE2" t="str">
            <v>G1302-231214-286</v>
          </cell>
        </row>
        <row r="3">
          <cell r="B3">
            <v>7100773451</v>
          </cell>
          <cell r="C3" t="str">
            <v>G2212-1559</v>
          </cell>
          <cell r="D3">
            <v>43213302030024</v>
          </cell>
          <cell r="E3" t="str">
            <v>21MPa无扩口A型拧入式变径直通管接头</v>
          </cell>
          <cell r="F3" t="str">
            <v>HB5988-2008</v>
          </cell>
          <cell r="G3" t="str">
            <v>10×8</v>
          </cell>
        </row>
        <row r="3">
          <cell r="I3" t="str">
            <v>Ct·P</v>
          </cell>
          <cell r="J3" t="str">
            <v>1Cr18Ni9Ti</v>
          </cell>
          <cell r="K3">
            <v>15</v>
          </cell>
          <cell r="L3" t="str">
            <v>2024.01.08</v>
          </cell>
          <cell r="M3" t="str">
            <v>1-已打印</v>
          </cell>
        </row>
        <row r="3">
          <cell r="P3" t="str">
            <v>哈尔滨东安实业发展有限公司</v>
          </cell>
          <cell r="Q3">
            <v>10</v>
          </cell>
        </row>
        <row r="3">
          <cell r="U3">
            <v>10000558027</v>
          </cell>
        </row>
        <row r="3">
          <cell r="X3" t="str">
            <v>CP-108-A</v>
          </cell>
        </row>
        <row r="3">
          <cell r="Z3">
            <v>1906</v>
          </cell>
          <cell r="AA3">
            <v>1100122356</v>
          </cell>
          <cell r="AB3">
            <v>24</v>
          </cell>
        </row>
        <row r="3">
          <cell r="AD3">
            <v>30</v>
          </cell>
          <cell r="AE3" t="str">
            <v>G1302-231211-259</v>
          </cell>
        </row>
        <row r="4">
          <cell r="B4">
            <v>7100776758</v>
          </cell>
          <cell r="C4" t="str">
            <v>G1912-8248</v>
          </cell>
          <cell r="D4">
            <v>42944439002211</v>
          </cell>
          <cell r="E4" t="str">
            <v>垫圈</v>
          </cell>
          <cell r="F4" t="str">
            <v>HB1-521FA-2002</v>
          </cell>
          <cell r="G4" t="str">
            <v>3×8×0.8</v>
          </cell>
        </row>
        <row r="4">
          <cell r="I4" t="str">
            <v>Ct·P</v>
          </cell>
          <cell r="J4" t="str">
            <v>1Cr18Ni9Ti</v>
          </cell>
          <cell r="K4">
            <v>15</v>
          </cell>
          <cell r="L4" t="str">
            <v>2024.01.18</v>
          </cell>
          <cell r="M4" t="str">
            <v>3-配货完成</v>
          </cell>
        </row>
        <row r="4">
          <cell r="P4" t="str">
            <v>哈尔滨东安实业发展有限公司</v>
          </cell>
          <cell r="Q4">
            <v>20</v>
          </cell>
        </row>
        <row r="4">
          <cell r="V4" t="str">
            <v>HANXIAOLAN</v>
          </cell>
        </row>
        <row r="4">
          <cell r="X4" t="str">
            <v>MJ9-3-2-11</v>
          </cell>
        </row>
        <row r="4">
          <cell r="Z4">
            <v>1906</v>
          </cell>
          <cell r="AA4">
            <v>1100122883</v>
          </cell>
          <cell r="AB4">
            <v>15</v>
          </cell>
        </row>
        <row r="4">
          <cell r="AD4">
            <v>0.6</v>
          </cell>
          <cell r="AE4" t="str">
            <v>G1302-231225-300</v>
          </cell>
        </row>
        <row r="5">
          <cell r="B5">
            <v>7100788941</v>
          </cell>
          <cell r="C5" t="str">
            <v>G2401-0514</v>
          </cell>
          <cell r="D5">
            <v>42944288001752</v>
          </cell>
          <cell r="E5" t="str">
            <v>UNJ螺纹十二角自锁螺母</v>
          </cell>
          <cell r="F5" t="str">
            <v>Q/8S1335-2013</v>
          </cell>
          <cell r="G5" t="str">
            <v>A-04</v>
          </cell>
          <cell r="H5" t="str">
            <v>σb≥900MPa,HRC27-HRC35</v>
          </cell>
          <cell r="I5" t="str">
            <v>镀银</v>
          </cell>
          <cell r="J5" t="str">
            <v>GH2132</v>
          </cell>
          <cell r="K5">
            <v>144</v>
          </cell>
          <cell r="L5" t="str">
            <v>2024.03.05</v>
          </cell>
          <cell r="M5" t="str">
            <v>3-配货完成</v>
          </cell>
        </row>
        <row r="5">
          <cell r="P5" t="str">
            <v>哈尔滨东安实业发展有限公司</v>
          </cell>
          <cell r="Q5">
            <v>130</v>
          </cell>
        </row>
        <row r="5">
          <cell r="U5">
            <v>10000665676</v>
          </cell>
          <cell r="V5" t="str">
            <v>PANQIFANG</v>
          </cell>
        </row>
        <row r="5">
          <cell r="X5" t="str">
            <v>CP-108-A</v>
          </cell>
        </row>
        <row r="5">
          <cell r="Z5">
            <v>1906</v>
          </cell>
          <cell r="AA5">
            <v>1100124770</v>
          </cell>
          <cell r="AB5">
            <v>471</v>
          </cell>
        </row>
        <row r="5">
          <cell r="AD5">
            <v>80</v>
          </cell>
          <cell r="AE5" t="str">
            <v>G1302-240205-037</v>
          </cell>
        </row>
        <row r="6">
          <cell r="B6">
            <v>7100788940</v>
          </cell>
          <cell r="C6" t="str">
            <v>G2401-0514</v>
          </cell>
          <cell r="D6">
            <v>42944288001752</v>
          </cell>
          <cell r="E6" t="str">
            <v>UNJ螺纹十二角自锁螺母</v>
          </cell>
          <cell r="F6" t="str">
            <v>Q/8S1335A-04</v>
          </cell>
          <cell r="G6" t="str">
            <v>A-04</v>
          </cell>
          <cell r="H6" t="str">
            <v>σb≥900MPa,HRC27-HRC35</v>
          </cell>
          <cell r="I6" t="str">
            <v>镀银</v>
          </cell>
          <cell r="J6" t="str">
            <v>GH2132</v>
          </cell>
          <cell r="K6">
            <v>198</v>
          </cell>
          <cell r="L6" t="str">
            <v>2024.03.05</v>
          </cell>
          <cell r="M6" t="str">
            <v>3-配货完成</v>
          </cell>
        </row>
        <row r="6">
          <cell r="P6" t="str">
            <v>哈尔滨东安实业发展有限公司</v>
          </cell>
          <cell r="Q6">
            <v>60</v>
          </cell>
        </row>
        <row r="6">
          <cell r="U6">
            <v>10000665676</v>
          </cell>
          <cell r="V6" t="str">
            <v>PANQIFANG</v>
          </cell>
        </row>
        <row r="6">
          <cell r="X6" t="str">
            <v>CP-108-A</v>
          </cell>
        </row>
        <row r="6">
          <cell r="Z6">
            <v>1906</v>
          </cell>
          <cell r="AA6">
            <v>1100123175</v>
          </cell>
          <cell r="AB6">
            <v>320</v>
          </cell>
        </row>
        <row r="6">
          <cell r="AD6">
            <v>66.58</v>
          </cell>
          <cell r="AE6" t="str">
            <v>G1302-240102-004</v>
          </cell>
        </row>
        <row r="7">
          <cell r="B7">
            <v>7100852343</v>
          </cell>
          <cell r="C7" t="str">
            <v>G2408-0847</v>
          </cell>
          <cell r="D7">
            <v>42944240139234</v>
          </cell>
          <cell r="E7" t="str">
            <v>MJ螺纹齿形螺桩</v>
          </cell>
          <cell r="F7" t="str">
            <v>Q/8S1473T-10516T</v>
          </cell>
          <cell r="G7" t="str">
            <v>T-10516T</v>
          </cell>
          <cell r="H7" t="str">
            <v>σb≥1100MPa,293-361HBS</v>
          </cell>
          <cell r="I7" t="str">
            <v>阳极化</v>
          </cell>
          <cell r="J7" t="str">
            <v>TC4</v>
          </cell>
          <cell r="K7">
            <v>164</v>
          </cell>
          <cell r="L7" t="str">
            <v>2024.09.06</v>
          </cell>
          <cell r="M7" t="str">
            <v>3-配货完成</v>
          </cell>
        </row>
        <row r="7">
          <cell r="P7" t="str">
            <v>哈尔滨东安实业发展有限公司</v>
          </cell>
          <cell r="Q7">
            <v>70</v>
          </cell>
        </row>
        <row r="7">
          <cell r="U7">
            <v>10000726583</v>
          </cell>
          <cell r="V7" t="str">
            <v>QIAOXUPENG</v>
          </cell>
        </row>
        <row r="7">
          <cell r="X7" t="str">
            <v>CP-108-A</v>
          </cell>
        </row>
        <row r="7">
          <cell r="Z7">
            <v>1906</v>
          </cell>
          <cell r="AA7">
            <v>1100132269</v>
          </cell>
          <cell r="AB7">
            <v>164</v>
          </cell>
        </row>
        <row r="7">
          <cell r="AD7">
            <v>172.8</v>
          </cell>
          <cell r="AE7" t="str">
            <v>G-100016975-240720-0030</v>
          </cell>
        </row>
        <row r="8">
          <cell r="B8">
            <v>7100857883</v>
          </cell>
          <cell r="C8" t="str">
            <v>G2407-2671</v>
          </cell>
          <cell r="D8">
            <v>42944240114528</v>
          </cell>
          <cell r="E8" t="str">
            <v>MJ螺纹齿形螺桩</v>
          </cell>
          <cell r="F8" t="str">
            <v>Q/8S1473T-10616T</v>
          </cell>
          <cell r="G8" t="str">
            <v>T-10616T</v>
          </cell>
          <cell r="H8" t="str">
            <v>σb≥1100MPa,293-361HBS</v>
          </cell>
          <cell r="I8" t="str">
            <v>阳极化</v>
          </cell>
          <cell r="J8" t="str">
            <v>TC4</v>
          </cell>
          <cell r="K8">
            <v>54</v>
          </cell>
          <cell r="L8" t="str">
            <v>2024.09.24</v>
          </cell>
          <cell r="M8" t="str">
            <v>3-配货完成</v>
          </cell>
        </row>
        <row r="8">
          <cell r="P8" t="str">
            <v>哈尔滨东安实业发展有限公司</v>
          </cell>
          <cell r="Q8">
            <v>20</v>
          </cell>
        </row>
        <row r="8">
          <cell r="U8">
            <v>10000721881</v>
          </cell>
          <cell r="V8" t="str">
            <v>LIZHIFENG</v>
          </cell>
        </row>
        <row r="8">
          <cell r="X8" t="str">
            <v>CP-108-A</v>
          </cell>
        </row>
        <row r="8">
          <cell r="Z8">
            <v>1906</v>
          </cell>
          <cell r="AA8">
            <v>1100132107</v>
          </cell>
          <cell r="AB8">
            <v>54</v>
          </cell>
        </row>
        <row r="8">
          <cell r="AD8">
            <v>172.8</v>
          </cell>
          <cell r="AE8" t="str">
            <v>G-100016975-240720-0029</v>
          </cell>
        </row>
        <row r="9">
          <cell r="B9">
            <v>7100881680</v>
          </cell>
          <cell r="C9" t="str">
            <v>G2411-0875</v>
          </cell>
          <cell r="D9">
            <v>42944440114463</v>
          </cell>
          <cell r="E9" t="str">
            <v>钢丝挡圈</v>
          </cell>
          <cell r="F9" t="str">
            <v>Q/2S5335-6</v>
          </cell>
          <cell r="G9">
            <v>6</v>
          </cell>
        </row>
        <row r="9">
          <cell r="J9" t="str">
            <v>GH4145</v>
          </cell>
          <cell r="K9">
            <v>180</v>
          </cell>
          <cell r="L9" t="str">
            <v>2024.12.01</v>
          </cell>
          <cell r="M9" t="str">
            <v>3-配货完成</v>
          </cell>
        </row>
        <row r="9">
          <cell r="P9" t="str">
            <v>哈尔滨东安实业发展有限公司</v>
          </cell>
          <cell r="Q9">
            <v>10</v>
          </cell>
        </row>
        <row r="9">
          <cell r="U9">
            <v>10000749938</v>
          </cell>
          <cell r="V9" t="str">
            <v>QIAOXUPENG</v>
          </cell>
        </row>
        <row r="9">
          <cell r="X9" t="str">
            <v>CP-108-A</v>
          </cell>
        </row>
        <row r="9">
          <cell r="Z9">
            <v>1906</v>
          </cell>
          <cell r="AA9">
            <v>1100136763</v>
          </cell>
          <cell r="AB9">
            <v>180</v>
          </cell>
        </row>
        <row r="9">
          <cell r="AD9">
            <v>20</v>
          </cell>
          <cell r="AE9" t="str">
            <v>G-100016975-241106-0208</v>
          </cell>
        </row>
        <row r="10">
          <cell r="B10" t="str">
            <v>7100887716</v>
          </cell>
          <cell r="C10" t="str">
            <v>G2409-2571</v>
          </cell>
          <cell r="D10" t="str">
            <v>000042944000046748</v>
          </cell>
          <cell r="E10" t="str">
            <v>带键锁紧螺套</v>
          </cell>
          <cell r="F10" t="str">
            <v>HCB-42-820</v>
          </cell>
          <cell r="G10" t="str">
            <v>-</v>
          </cell>
          <cell r="H10" t="str">
            <v/>
          </cell>
          <cell r="I10" t="str">
            <v/>
          </cell>
          <cell r="J10" t="str">
            <v>组件</v>
          </cell>
          <cell r="K10">
            <v>20</v>
          </cell>
          <cell r="L10">
            <v>45643</v>
          </cell>
          <cell r="M10" t="str">
            <v>4-检验完成</v>
          </cell>
        </row>
        <row r="10">
          <cell r="O10">
            <v>0</v>
          </cell>
          <cell r="P10" t="str">
            <v>哈尔滨东安实业发展有限公司</v>
          </cell>
          <cell r="Q10" t="str">
            <v>10</v>
          </cell>
          <cell r="R10">
            <v>45643</v>
          </cell>
        </row>
        <row r="10">
          <cell r="U10" t="str">
            <v>010000738840</v>
          </cell>
          <cell r="V10" t="str">
            <v>LIZHIFENG</v>
          </cell>
          <cell r="W10" t="str">
            <v/>
          </cell>
          <cell r="X10" t="str">
            <v>CP-108-A</v>
          </cell>
          <cell r="Y10" t="str">
            <v/>
          </cell>
          <cell r="Z10" t="str">
            <v>1906</v>
          </cell>
          <cell r="AA10" t="str">
            <v>1100134227</v>
          </cell>
          <cell r="AB10">
            <v>20</v>
          </cell>
          <cell r="AC10" t="str">
            <v>GJ2409-02571</v>
          </cell>
          <cell r="AD10">
            <v>70</v>
          </cell>
          <cell r="AE10" t="str">
            <v>G-100016975-240910-0040-1</v>
          </cell>
        </row>
        <row r="11">
          <cell r="B11" t="str">
            <v>7100892892</v>
          </cell>
          <cell r="C11" t="str">
            <v>GW2412-009</v>
          </cell>
          <cell r="D11" t="str">
            <v>000042944320007351</v>
          </cell>
          <cell r="E11" t="str">
            <v>半圆头铆钉</v>
          </cell>
          <cell r="F11" t="str">
            <v>HB6236-3×19</v>
          </cell>
          <cell r="G11" t="str">
            <v>3×19</v>
          </cell>
          <cell r="H11" t="str">
            <v>淬火</v>
          </cell>
          <cell r="I11" t="str">
            <v/>
          </cell>
          <cell r="J11" t="str">
            <v>1Cr18Ni9Ti</v>
          </cell>
          <cell r="K11">
            <v>200</v>
          </cell>
          <cell r="L11">
            <v>45659</v>
          </cell>
          <cell r="M11" t="str">
            <v>1-已打印</v>
          </cell>
        </row>
        <row r="11">
          <cell r="O11">
            <v>0</v>
          </cell>
          <cell r="P11" t="str">
            <v>哈尔滨东安实业发展有限公司</v>
          </cell>
          <cell r="Q11" t="str">
            <v>10</v>
          </cell>
        </row>
        <row r="11">
          <cell r="U11" t="str">
            <v/>
          </cell>
          <cell r="V11" t="str">
            <v/>
          </cell>
          <cell r="W11" t="str">
            <v/>
          </cell>
          <cell r="X11" t="str">
            <v>XH-000</v>
          </cell>
          <cell r="Y11" t="str">
            <v/>
          </cell>
          <cell r="Z11" t="str">
            <v>1906</v>
          </cell>
          <cell r="AA11" t="str">
            <v>1100135387</v>
          </cell>
          <cell r="AB11">
            <v>200</v>
          </cell>
          <cell r="AC11" t="str">
            <v/>
          </cell>
          <cell r="AD11">
            <v>0.81</v>
          </cell>
          <cell r="AE11" t="str">
            <v>G-100016975-241014-0042-1-T</v>
          </cell>
        </row>
        <row r="12">
          <cell r="B12" t="str">
            <v>7100892972</v>
          </cell>
          <cell r="C12" t="str">
            <v>G2409-2571</v>
          </cell>
          <cell r="D12" t="str">
            <v>000042944000046748</v>
          </cell>
          <cell r="E12" t="str">
            <v>带键锁紧螺套</v>
          </cell>
          <cell r="F12" t="str">
            <v>HCB-42-820</v>
          </cell>
          <cell r="G12" t="str">
            <v>-</v>
          </cell>
          <cell r="H12" t="str">
            <v/>
          </cell>
          <cell r="I12" t="str">
            <v/>
          </cell>
          <cell r="J12" t="str">
            <v>组件</v>
          </cell>
          <cell r="K12">
            <v>22</v>
          </cell>
          <cell r="L12">
            <v>45659</v>
          </cell>
          <cell r="M12" t="str">
            <v>1-已打印</v>
          </cell>
        </row>
        <row r="12">
          <cell r="O12">
            <v>0</v>
          </cell>
          <cell r="P12" t="str">
            <v>哈尔滨东安实业发展有限公司</v>
          </cell>
          <cell r="Q12" t="str">
            <v>10</v>
          </cell>
        </row>
        <row r="12">
          <cell r="U12" t="str">
            <v>010000738840</v>
          </cell>
          <cell r="V12" t="str">
            <v/>
          </cell>
          <cell r="W12" t="str">
            <v/>
          </cell>
          <cell r="X12" t="str">
            <v>CP-108-A</v>
          </cell>
          <cell r="Y12" t="str">
            <v/>
          </cell>
          <cell r="Z12" t="str">
            <v>1906</v>
          </cell>
          <cell r="AA12" t="str">
            <v>1100131989</v>
          </cell>
          <cell r="AB12">
            <v>30</v>
          </cell>
          <cell r="AC12" t="str">
            <v>GJ2409-02571</v>
          </cell>
          <cell r="AD12">
            <v>70</v>
          </cell>
          <cell r="AE12" t="str">
            <v>G-100016975-240715-0026</v>
          </cell>
        </row>
        <row r="13">
          <cell r="B13" t="str">
            <v>7100895338</v>
          </cell>
          <cell r="C13" t="str">
            <v>GW2501-117</v>
          </cell>
          <cell r="D13" t="str">
            <v>000042944319000359</v>
          </cell>
          <cell r="E13" t="str">
            <v>抗剪型高锁螺母</v>
          </cell>
          <cell r="F13" t="str">
            <v>GJB134.1-1986 M6 LY12-CS 红色阳极化</v>
          </cell>
          <cell r="G13" t="str">
            <v>M6</v>
          </cell>
          <cell r="H13" t="str">
            <v/>
          </cell>
          <cell r="I13" t="str">
            <v>Et·A(s)·Cl(RD)+十六醇</v>
          </cell>
          <cell r="J13" t="str">
            <v>LY12-CS</v>
          </cell>
          <cell r="K13">
            <v>200</v>
          </cell>
          <cell r="L13">
            <v>45664</v>
          </cell>
          <cell r="M13" t="str">
            <v>3-配货完成</v>
          </cell>
        </row>
        <row r="13">
          <cell r="O13">
            <v>0</v>
          </cell>
          <cell r="P13" t="str">
            <v>哈尔滨东安实业发展有限公司</v>
          </cell>
          <cell r="Q13" t="str">
            <v>10</v>
          </cell>
        </row>
        <row r="13">
          <cell r="U13" t="str">
            <v/>
          </cell>
          <cell r="V13" t="str">
            <v>LIZHIFENG</v>
          </cell>
          <cell r="W13" t="str">
            <v/>
          </cell>
          <cell r="X13" t="str">
            <v>XH-000</v>
          </cell>
          <cell r="Y13" t="str">
            <v/>
          </cell>
          <cell r="Z13" t="str">
            <v>1906</v>
          </cell>
          <cell r="AA13" t="str">
            <v>1100136374</v>
          </cell>
          <cell r="AB13">
            <v>200</v>
          </cell>
          <cell r="AC13" t="str">
            <v/>
          </cell>
          <cell r="AD13">
            <v>39.2</v>
          </cell>
          <cell r="AE13" t="str">
            <v>G-100016975-241030-0204-2-T</v>
          </cell>
        </row>
        <row r="14">
          <cell r="B14" t="str">
            <v>7100896489</v>
          </cell>
          <cell r="C14" t="str">
            <v>G2012-0160</v>
          </cell>
          <cell r="D14" t="str">
            <v>000042944240080724</v>
          </cell>
          <cell r="E14" t="str">
            <v>拧入钢件MJ螺纹过盈螺桩</v>
          </cell>
          <cell r="F14" t="str">
            <v>CE3002-CG6×1×34-1</v>
          </cell>
          <cell r="G14" t="str">
            <v>CG6×1×34-1组</v>
          </cell>
          <cell r="H14" t="str">
            <v>26.5-35HRC</v>
          </cell>
          <cell r="I14" t="str">
            <v>镀锌3-5μm</v>
          </cell>
          <cell r="J14" t="str">
            <v>30CrMnSiA</v>
          </cell>
          <cell r="K14">
            <v>34</v>
          </cell>
          <cell r="L14">
            <v>45667</v>
          </cell>
          <cell r="M14" t="str">
            <v>3-配货完成</v>
          </cell>
        </row>
        <row r="14">
          <cell r="O14">
            <v>0</v>
          </cell>
          <cell r="P14" t="str">
            <v>哈尔滨东安实业发展有限公司</v>
          </cell>
          <cell r="Q14" t="str">
            <v>20</v>
          </cell>
        </row>
        <row r="14">
          <cell r="U14" t="str">
            <v>010000305809</v>
          </cell>
          <cell r="V14" t="str">
            <v>PANQIFANG</v>
          </cell>
          <cell r="W14" t="str">
            <v/>
          </cell>
          <cell r="X14" t="str">
            <v>CP-68-4-3-9</v>
          </cell>
          <cell r="Y14" t="str">
            <v/>
          </cell>
          <cell r="Z14" t="str">
            <v>1906</v>
          </cell>
          <cell r="AA14" t="str">
            <v>1100140060</v>
          </cell>
          <cell r="AB14">
            <v>50</v>
          </cell>
          <cell r="AC14" t="str">
            <v>GJ2012-00160</v>
          </cell>
          <cell r="AD14">
            <v>56.96</v>
          </cell>
          <cell r="AE14" t="str">
            <v>G-100016975-250109-0003</v>
          </cell>
        </row>
        <row r="15">
          <cell r="B15" t="str">
            <v>7100898611</v>
          </cell>
          <cell r="C15" t="str">
            <v>G2407-2269</v>
          </cell>
          <cell r="D15" t="str">
            <v>000042944360132759</v>
          </cell>
          <cell r="E15" t="str">
            <v>挡销</v>
          </cell>
          <cell r="F15" t="str">
            <v>AS1791</v>
          </cell>
          <cell r="G15" t="str">
            <v>AS1791-06</v>
          </cell>
          <cell r="H15" t="str">
            <v/>
          </cell>
          <cell r="I15" t="str">
            <v>钝化+固体膜润滑剂</v>
          </cell>
          <cell r="J15" t="str">
            <v>302</v>
          </cell>
          <cell r="K15">
            <v>10</v>
          </cell>
          <cell r="L15">
            <v>45673</v>
          </cell>
          <cell r="M15" t="str">
            <v>3-配货完成</v>
          </cell>
        </row>
        <row r="15">
          <cell r="O15">
            <v>0</v>
          </cell>
          <cell r="P15" t="str">
            <v>哈尔滨东安实业发展有限公司</v>
          </cell>
          <cell r="Q15" t="str">
            <v>20</v>
          </cell>
        </row>
        <row r="15">
          <cell r="U15" t="str">
            <v>010000721067</v>
          </cell>
          <cell r="V15" t="str">
            <v>HANXIAOLAN</v>
          </cell>
          <cell r="W15" t="str">
            <v/>
          </cell>
          <cell r="X15" t="str">
            <v>CP-108-A</v>
          </cell>
          <cell r="Y15" t="str">
            <v/>
          </cell>
          <cell r="Z15" t="str">
            <v>1906</v>
          </cell>
          <cell r="AA15" t="str">
            <v>1100140327</v>
          </cell>
          <cell r="AB15">
            <v>10</v>
          </cell>
          <cell r="AC15" t="str">
            <v/>
          </cell>
          <cell r="AD15">
            <v>31</v>
          </cell>
          <cell r="AE15" t="str">
            <v>G-100016975-250114-0004</v>
          </cell>
        </row>
        <row r="16">
          <cell r="B16" t="str">
            <v>7100898611</v>
          </cell>
          <cell r="C16" t="str">
            <v>G2404-2257</v>
          </cell>
          <cell r="D16" t="str">
            <v>000042944319132758</v>
          </cell>
          <cell r="E16" t="str">
            <v>环槽螺母</v>
          </cell>
          <cell r="F16" t="str">
            <v>AS4370(F版)</v>
          </cell>
          <cell r="G16" t="str">
            <v>AS4370S06-NL</v>
          </cell>
          <cell r="H16" t="str">
            <v/>
          </cell>
          <cell r="I16" t="str">
            <v>钝化+涂固体膜润滑</v>
          </cell>
          <cell r="J16" t="str">
            <v>347</v>
          </cell>
          <cell r="K16">
            <v>10</v>
          </cell>
          <cell r="L16">
            <v>45673</v>
          </cell>
          <cell r="M16" t="str">
            <v>3-配货完成</v>
          </cell>
        </row>
        <row r="16">
          <cell r="O16">
            <v>0</v>
          </cell>
          <cell r="P16" t="str">
            <v>哈尔滨东安实业发展有限公司</v>
          </cell>
          <cell r="Q16" t="str">
            <v>10</v>
          </cell>
        </row>
        <row r="16">
          <cell r="U16" t="str">
            <v>010000694460</v>
          </cell>
          <cell r="V16" t="str">
            <v>HANXIAOLAN</v>
          </cell>
          <cell r="W16" t="str">
            <v/>
          </cell>
          <cell r="X16" t="str">
            <v>CP-108-A</v>
          </cell>
          <cell r="Y16" t="str">
            <v/>
          </cell>
          <cell r="Z16" t="str">
            <v>1906</v>
          </cell>
          <cell r="AA16" t="str">
            <v>1100140327</v>
          </cell>
          <cell r="AB16">
            <v>10</v>
          </cell>
          <cell r="AC16" t="str">
            <v/>
          </cell>
          <cell r="AD16">
            <v>180</v>
          </cell>
          <cell r="AE16" t="str">
            <v>G-100016975-250114-0004</v>
          </cell>
        </row>
        <row r="17">
          <cell r="B17" t="str">
            <v>7100900438</v>
          </cell>
          <cell r="C17" t="str">
            <v>GW2501-271</v>
          </cell>
          <cell r="D17" t="str">
            <v>000042944360002185</v>
          </cell>
          <cell r="E17" t="str">
            <v>弹性圆柱销-直槽-重型</v>
          </cell>
          <cell r="F17" t="str">
            <v>GB/T879-1986-3×12</v>
          </cell>
          <cell r="G17" t="str">
            <v>3×12</v>
          </cell>
          <cell r="H17" t="str">
            <v>420-520HV30</v>
          </cell>
          <cell r="I17" t="str">
            <v>Ct·O</v>
          </cell>
          <cell r="J17" t="str">
            <v>65Mn</v>
          </cell>
          <cell r="K17">
            <v>87</v>
          </cell>
          <cell r="L17">
            <v>45677</v>
          </cell>
          <cell r="M17" t="str">
            <v>4-检验完成</v>
          </cell>
        </row>
        <row r="17">
          <cell r="O17">
            <v>0</v>
          </cell>
          <cell r="P17" t="str">
            <v>哈尔滨东安实业发展有限公司</v>
          </cell>
          <cell r="Q17" t="str">
            <v>30</v>
          </cell>
          <cell r="R17">
            <v>45681</v>
          </cell>
        </row>
        <row r="17">
          <cell r="U17" t="str">
            <v/>
          </cell>
          <cell r="V17" t="str">
            <v>HANXIAOLAN</v>
          </cell>
          <cell r="W17" t="str">
            <v/>
          </cell>
          <cell r="X17" t="str">
            <v>XH-000</v>
          </cell>
          <cell r="Y17" t="str">
            <v/>
          </cell>
          <cell r="Z17" t="str">
            <v>1906</v>
          </cell>
          <cell r="AA17" t="str">
            <v>1100126372</v>
          </cell>
          <cell r="AB17">
            <v>100</v>
          </cell>
          <cell r="AC17" t="str">
            <v/>
          </cell>
          <cell r="AD17">
            <v>0.35</v>
          </cell>
          <cell r="AE17" t="str">
            <v>G-100016975-240319-0008-2-H</v>
          </cell>
        </row>
        <row r="18">
          <cell r="B18" t="str">
            <v>7100900919</v>
          </cell>
          <cell r="C18" t="str">
            <v>G02403-148</v>
          </cell>
          <cell r="D18" t="str">
            <v>000042944999004769</v>
          </cell>
          <cell r="E18" t="str">
            <v>铅封</v>
          </cell>
          <cell r="F18" t="str">
            <v>HB4-53-1983</v>
          </cell>
          <cell r="G18" t="str">
            <v>-</v>
          </cell>
          <cell r="H18" t="str">
            <v/>
          </cell>
          <cell r="I18" t="str">
            <v/>
          </cell>
          <cell r="J18" t="str">
            <v>L6-M</v>
          </cell>
          <cell r="K18">
            <v>100</v>
          </cell>
          <cell r="L18">
            <v>45678</v>
          </cell>
          <cell r="M18" t="str">
            <v>3-配货完成</v>
          </cell>
        </row>
        <row r="18">
          <cell r="O18">
            <v>0</v>
          </cell>
          <cell r="P18" t="str">
            <v>哈尔滨东安实业发展有限公司</v>
          </cell>
          <cell r="Q18" t="str">
            <v>50</v>
          </cell>
        </row>
        <row r="18">
          <cell r="U18" t="str">
            <v/>
          </cell>
          <cell r="V18" t="str">
            <v>PANQIFANG</v>
          </cell>
          <cell r="W18" t="str">
            <v/>
          </cell>
          <cell r="X18" t="str">
            <v>XH-000</v>
          </cell>
          <cell r="Y18" t="str">
            <v/>
          </cell>
          <cell r="Z18" t="str">
            <v>1906</v>
          </cell>
          <cell r="AA18" t="str">
            <v>1100133695</v>
          </cell>
          <cell r="AB18">
            <v>100</v>
          </cell>
          <cell r="AC18" t="str">
            <v/>
          </cell>
          <cell r="AD18">
            <v>3.44</v>
          </cell>
          <cell r="AE18" t="str">
            <v>G-100016975-240827-0039</v>
          </cell>
        </row>
        <row r="19">
          <cell r="B19" t="str">
            <v>7100900920</v>
          </cell>
          <cell r="C19" t="str">
            <v>G02403-148</v>
          </cell>
          <cell r="D19" t="str">
            <v>000042944999004769</v>
          </cell>
          <cell r="E19" t="str">
            <v>铅封</v>
          </cell>
          <cell r="F19" t="str">
            <v>HB4-53-1983</v>
          </cell>
          <cell r="G19" t="str">
            <v>-</v>
          </cell>
          <cell r="H19" t="str">
            <v/>
          </cell>
          <cell r="I19" t="str">
            <v/>
          </cell>
          <cell r="J19" t="str">
            <v>L6-M</v>
          </cell>
          <cell r="K19">
            <v>102</v>
          </cell>
          <cell r="L19">
            <v>45678</v>
          </cell>
          <cell r="M19" t="str">
            <v>3-配货完成</v>
          </cell>
        </row>
        <row r="19">
          <cell r="O19">
            <v>0</v>
          </cell>
          <cell r="P19" t="str">
            <v>哈尔滨东安实业发展有限公司</v>
          </cell>
          <cell r="Q19" t="str">
            <v>20</v>
          </cell>
        </row>
        <row r="19">
          <cell r="U19" t="str">
            <v/>
          </cell>
          <cell r="V19" t="str">
            <v>PANQIFANG</v>
          </cell>
          <cell r="W19" t="str">
            <v/>
          </cell>
          <cell r="X19" t="str">
            <v>XH-000</v>
          </cell>
          <cell r="Y19" t="str">
            <v/>
          </cell>
          <cell r="Z19" t="str">
            <v>1906</v>
          </cell>
          <cell r="AA19" t="str">
            <v>1100135389</v>
          </cell>
          <cell r="AB19">
            <v>102</v>
          </cell>
          <cell r="AC19" t="str">
            <v/>
          </cell>
          <cell r="AD19">
            <v>3.44</v>
          </cell>
          <cell r="AE19" t="str">
            <v>G-100016975-241014-0042-1</v>
          </cell>
        </row>
        <row r="20">
          <cell r="B20" t="str">
            <v>7100901090</v>
          </cell>
          <cell r="C20" t="str">
            <v>G2407-2355</v>
          </cell>
          <cell r="D20" t="str">
            <v>000042944240127772</v>
          </cell>
          <cell r="E20" t="str">
            <v>对转齿轮箱密封定位销</v>
          </cell>
          <cell r="F20" t="str">
            <v>Yn138-1.27.410</v>
          </cell>
          <cell r="G20" t="str">
            <v>-</v>
          </cell>
          <cell r="H20" t="str">
            <v/>
          </cell>
          <cell r="I20" t="str">
            <v/>
          </cell>
          <cell r="J20" t="str">
            <v>06Cr18Ni10</v>
          </cell>
          <cell r="K20">
            <v>20</v>
          </cell>
          <cell r="L20">
            <v>45678</v>
          </cell>
          <cell r="M20" t="str">
            <v>3-配货完成</v>
          </cell>
        </row>
        <row r="20">
          <cell r="O20">
            <v>0</v>
          </cell>
          <cell r="P20" t="str">
            <v>哈尔滨东安实业发展有限公司</v>
          </cell>
          <cell r="Q20" t="str">
            <v>10</v>
          </cell>
        </row>
        <row r="20">
          <cell r="U20" t="str">
            <v>010000721177</v>
          </cell>
          <cell r="V20" t="str">
            <v>HANXIAOLAN</v>
          </cell>
          <cell r="W20" t="str">
            <v/>
          </cell>
          <cell r="X20" t="str">
            <v>CP-108-A</v>
          </cell>
          <cell r="Y20" t="str">
            <v/>
          </cell>
          <cell r="Z20" t="str">
            <v>1906</v>
          </cell>
          <cell r="AA20" t="str">
            <v>1100123040</v>
          </cell>
          <cell r="AB20">
            <v>20</v>
          </cell>
          <cell r="AC20" t="str">
            <v/>
          </cell>
          <cell r="AD20">
            <v>20</v>
          </cell>
          <cell r="AE20" t="str">
            <v>G1302-240102-286</v>
          </cell>
        </row>
        <row r="21">
          <cell r="B21" t="str">
            <v>7100902964</v>
          </cell>
          <cell r="C21" t="str">
            <v>G2411-2181</v>
          </cell>
          <cell r="D21" t="str">
            <v>000042944240111065</v>
          </cell>
          <cell r="E21" t="str">
            <v>周向锁紧UNF螺纹螺桩</v>
          </cell>
          <cell r="F21" t="str">
            <v>SAEAS51989C-2018</v>
          </cell>
          <cell r="G21" t="str">
            <v>MS51989E206-23</v>
          </cell>
          <cell r="H21" t="str">
            <v/>
          </cell>
          <cell r="I21" t="str">
            <v>钝化</v>
          </cell>
          <cell r="J21" t="str">
            <v>A286</v>
          </cell>
          <cell r="K21">
            <v>47</v>
          </cell>
          <cell r="L21">
            <v>45691</v>
          </cell>
          <cell r="M21" t="str">
            <v>3-配货完成</v>
          </cell>
        </row>
        <row r="21">
          <cell r="O21">
            <v>0</v>
          </cell>
          <cell r="P21" t="str">
            <v>哈尔滨东安实业发展有限公司</v>
          </cell>
          <cell r="Q21" t="str">
            <v>20</v>
          </cell>
        </row>
        <row r="21">
          <cell r="U21" t="str">
            <v>010000753713</v>
          </cell>
          <cell r="V21" t="str">
            <v>LIZHIFENG</v>
          </cell>
          <cell r="W21" t="str">
            <v/>
          </cell>
          <cell r="X21" t="str">
            <v>CP-108-A</v>
          </cell>
          <cell r="Y21" t="str">
            <v/>
          </cell>
          <cell r="Z21" t="str">
            <v>1906</v>
          </cell>
          <cell r="AA21" t="str">
            <v>1100131980</v>
          </cell>
          <cell r="AB21">
            <v>284</v>
          </cell>
          <cell r="AC21" t="str">
            <v/>
          </cell>
          <cell r="AD21">
            <v>173.14</v>
          </cell>
          <cell r="AE21" t="str">
            <v>G-100016975-240708-0023</v>
          </cell>
        </row>
        <row r="22">
          <cell r="B22" t="str">
            <v>7100902965</v>
          </cell>
          <cell r="C22" t="str">
            <v>G2411-2181</v>
          </cell>
          <cell r="D22" t="str">
            <v>000042944240111065</v>
          </cell>
          <cell r="E22" t="str">
            <v>周向锁紧UNF螺纹螺桩</v>
          </cell>
          <cell r="F22" t="str">
            <v>SAEAS51989C-2018</v>
          </cell>
          <cell r="G22" t="str">
            <v>MS51989E206-23</v>
          </cell>
          <cell r="H22" t="str">
            <v/>
          </cell>
          <cell r="I22" t="str">
            <v>钝化</v>
          </cell>
          <cell r="J22" t="str">
            <v>A286</v>
          </cell>
          <cell r="K22">
            <v>47</v>
          </cell>
          <cell r="L22">
            <v>45691</v>
          </cell>
          <cell r="M22" t="str">
            <v>3-配货完成</v>
          </cell>
        </row>
        <row r="22">
          <cell r="O22">
            <v>0</v>
          </cell>
          <cell r="P22" t="str">
            <v>哈尔滨东安实业发展有限公司</v>
          </cell>
          <cell r="Q22" t="str">
            <v>40</v>
          </cell>
        </row>
        <row r="22">
          <cell r="U22" t="str">
            <v>010000753713</v>
          </cell>
          <cell r="V22" t="str">
            <v>LIZHIFENG</v>
          </cell>
          <cell r="W22" t="str">
            <v/>
          </cell>
          <cell r="X22" t="str">
            <v>CP-108-A</v>
          </cell>
          <cell r="Y22" t="str">
            <v/>
          </cell>
          <cell r="Z22" t="str">
            <v>1906</v>
          </cell>
          <cell r="AA22" t="str">
            <v>1100139149</v>
          </cell>
          <cell r="AB22">
            <v>65</v>
          </cell>
          <cell r="AC22" t="str">
            <v/>
          </cell>
          <cell r="AD22">
            <v>173.14</v>
          </cell>
          <cell r="AE22" t="str">
            <v>G-100016975-241223-0215</v>
          </cell>
        </row>
        <row r="23">
          <cell r="B23" t="str">
            <v>7100903474</v>
          </cell>
          <cell r="C23" t="str">
            <v>G2411-0189</v>
          </cell>
          <cell r="D23" t="str">
            <v>000042944000020595</v>
          </cell>
          <cell r="E23" t="str">
            <v>波形弹性卡箍</v>
          </cell>
          <cell r="F23" t="str">
            <v>8S.DFD20.9.001</v>
          </cell>
          <cell r="G23" t="str">
            <v>-</v>
          </cell>
          <cell r="H23" t="str">
            <v/>
          </cell>
          <cell r="I23" t="str">
            <v/>
          </cell>
          <cell r="J23" t="str">
            <v>0Cr18Ni9</v>
          </cell>
          <cell r="K23">
            <v>62</v>
          </cell>
          <cell r="L23">
            <v>45695</v>
          </cell>
          <cell r="M23" t="str">
            <v>3-配货完成</v>
          </cell>
        </row>
        <row r="23">
          <cell r="O23">
            <v>0</v>
          </cell>
          <cell r="P23" t="str">
            <v>哈尔滨东安实业发展有限公司</v>
          </cell>
          <cell r="Q23" t="str">
            <v>10</v>
          </cell>
        </row>
        <row r="23">
          <cell r="U23" t="str">
            <v>010000747410</v>
          </cell>
          <cell r="V23" t="str">
            <v>HANXIAOLAN</v>
          </cell>
          <cell r="W23" t="str">
            <v/>
          </cell>
          <cell r="X23" t="str">
            <v>CP-108-A</v>
          </cell>
          <cell r="Y23" t="str">
            <v/>
          </cell>
          <cell r="Z23" t="str">
            <v>1906</v>
          </cell>
          <cell r="AA23" t="str">
            <v>1100135405</v>
          </cell>
          <cell r="AB23">
            <v>100</v>
          </cell>
          <cell r="AC23" t="str">
            <v/>
          </cell>
          <cell r="AD23">
            <v>50</v>
          </cell>
          <cell r="AE23" t="str">
            <v>G-100016975-241014-0041</v>
          </cell>
        </row>
        <row r="24">
          <cell r="B24" t="str">
            <v>7100903475</v>
          </cell>
          <cell r="C24" t="str">
            <v>G2411-0189</v>
          </cell>
          <cell r="D24" t="str">
            <v>000042944000020595</v>
          </cell>
          <cell r="E24" t="str">
            <v>波形弹性卡箍</v>
          </cell>
          <cell r="F24" t="str">
            <v>8S.DFD20.9.001</v>
          </cell>
          <cell r="G24" t="str">
            <v>-</v>
          </cell>
          <cell r="H24" t="str">
            <v/>
          </cell>
          <cell r="I24" t="str">
            <v/>
          </cell>
          <cell r="J24" t="str">
            <v>0Cr18Ni9</v>
          </cell>
          <cell r="K24">
            <v>69</v>
          </cell>
          <cell r="L24">
            <v>45695</v>
          </cell>
          <cell r="M24" t="str">
            <v>4-检验完成</v>
          </cell>
        </row>
        <row r="24">
          <cell r="O24">
            <v>0</v>
          </cell>
          <cell r="P24" t="str">
            <v>哈尔滨东安实业发展有限公司</v>
          </cell>
          <cell r="Q24" t="str">
            <v>10</v>
          </cell>
          <cell r="R24">
            <v>45698</v>
          </cell>
        </row>
        <row r="24">
          <cell r="U24" t="str">
            <v>010000747410</v>
          </cell>
          <cell r="V24" t="str">
            <v>HANXIAOLAN</v>
          </cell>
          <cell r="W24" t="str">
            <v/>
          </cell>
          <cell r="X24" t="str">
            <v>CP-108-A</v>
          </cell>
          <cell r="Y24" t="str">
            <v/>
          </cell>
          <cell r="Z24" t="str">
            <v>1906</v>
          </cell>
          <cell r="AA24" t="str">
            <v>1100135867</v>
          </cell>
          <cell r="AB24">
            <v>200</v>
          </cell>
          <cell r="AC24" t="str">
            <v/>
          </cell>
          <cell r="AD24">
            <v>50</v>
          </cell>
          <cell r="AE24" t="str">
            <v>G-100016975-241021-0202</v>
          </cell>
        </row>
        <row r="25">
          <cell r="B25" t="str">
            <v>7100905620</v>
          </cell>
          <cell r="C25" t="str">
            <v>GW2502-022</v>
          </cell>
          <cell r="D25" t="str">
            <v>000042944360142319</v>
          </cell>
          <cell r="E25" t="str">
            <v>弹性圆柱销-直槽-重型</v>
          </cell>
          <cell r="F25" t="str">
            <v>GB879-1986-3×14-65MN-表面氧化</v>
          </cell>
          <cell r="G25" t="str">
            <v>3×14</v>
          </cell>
          <cell r="H25" t="str">
            <v>420-520HV30</v>
          </cell>
          <cell r="I25" t="str">
            <v>Ct·O</v>
          </cell>
          <cell r="J25" t="str">
            <v>65Mn</v>
          </cell>
          <cell r="K25">
            <v>91</v>
          </cell>
          <cell r="L25">
            <v>45701</v>
          </cell>
          <cell r="M25" t="str">
            <v>4-检验完成</v>
          </cell>
        </row>
        <row r="25">
          <cell r="O25">
            <v>0</v>
          </cell>
          <cell r="P25" t="str">
            <v>哈尔滨东安实业发展有限公司</v>
          </cell>
          <cell r="Q25" t="str">
            <v>10</v>
          </cell>
          <cell r="R25">
            <v>45706</v>
          </cell>
        </row>
        <row r="25">
          <cell r="U25" t="str">
            <v/>
          </cell>
          <cell r="V25" t="str">
            <v>QIAOXUPENG</v>
          </cell>
          <cell r="W25" t="str">
            <v/>
          </cell>
          <cell r="X25" t="str">
            <v>XH-000</v>
          </cell>
          <cell r="Y25" t="str">
            <v/>
          </cell>
          <cell r="Z25" t="str">
            <v>1906</v>
          </cell>
          <cell r="AA25" t="str">
            <v>1100126372</v>
          </cell>
          <cell r="AB25">
            <v>100</v>
          </cell>
          <cell r="AC25" t="str">
            <v/>
          </cell>
          <cell r="AD25">
            <v>0.35</v>
          </cell>
          <cell r="AE25" t="str">
            <v>G-100016975-240319-0008-2-H</v>
          </cell>
        </row>
        <row r="26">
          <cell r="B26" t="str">
            <v>7100905628</v>
          </cell>
          <cell r="C26" t="str">
            <v>GW2502-023</v>
          </cell>
          <cell r="D26" t="str">
            <v>000042944360142319</v>
          </cell>
          <cell r="E26" t="str">
            <v>弹性圆柱销-直槽-重型</v>
          </cell>
          <cell r="F26" t="str">
            <v>GB879-2000-3×14-65MN-表面氧化</v>
          </cell>
          <cell r="G26" t="str">
            <v>3×14</v>
          </cell>
          <cell r="H26" t="str">
            <v>420-520HV30</v>
          </cell>
          <cell r="I26" t="str">
            <v>Ct·O</v>
          </cell>
          <cell r="J26" t="str">
            <v>65Mn</v>
          </cell>
          <cell r="K26">
            <v>85</v>
          </cell>
          <cell r="L26">
            <v>45701</v>
          </cell>
          <cell r="M26" t="str">
            <v>4-检验完成</v>
          </cell>
        </row>
        <row r="26">
          <cell r="O26">
            <v>0</v>
          </cell>
          <cell r="P26" t="str">
            <v>哈尔滨东安实业发展有限公司</v>
          </cell>
          <cell r="Q26" t="str">
            <v>10</v>
          </cell>
          <cell r="R26">
            <v>45707</v>
          </cell>
        </row>
        <row r="26">
          <cell r="U26" t="str">
            <v/>
          </cell>
          <cell r="V26" t="str">
            <v>LIZHIFENG</v>
          </cell>
          <cell r="W26" t="str">
            <v/>
          </cell>
          <cell r="X26" t="str">
            <v>XH-000</v>
          </cell>
          <cell r="Y26" t="str">
            <v/>
          </cell>
          <cell r="Z26" t="str">
            <v>1906</v>
          </cell>
          <cell r="AA26" t="str">
            <v>1100123318</v>
          </cell>
          <cell r="AB26">
            <v>85</v>
          </cell>
          <cell r="AC26" t="str">
            <v/>
          </cell>
          <cell r="AD26">
            <v>0.5</v>
          </cell>
          <cell r="AE26" t="str">
            <v>G1302-240109-022-H</v>
          </cell>
        </row>
        <row r="27">
          <cell r="B27" t="str">
            <v>7100907489</v>
          </cell>
          <cell r="C27" t="str">
            <v>GW2502-078</v>
          </cell>
          <cell r="D27" t="str">
            <v>000042944360002191</v>
          </cell>
          <cell r="E27" t="str">
            <v>弹性圆柱销-直槽-重型</v>
          </cell>
          <cell r="F27" t="str">
            <v>GB/T879.1-2000</v>
          </cell>
          <cell r="G27" t="str">
            <v>3×20</v>
          </cell>
          <cell r="H27" t="str">
            <v>420-520HV30</v>
          </cell>
          <cell r="I27" t="str">
            <v>Ct·O</v>
          </cell>
          <cell r="J27" t="str">
            <v>65Mn</v>
          </cell>
          <cell r="K27">
            <v>98</v>
          </cell>
          <cell r="L27">
            <v>45706</v>
          </cell>
          <cell r="M27" t="str">
            <v>4-检验完成</v>
          </cell>
        </row>
        <row r="27">
          <cell r="O27">
            <v>0</v>
          </cell>
          <cell r="P27" t="str">
            <v>哈尔滨东安实业发展有限公司</v>
          </cell>
          <cell r="Q27" t="str">
            <v>40</v>
          </cell>
          <cell r="R27">
            <v>45708</v>
          </cell>
        </row>
        <row r="27">
          <cell r="U27" t="str">
            <v/>
          </cell>
          <cell r="V27" t="str">
            <v>QIAOXUPENG</v>
          </cell>
          <cell r="W27" t="str">
            <v/>
          </cell>
          <cell r="X27" t="str">
            <v>XH-000</v>
          </cell>
          <cell r="Y27" t="str">
            <v/>
          </cell>
          <cell r="Z27" t="str">
            <v>1906</v>
          </cell>
          <cell r="AA27" t="str">
            <v>1100122539</v>
          </cell>
          <cell r="AB27">
            <v>100</v>
          </cell>
          <cell r="AC27" t="str">
            <v/>
          </cell>
          <cell r="AD27">
            <v>0.9</v>
          </cell>
          <cell r="AE27" t="str">
            <v>G1302-231220-286-H</v>
          </cell>
        </row>
        <row r="28">
          <cell r="B28" t="str">
            <v>7100907512</v>
          </cell>
          <cell r="C28" t="str">
            <v>GW2502-049</v>
          </cell>
          <cell r="D28" t="str">
            <v>000042944360002191</v>
          </cell>
          <cell r="E28" t="str">
            <v>弹性圆柱销-直槽-重型</v>
          </cell>
          <cell r="F28" t="str">
            <v>GB/T879-1986-3×20</v>
          </cell>
          <cell r="G28" t="str">
            <v>3×20</v>
          </cell>
          <cell r="H28" t="str">
            <v>420-520HV30</v>
          </cell>
          <cell r="I28" t="str">
            <v>Ct·O</v>
          </cell>
          <cell r="J28" t="str">
            <v>65Mn</v>
          </cell>
          <cell r="K28">
            <v>98</v>
          </cell>
          <cell r="L28">
            <v>45706</v>
          </cell>
          <cell r="M28" t="str">
            <v>3-配货完成</v>
          </cell>
        </row>
        <row r="28">
          <cell r="O28">
            <v>0</v>
          </cell>
          <cell r="P28" t="str">
            <v>哈尔滨东安实业发展有限公司</v>
          </cell>
          <cell r="Q28" t="str">
            <v>20</v>
          </cell>
        </row>
        <row r="28">
          <cell r="U28" t="str">
            <v/>
          </cell>
          <cell r="V28" t="str">
            <v>LIZHIFENG</v>
          </cell>
          <cell r="W28" t="str">
            <v/>
          </cell>
          <cell r="X28" t="str">
            <v>XH-000</v>
          </cell>
          <cell r="Y28" t="str">
            <v/>
          </cell>
          <cell r="Z28" t="str">
            <v>1906</v>
          </cell>
          <cell r="AA28" t="str">
            <v>1100126376</v>
          </cell>
          <cell r="AB28">
            <v>100</v>
          </cell>
          <cell r="AC28" t="str">
            <v/>
          </cell>
          <cell r="AD28">
            <v>0.9</v>
          </cell>
          <cell r="AE28" t="str">
            <v>G-100016975-240319-0009-1-H</v>
          </cell>
        </row>
        <row r="29">
          <cell r="B29" t="str">
            <v>7100907990</v>
          </cell>
          <cell r="C29" t="str">
            <v>GW2502-077</v>
          </cell>
          <cell r="D29" t="str">
            <v>000042944360142321</v>
          </cell>
          <cell r="E29" t="str">
            <v>弹性圆柱销-直槽-重型</v>
          </cell>
          <cell r="F29" t="str">
            <v>GB/T879.1-2000</v>
          </cell>
          <cell r="G29" t="str">
            <v>3×18</v>
          </cell>
          <cell r="H29" t="str">
            <v>420-520HV30</v>
          </cell>
          <cell r="I29" t="str">
            <v>Ct·O</v>
          </cell>
          <cell r="J29" t="str">
            <v>65Mn</v>
          </cell>
          <cell r="K29">
            <v>100</v>
          </cell>
          <cell r="L29">
            <v>45707</v>
          </cell>
          <cell r="M29" t="str">
            <v>3-配货完成</v>
          </cell>
        </row>
        <row r="29">
          <cell r="O29">
            <v>0</v>
          </cell>
          <cell r="P29" t="str">
            <v>哈尔滨东安实业发展有限公司</v>
          </cell>
          <cell r="Q29" t="str">
            <v>30</v>
          </cell>
        </row>
        <row r="29">
          <cell r="U29" t="str">
            <v/>
          </cell>
          <cell r="V29" t="str">
            <v>LIZHIFENG</v>
          </cell>
          <cell r="W29" t="str">
            <v/>
          </cell>
          <cell r="X29" t="str">
            <v>XH-000</v>
          </cell>
          <cell r="Y29" t="str">
            <v/>
          </cell>
          <cell r="Z29" t="str">
            <v>1906</v>
          </cell>
          <cell r="AA29" t="str">
            <v>1100122539</v>
          </cell>
          <cell r="AB29">
            <v>100</v>
          </cell>
          <cell r="AC29" t="str">
            <v/>
          </cell>
          <cell r="AD29">
            <v>0.4</v>
          </cell>
          <cell r="AE29" t="str">
            <v>G1302-231220-286-H</v>
          </cell>
        </row>
        <row r="30">
          <cell r="B30" t="str">
            <v>7100890709</v>
          </cell>
          <cell r="C30" t="str">
            <v>G2409-1502</v>
          </cell>
          <cell r="D30" t="str">
            <v>000042944039117391</v>
          </cell>
          <cell r="E30" t="str">
            <v>管接螺套</v>
          </cell>
          <cell r="F30" t="str">
            <v>AS3078</v>
          </cell>
          <cell r="G30" t="str">
            <v>AS3078-10</v>
          </cell>
          <cell r="H30" t="str">
            <v>≥29HRC</v>
          </cell>
          <cell r="I30" t="str">
            <v>钝化</v>
          </cell>
          <cell r="J30" t="str">
            <v>A286</v>
          </cell>
          <cell r="K30">
            <v>20</v>
          </cell>
          <cell r="L30">
            <v>45650</v>
          </cell>
          <cell r="M30" t="str">
            <v>3-配货完成</v>
          </cell>
        </row>
        <row r="30">
          <cell r="O30">
            <v>0</v>
          </cell>
          <cell r="P30" t="str">
            <v>哈尔滨东安实业发展有限公司</v>
          </cell>
          <cell r="Q30" t="str">
            <v>90</v>
          </cell>
        </row>
        <row r="30">
          <cell r="U30" t="str">
            <v>010000735481</v>
          </cell>
          <cell r="V30" t="str">
            <v>LIZHIFENG</v>
          </cell>
          <cell r="W30" t="str">
            <v/>
          </cell>
          <cell r="X30" t="str">
            <v>CP-108-A</v>
          </cell>
          <cell r="Y30" t="str">
            <v/>
          </cell>
          <cell r="Z30" t="str">
            <v>1906</v>
          </cell>
          <cell r="AA30" t="str">
            <v>1100139149</v>
          </cell>
          <cell r="AB30">
            <v>50</v>
          </cell>
          <cell r="AC30" t="str">
            <v/>
          </cell>
          <cell r="AD30">
            <v>280</v>
          </cell>
          <cell r="AE30" t="str">
            <v>G-100016975-241223-0215</v>
          </cell>
        </row>
        <row r="31">
          <cell r="B31" t="str">
            <v>7100890709</v>
          </cell>
          <cell r="C31" t="str">
            <v>G2403-1438</v>
          </cell>
          <cell r="D31" t="str">
            <v>000042944000117412</v>
          </cell>
          <cell r="E31" t="str">
            <v>止动环</v>
          </cell>
          <cell r="F31" t="str">
            <v>AS3077</v>
          </cell>
          <cell r="G31" t="str">
            <v>AS3077-10</v>
          </cell>
          <cell r="H31" t="str">
            <v>33-42HRC</v>
          </cell>
          <cell r="I31" t="str">
            <v>钝化</v>
          </cell>
          <cell r="J31" t="str">
            <v>A286</v>
          </cell>
          <cell r="K31">
            <v>12</v>
          </cell>
          <cell r="L31">
            <v>45650</v>
          </cell>
          <cell r="M31" t="str">
            <v>3-配货完成</v>
          </cell>
        </row>
        <row r="31">
          <cell r="O31">
            <v>0</v>
          </cell>
          <cell r="P31" t="str">
            <v>哈尔滨东安实业发展有限公司</v>
          </cell>
          <cell r="Q31" t="str">
            <v>80</v>
          </cell>
        </row>
        <row r="31">
          <cell r="U31" t="str">
            <v>010000681732</v>
          </cell>
          <cell r="V31" t="str">
            <v>LIZHIFENG</v>
          </cell>
          <cell r="W31" t="str">
            <v/>
          </cell>
          <cell r="X31" t="str">
            <v>CP-108-A</v>
          </cell>
          <cell r="Y31" t="str">
            <v/>
          </cell>
          <cell r="Z31" t="str">
            <v>1906</v>
          </cell>
          <cell r="AA31" t="str">
            <v>1100139149</v>
          </cell>
          <cell r="AB31">
            <v>50</v>
          </cell>
          <cell r="AC31" t="str">
            <v/>
          </cell>
          <cell r="AD31">
            <v>72.5</v>
          </cell>
          <cell r="AE31" t="str">
            <v>G-100016975-241223-0215</v>
          </cell>
        </row>
        <row r="32">
          <cell r="B32">
            <v>7100911173</v>
          </cell>
          <cell r="C32" t="str">
            <v>G2410-1350</v>
          </cell>
          <cell r="D32">
            <v>42944239004239</v>
          </cell>
          <cell r="E32" t="str">
            <v>高锁螺栓</v>
          </cell>
          <cell r="F32" t="str">
            <v>GJB134.2-6×14</v>
          </cell>
          <cell r="G32" t="str">
            <v>6×14</v>
          </cell>
          <cell r="H32" t="str">
            <v>σb=1175±100MPa</v>
          </cell>
          <cell r="I32" t="str">
            <v>Ct·O+Dp·CA</v>
          </cell>
          <cell r="J32" t="str">
            <v>ML30CrMnSiA</v>
          </cell>
          <cell r="K32">
            <v>48</v>
          </cell>
          <cell r="L32">
            <v>45713</v>
          </cell>
          <cell r="M32" t="str">
            <v>7-发运完成</v>
          </cell>
          <cell r="N32">
            <v>45713</v>
          </cell>
          <cell r="O32">
            <v>0.86693287037037</v>
          </cell>
          <cell r="P32" t="str">
            <v>哈尔滨东安实业发展有限公司</v>
          </cell>
          <cell r="Q32">
            <v>50</v>
          </cell>
          <cell r="R32">
            <v>45713</v>
          </cell>
          <cell r="S32">
            <v>45713</v>
          </cell>
          <cell r="T32">
            <v>45713</v>
          </cell>
          <cell r="U32">
            <v>10000742693</v>
          </cell>
          <cell r="V32" t="str">
            <v>QIAOXUPENG</v>
          </cell>
        </row>
        <row r="32">
          <cell r="X32" t="str">
            <v>CP-108-A</v>
          </cell>
          <cell r="Y32" t="str">
            <v>FENGWENMENG</v>
          </cell>
          <cell r="Z32">
            <v>1906</v>
          </cell>
          <cell r="AA32">
            <v>1100124770</v>
          </cell>
          <cell r="AB32">
            <v>320</v>
          </cell>
        </row>
        <row r="32">
          <cell r="AD32">
            <v>30</v>
          </cell>
          <cell r="AE32" t="str">
            <v>G1302-240205-037</v>
          </cell>
        </row>
        <row r="33">
          <cell r="B33">
            <v>7100911172</v>
          </cell>
          <cell r="C33" t="str">
            <v>G2410-1350</v>
          </cell>
          <cell r="D33">
            <v>42944239004239</v>
          </cell>
          <cell r="E33" t="str">
            <v>高锁螺栓</v>
          </cell>
          <cell r="F33" t="str">
            <v>GJB134.2-6×14</v>
          </cell>
          <cell r="G33" t="str">
            <v>6×14</v>
          </cell>
          <cell r="H33" t="str">
            <v>σb=1175±100MPa</v>
          </cell>
          <cell r="I33" t="str">
            <v>Ct·O+Dp·CA</v>
          </cell>
          <cell r="J33" t="str">
            <v>ML30CrMnSiA</v>
          </cell>
          <cell r="K33">
            <v>35</v>
          </cell>
          <cell r="L33">
            <v>45713</v>
          </cell>
          <cell r="M33" t="str">
            <v>7-发运完成</v>
          </cell>
          <cell r="N33">
            <v>45713</v>
          </cell>
          <cell r="O33">
            <v>0.866828703703704</v>
          </cell>
          <cell r="P33" t="str">
            <v>哈尔滨东安实业发展有限公司</v>
          </cell>
          <cell r="Q33">
            <v>10</v>
          </cell>
          <cell r="R33">
            <v>45713</v>
          </cell>
          <cell r="S33">
            <v>45713</v>
          </cell>
          <cell r="T33">
            <v>45713</v>
          </cell>
          <cell r="U33">
            <v>10000742693</v>
          </cell>
          <cell r="V33" t="str">
            <v>QIAOXUPENG</v>
          </cell>
        </row>
        <row r="33">
          <cell r="X33" t="str">
            <v>CP-108-A</v>
          </cell>
          <cell r="Y33" t="str">
            <v>FENGWENMENG</v>
          </cell>
          <cell r="Z33">
            <v>1906</v>
          </cell>
          <cell r="AA33">
            <v>1100135396</v>
          </cell>
          <cell r="AB33">
            <v>85</v>
          </cell>
        </row>
        <row r="33">
          <cell r="AD33">
            <v>30</v>
          </cell>
          <cell r="AE33" t="str">
            <v>G-100016332-241012-0201</v>
          </cell>
        </row>
        <row r="34">
          <cell r="B34">
            <v>7100911083</v>
          </cell>
          <cell r="C34" t="str">
            <v>G2410-0344</v>
          </cell>
          <cell r="D34">
            <v>42944239004239</v>
          </cell>
          <cell r="E34" t="str">
            <v>高锁螺栓</v>
          </cell>
          <cell r="F34" t="str">
            <v>GJB134.2-6×14</v>
          </cell>
          <cell r="G34" t="str">
            <v>6×14</v>
          </cell>
          <cell r="H34" t="str">
            <v>σb=1175±100MPa</v>
          </cell>
          <cell r="I34" t="str">
            <v>Ct·O+Dp·CA</v>
          </cell>
          <cell r="J34" t="str">
            <v>ML30CrMnSiA</v>
          </cell>
          <cell r="K34">
            <v>50</v>
          </cell>
          <cell r="L34">
            <v>45713</v>
          </cell>
          <cell r="M34" t="str">
            <v>7-发运完成</v>
          </cell>
          <cell r="N34">
            <v>45713</v>
          </cell>
          <cell r="O34">
            <v>0.866736111111111</v>
          </cell>
          <cell r="P34" t="str">
            <v>哈尔滨东安实业发展有限公司</v>
          </cell>
          <cell r="Q34">
            <v>10</v>
          </cell>
          <cell r="R34">
            <v>45713</v>
          </cell>
          <cell r="S34">
            <v>45713</v>
          </cell>
          <cell r="T34">
            <v>45713</v>
          </cell>
          <cell r="U34">
            <v>10000740123</v>
          </cell>
          <cell r="V34" t="str">
            <v>PANQIFANG</v>
          </cell>
        </row>
        <row r="34">
          <cell r="X34" t="str">
            <v>CP-108-A</v>
          </cell>
          <cell r="Y34" t="str">
            <v>FENGWENMENG</v>
          </cell>
          <cell r="Z34">
            <v>1906</v>
          </cell>
          <cell r="AA34">
            <v>1100135396</v>
          </cell>
          <cell r="AB34">
            <v>85</v>
          </cell>
        </row>
        <row r="34">
          <cell r="AD34">
            <v>30</v>
          </cell>
          <cell r="AE34" t="str">
            <v>G-100016332-241012-0201</v>
          </cell>
        </row>
        <row r="35">
          <cell r="B35">
            <v>7100910765</v>
          </cell>
          <cell r="C35" t="str">
            <v>G2411-2938</v>
          </cell>
          <cell r="D35">
            <v>42944320129178</v>
          </cell>
          <cell r="E35" t="str">
            <v>铆钉</v>
          </cell>
          <cell r="F35" t="str">
            <v>1B21217TB2406</v>
          </cell>
          <cell r="G35" t="str">
            <v>-</v>
          </cell>
          <cell r="H35" t="str">
            <v>τb≥350MPa</v>
          </cell>
          <cell r="I35" t="str">
            <v>钝化</v>
          </cell>
          <cell r="J35" t="str">
            <v>NCu28-2.5-1.5</v>
          </cell>
          <cell r="K35">
            <v>65</v>
          </cell>
          <cell r="L35">
            <v>45713</v>
          </cell>
          <cell r="M35" t="str">
            <v>7-发运完成</v>
          </cell>
          <cell r="N35">
            <v>45713</v>
          </cell>
          <cell r="O35">
            <v>0.866643518518519</v>
          </cell>
          <cell r="P35" t="str">
            <v>哈尔滨东安实业发展有限公司</v>
          </cell>
          <cell r="Q35">
            <v>10</v>
          </cell>
          <cell r="R35">
            <v>45713</v>
          </cell>
          <cell r="S35">
            <v>45713</v>
          </cell>
          <cell r="T35">
            <v>45713</v>
          </cell>
          <cell r="U35">
            <v>10000755871</v>
          </cell>
          <cell r="V35" t="str">
            <v>QIAOXUPENG</v>
          </cell>
        </row>
        <row r="35">
          <cell r="X35" t="str">
            <v>CP-108-A</v>
          </cell>
          <cell r="Y35" t="str">
            <v>FENGWENMENG</v>
          </cell>
          <cell r="Z35">
            <v>1906</v>
          </cell>
          <cell r="AA35">
            <v>1100132292</v>
          </cell>
          <cell r="AB35">
            <v>500</v>
          </cell>
        </row>
        <row r="35">
          <cell r="AD35">
            <v>4.3</v>
          </cell>
          <cell r="AE35" t="str">
            <v>G-100016975-240722-0032</v>
          </cell>
        </row>
        <row r="36">
          <cell r="B36" t="str">
            <v>7100910751</v>
          </cell>
          <cell r="C36" t="str">
            <v>G2102-1046</v>
          </cell>
          <cell r="D36" t="str">
            <v>000042944999000154</v>
          </cell>
          <cell r="E36" t="str">
            <v>扇形锯齿锁紧环</v>
          </cell>
          <cell r="F36" t="str">
            <v>1B52511-120ADL</v>
          </cell>
          <cell r="G36" t="str">
            <v>-</v>
          </cell>
          <cell r="H36" t="str">
            <v>36-45HRC</v>
          </cell>
          <cell r="I36" t="str">
            <v>Ep·Cd·c2C</v>
          </cell>
          <cell r="J36" t="str">
            <v>40Cr</v>
          </cell>
          <cell r="K36">
            <v>176</v>
          </cell>
          <cell r="L36">
            <v>45713</v>
          </cell>
          <cell r="M36" t="str">
            <v>4-检验完成</v>
          </cell>
        </row>
        <row r="36">
          <cell r="O36">
            <v>0</v>
          </cell>
          <cell r="P36" t="str">
            <v>哈尔滨东安实业发展有限公司</v>
          </cell>
          <cell r="Q36" t="str">
            <v>20</v>
          </cell>
          <cell r="R36">
            <v>45715</v>
          </cell>
        </row>
        <row r="36">
          <cell r="U36" t="str">
            <v>010000332501</v>
          </cell>
          <cell r="V36" t="str">
            <v>HANXIAOLAN</v>
          </cell>
          <cell r="W36" t="str">
            <v/>
          </cell>
          <cell r="X36" t="str">
            <v>CP-76-5-1-5</v>
          </cell>
          <cell r="Y36" t="str">
            <v/>
          </cell>
          <cell r="Z36" t="str">
            <v>1906</v>
          </cell>
          <cell r="AA36" t="str">
            <v>1100141949</v>
          </cell>
          <cell r="AB36">
            <v>176</v>
          </cell>
          <cell r="AC36" t="str">
            <v>GJ2102-01046</v>
          </cell>
          <cell r="AD36">
            <v>29.22</v>
          </cell>
          <cell r="AE36" t="str">
            <v>G-100016975-250221-0010-1</v>
          </cell>
        </row>
        <row r="37">
          <cell r="B37" t="str">
            <v>7100910739</v>
          </cell>
          <cell r="C37" t="str">
            <v>GW2502-141</v>
          </cell>
          <cell r="D37" t="str">
            <v>000042944288000861</v>
          </cell>
          <cell r="E37" t="str">
            <v>六角开槽自锁螺母(最高工作温度650°)</v>
          </cell>
          <cell r="F37" t="str">
            <v>HB5635-1987</v>
          </cell>
          <cell r="G37" t="str">
            <v>M6</v>
          </cell>
          <cell r="H37" t="str">
            <v>29-35HRC</v>
          </cell>
          <cell r="I37" t="str">
            <v>Ep·Ag</v>
          </cell>
          <cell r="J37" t="str">
            <v>GH2132</v>
          </cell>
          <cell r="K37">
            <v>76</v>
          </cell>
          <cell r="L37">
            <v>45713</v>
          </cell>
          <cell r="M37" t="str">
            <v>4-检验完成</v>
          </cell>
        </row>
        <row r="37">
          <cell r="O37">
            <v>0</v>
          </cell>
          <cell r="P37" t="str">
            <v>哈尔滨东安实业发展有限公司</v>
          </cell>
          <cell r="Q37" t="str">
            <v>30</v>
          </cell>
          <cell r="R37">
            <v>45715</v>
          </cell>
        </row>
        <row r="37">
          <cell r="U37" t="str">
            <v/>
          </cell>
          <cell r="V37" t="str">
            <v>HANXIAOLAN</v>
          </cell>
          <cell r="W37" t="str">
            <v/>
          </cell>
          <cell r="X37" t="str">
            <v>XH-000</v>
          </cell>
          <cell r="Y37" t="str">
            <v/>
          </cell>
          <cell r="Z37" t="str">
            <v>1906</v>
          </cell>
          <cell r="AA37" t="str">
            <v>1100141175</v>
          </cell>
          <cell r="AB37">
            <v>76</v>
          </cell>
          <cell r="AC37" t="str">
            <v/>
          </cell>
          <cell r="AD37">
            <v>37</v>
          </cell>
          <cell r="AE37" t="str">
            <v>G-100016975-250210-0006-1-H</v>
          </cell>
        </row>
        <row r="38">
          <cell r="B38" t="str">
            <v>7100907512</v>
          </cell>
          <cell r="C38" t="str">
            <v>GW2502-049</v>
          </cell>
          <cell r="D38" t="str">
            <v>000042944360002191</v>
          </cell>
          <cell r="E38" t="str">
            <v>弹性圆柱销-直槽-重型</v>
          </cell>
          <cell r="F38" t="str">
            <v>GB/T879-1986-3×20</v>
          </cell>
          <cell r="G38" t="str">
            <v>3×20</v>
          </cell>
          <cell r="H38" t="str">
            <v>420-520HV30</v>
          </cell>
          <cell r="I38" t="str">
            <v>Ct·O</v>
          </cell>
          <cell r="J38" t="str">
            <v>65Mn</v>
          </cell>
          <cell r="K38">
            <v>98</v>
          </cell>
          <cell r="L38">
            <v>45706</v>
          </cell>
          <cell r="M38" t="str">
            <v>3-配货完成</v>
          </cell>
        </row>
        <row r="38">
          <cell r="O38">
            <v>0</v>
          </cell>
          <cell r="P38" t="str">
            <v>哈尔滨东安实业发展有限公司</v>
          </cell>
          <cell r="Q38" t="str">
            <v>20</v>
          </cell>
        </row>
        <row r="38">
          <cell r="U38" t="str">
            <v/>
          </cell>
          <cell r="V38" t="str">
            <v>LIZHIFENG</v>
          </cell>
          <cell r="W38" t="str">
            <v/>
          </cell>
          <cell r="X38" t="str">
            <v>XH-000</v>
          </cell>
          <cell r="Y38" t="str">
            <v/>
          </cell>
          <cell r="Z38" t="str">
            <v>1906</v>
          </cell>
          <cell r="AA38" t="str">
            <v>1100126376</v>
          </cell>
          <cell r="AB38">
            <v>100</v>
          </cell>
          <cell r="AC38" t="str">
            <v/>
          </cell>
          <cell r="AD38">
            <v>0.9</v>
          </cell>
          <cell r="AE38" t="str">
            <v>G-100016975-240319-0009-1-H</v>
          </cell>
        </row>
        <row r="39">
          <cell r="B39" t="str">
            <v>7100905251</v>
          </cell>
          <cell r="C39" t="str">
            <v>G2304-2320</v>
          </cell>
          <cell r="D39" t="str">
            <v>000042944360030520</v>
          </cell>
          <cell r="E39" t="str">
            <v>止动销</v>
          </cell>
          <cell r="F39" t="str">
            <v>2523310</v>
          </cell>
          <cell r="G39" t="str">
            <v>Ⅱ</v>
          </cell>
          <cell r="H39" t="str">
            <v/>
          </cell>
          <cell r="I39" t="str">
            <v>Ep·Zn·c2C</v>
          </cell>
          <cell r="J39" t="str">
            <v>HPb59-1</v>
          </cell>
          <cell r="K39">
            <v>58</v>
          </cell>
          <cell r="L39">
            <v>45700</v>
          </cell>
          <cell r="M39" t="str">
            <v>3-配货完成</v>
          </cell>
        </row>
        <row r="39">
          <cell r="O39">
            <v>0</v>
          </cell>
          <cell r="P39" t="str">
            <v>哈尔滨东安实业发展有限公司</v>
          </cell>
          <cell r="Q39" t="str">
            <v>180</v>
          </cell>
        </row>
        <row r="39">
          <cell r="U39" t="str">
            <v>010000597635</v>
          </cell>
          <cell r="V39" t="str">
            <v>LIZHIFENG</v>
          </cell>
          <cell r="W39" t="str">
            <v/>
          </cell>
          <cell r="X39" t="str">
            <v>CP-C7-1-1-3</v>
          </cell>
          <cell r="Y39" t="str">
            <v/>
          </cell>
          <cell r="Z39" t="str">
            <v>1906</v>
          </cell>
          <cell r="AA39" t="str">
            <v>1100141177</v>
          </cell>
          <cell r="AB39">
            <v>58</v>
          </cell>
          <cell r="AC39" t="str">
            <v/>
          </cell>
          <cell r="AD39">
            <v>50</v>
          </cell>
          <cell r="AE39" t="str">
            <v>G-100016975-250210-0006-1</v>
          </cell>
        </row>
        <row r="40">
          <cell r="B40" t="str">
            <v>7100901090</v>
          </cell>
          <cell r="C40" t="str">
            <v>G2407-2355</v>
          </cell>
          <cell r="D40" t="str">
            <v>000042944240127772</v>
          </cell>
          <cell r="E40" t="str">
            <v>对转齿轮箱密封定位销</v>
          </cell>
          <cell r="F40" t="str">
            <v>Yn138-1.27.410</v>
          </cell>
          <cell r="G40" t="str">
            <v>-</v>
          </cell>
          <cell r="H40" t="str">
            <v/>
          </cell>
          <cell r="I40" t="str">
            <v/>
          </cell>
          <cell r="J40" t="str">
            <v>06Cr18Ni10</v>
          </cell>
          <cell r="K40">
            <v>20</v>
          </cell>
          <cell r="L40">
            <v>45678</v>
          </cell>
          <cell r="M40" t="str">
            <v>4-检验完成</v>
          </cell>
        </row>
        <row r="40">
          <cell r="O40">
            <v>0</v>
          </cell>
          <cell r="P40" t="str">
            <v>哈尔滨东安实业发展有限公司</v>
          </cell>
          <cell r="Q40" t="str">
            <v>10</v>
          </cell>
          <cell r="R40">
            <v>45715</v>
          </cell>
        </row>
        <row r="40">
          <cell r="U40" t="str">
            <v>010000721177</v>
          </cell>
          <cell r="V40" t="str">
            <v>HANXIAOLAN</v>
          </cell>
          <cell r="W40" t="str">
            <v/>
          </cell>
          <cell r="X40" t="str">
            <v>CP-108-A</v>
          </cell>
          <cell r="Y40" t="str">
            <v/>
          </cell>
          <cell r="Z40" t="str">
            <v>1906</v>
          </cell>
          <cell r="AA40" t="str">
            <v>1100123040</v>
          </cell>
          <cell r="AB40">
            <v>20</v>
          </cell>
          <cell r="AC40" t="str">
            <v/>
          </cell>
          <cell r="AD40">
            <v>20</v>
          </cell>
          <cell r="AE40" t="str">
            <v>G1302-240102-286</v>
          </cell>
        </row>
        <row r="41">
          <cell r="B41" t="str">
            <v>7100898611</v>
          </cell>
          <cell r="C41" t="str">
            <v>G2404-2257</v>
          </cell>
          <cell r="D41" t="str">
            <v>000042944319132758</v>
          </cell>
          <cell r="E41" t="str">
            <v>环槽螺母</v>
          </cell>
          <cell r="F41" t="str">
            <v>AS4370(F版)</v>
          </cell>
          <cell r="G41" t="str">
            <v>AS4370S06-NL</v>
          </cell>
          <cell r="H41" t="str">
            <v/>
          </cell>
          <cell r="I41" t="str">
            <v>钝化+涂固体膜润滑</v>
          </cell>
          <cell r="J41" t="str">
            <v>347</v>
          </cell>
          <cell r="K41">
            <v>10</v>
          </cell>
          <cell r="L41">
            <v>45673</v>
          </cell>
          <cell r="M41" t="str">
            <v>3-配货完成</v>
          </cell>
        </row>
        <row r="41">
          <cell r="O41">
            <v>0</v>
          </cell>
          <cell r="P41" t="str">
            <v>哈尔滨东安实业发展有限公司</v>
          </cell>
          <cell r="Q41" t="str">
            <v>10</v>
          </cell>
        </row>
        <row r="41">
          <cell r="U41" t="str">
            <v>010000694460</v>
          </cell>
          <cell r="V41" t="str">
            <v>HANXIAOLAN</v>
          </cell>
          <cell r="W41" t="str">
            <v/>
          </cell>
          <cell r="X41" t="str">
            <v>CP-108-A</v>
          </cell>
          <cell r="Y41" t="str">
            <v/>
          </cell>
          <cell r="Z41" t="str">
            <v>1906</v>
          </cell>
          <cell r="AA41" t="str">
            <v>1100140327</v>
          </cell>
          <cell r="AB41">
            <v>10</v>
          </cell>
          <cell r="AC41" t="str">
            <v/>
          </cell>
          <cell r="AD41">
            <v>180</v>
          </cell>
          <cell r="AE41" t="str">
            <v>G-100016975-250114-0004</v>
          </cell>
        </row>
        <row r="42">
          <cell r="B42" t="str">
            <v>7100898611</v>
          </cell>
          <cell r="C42" t="str">
            <v>G2407-2269</v>
          </cell>
          <cell r="D42" t="str">
            <v>000042944360132759</v>
          </cell>
          <cell r="E42" t="str">
            <v>挡销</v>
          </cell>
          <cell r="F42" t="str">
            <v>AS1791</v>
          </cell>
          <cell r="G42" t="str">
            <v>AS1791-06</v>
          </cell>
          <cell r="H42" t="str">
            <v/>
          </cell>
          <cell r="I42" t="str">
            <v>钝化+固体膜润滑剂</v>
          </cell>
          <cell r="J42" t="str">
            <v>302</v>
          </cell>
          <cell r="K42">
            <v>10</v>
          </cell>
          <cell r="L42">
            <v>45673</v>
          </cell>
          <cell r="M42" t="str">
            <v>3-配货完成</v>
          </cell>
        </row>
        <row r="42">
          <cell r="O42">
            <v>0</v>
          </cell>
          <cell r="P42" t="str">
            <v>哈尔滨东安实业发展有限公司</v>
          </cell>
          <cell r="Q42" t="str">
            <v>20</v>
          </cell>
        </row>
        <row r="42">
          <cell r="U42" t="str">
            <v>010000721067</v>
          </cell>
          <cell r="V42" t="str">
            <v>HANXIAOLAN</v>
          </cell>
          <cell r="W42" t="str">
            <v/>
          </cell>
          <cell r="X42" t="str">
            <v>CP-108-A</v>
          </cell>
          <cell r="Y42" t="str">
            <v/>
          </cell>
          <cell r="Z42" t="str">
            <v>1906</v>
          </cell>
          <cell r="AA42" t="str">
            <v>1100140327</v>
          </cell>
          <cell r="AB42">
            <v>10</v>
          </cell>
          <cell r="AC42" t="str">
            <v/>
          </cell>
          <cell r="AD42">
            <v>31</v>
          </cell>
          <cell r="AE42" t="str">
            <v>G-100016975-250114-0004</v>
          </cell>
        </row>
        <row r="43">
          <cell r="B43" t="str">
            <v>7100895338</v>
          </cell>
          <cell r="C43" t="str">
            <v>GW2501-117</v>
          </cell>
          <cell r="D43" t="str">
            <v>000042944319000359</v>
          </cell>
          <cell r="E43" t="str">
            <v>抗剪型高锁螺母</v>
          </cell>
          <cell r="F43" t="str">
            <v>GJB134.1-1986 M6 LY12-CS 红色阳极化</v>
          </cell>
          <cell r="G43" t="str">
            <v>M6</v>
          </cell>
          <cell r="H43" t="str">
            <v/>
          </cell>
          <cell r="I43" t="str">
            <v>Et·A(s)·Cl(RD)+十六醇</v>
          </cell>
          <cell r="J43" t="str">
            <v>LY12-CS</v>
          </cell>
          <cell r="K43">
            <v>200</v>
          </cell>
          <cell r="L43">
            <v>45664</v>
          </cell>
          <cell r="M43" t="str">
            <v>3-配货完成</v>
          </cell>
        </row>
        <row r="43">
          <cell r="O43">
            <v>0</v>
          </cell>
          <cell r="P43" t="str">
            <v>哈尔滨东安实业发展有限公司</v>
          </cell>
          <cell r="Q43" t="str">
            <v>10</v>
          </cell>
        </row>
        <row r="43">
          <cell r="U43" t="str">
            <v/>
          </cell>
          <cell r="V43" t="str">
            <v>LIZHIFENG</v>
          </cell>
          <cell r="W43" t="str">
            <v/>
          </cell>
          <cell r="X43" t="str">
            <v>XH-000</v>
          </cell>
          <cell r="Y43" t="str">
            <v/>
          </cell>
          <cell r="Z43" t="str">
            <v>1906</v>
          </cell>
          <cell r="AA43" t="str">
            <v>1100136374</v>
          </cell>
          <cell r="AB43">
            <v>200</v>
          </cell>
          <cell r="AC43" t="str">
            <v/>
          </cell>
          <cell r="AD43">
            <v>39.2</v>
          </cell>
          <cell r="AE43" t="str">
            <v>G-100016975-241030-0204-2-T</v>
          </cell>
        </row>
        <row r="44">
          <cell r="B44" t="str">
            <v>7100892892</v>
          </cell>
          <cell r="C44" t="str">
            <v>GW2412-009</v>
          </cell>
          <cell r="D44" t="str">
            <v>000042944320007351</v>
          </cell>
          <cell r="E44" t="str">
            <v>半圆头铆钉</v>
          </cell>
          <cell r="F44" t="str">
            <v>HB6236-3×19</v>
          </cell>
          <cell r="G44" t="str">
            <v>3×19</v>
          </cell>
          <cell r="H44" t="str">
            <v>淬火</v>
          </cell>
          <cell r="I44" t="str">
            <v/>
          </cell>
          <cell r="J44" t="str">
            <v>1Cr18Ni9Ti</v>
          </cell>
          <cell r="K44">
            <v>200</v>
          </cell>
          <cell r="L44">
            <v>45659</v>
          </cell>
          <cell r="M44" t="str">
            <v>4-检验完成</v>
          </cell>
        </row>
        <row r="44">
          <cell r="O44">
            <v>0</v>
          </cell>
          <cell r="P44" t="str">
            <v>哈尔滨东安实业发展有限公司</v>
          </cell>
          <cell r="Q44" t="str">
            <v>10</v>
          </cell>
          <cell r="R44">
            <v>45715</v>
          </cell>
        </row>
        <row r="44">
          <cell r="U44" t="str">
            <v/>
          </cell>
          <cell r="V44" t="str">
            <v>PANQIFANG</v>
          </cell>
          <cell r="W44" t="str">
            <v/>
          </cell>
          <cell r="X44" t="str">
            <v>XH-000</v>
          </cell>
          <cell r="Y44" t="str">
            <v/>
          </cell>
          <cell r="Z44" t="str">
            <v>1906</v>
          </cell>
          <cell r="AA44" t="str">
            <v>1100135387</v>
          </cell>
          <cell r="AB44">
            <v>200</v>
          </cell>
          <cell r="AC44" t="str">
            <v/>
          </cell>
          <cell r="AD44">
            <v>0.81</v>
          </cell>
          <cell r="AE44" t="str">
            <v>G-100016975-241014-0042-1-T</v>
          </cell>
        </row>
        <row r="45">
          <cell r="B45" t="str">
            <v>7100890709</v>
          </cell>
          <cell r="C45" t="str">
            <v>G2403-1438</v>
          </cell>
          <cell r="D45" t="str">
            <v>000042944000117412</v>
          </cell>
          <cell r="E45" t="str">
            <v>止动环</v>
          </cell>
          <cell r="F45" t="str">
            <v>AS3077</v>
          </cell>
          <cell r="G45" t="str">
            <v>AS3077-10</v>
          </cell>
          <cell r="H45" t="str">
            <v>33-42HRC</v>
          </cell>
          <cell r="I45" t="str">
            <v>钝化</v>
          </cell>
          <cell r="J45" t="str">
            <v>A286</v>
          </cell>
          <cell r="K45">
            <v>12</v>
          </cell>
          <cell r="L45">
            <v>45650</v>
          </cell>
          <cell r="M45" t="str">
            <v>5-包装完成</v>
          </cell>
        </row>
        <row r="45">
          <cell r="O45">
            <v>0</v>
          </cell>
          <cell r="P45" t="str">
            <v>哈尔滨东安实业发展有限公司</v>
          </cell>
          <cell r="Q45" t="str">
            <v>80</v>
          </cell>
          <cell r="R45">
            <v>45708</v>
          </cell>
          <cell r="S45">
            <v>45710</v>
          </cell>
        </row>
        <row r="45">
          <cell r="U45" t="str">
            <v>010000681732</v>
          </cell>
          <cell r="V45" t="str">
            <v>LIZHIFENG</v>
          </cell>
          <cell r="W45" t="str">
            <v/>
          </cell>
          <cell r="X45" t="str">
            <v>CP-108-A</v>
          </cell>
          <cell r="Y45" t="str">
            <v>LVYANAN</v>
          </cell>
          <cell r="Z45" t="str">
            <v>1906</v>
          </cell>
          <cell r="AA45" t="str">
            <v>1100139149</v>
          </cell>
          <cell r="AB45">
            <v>50</v>
          </cell>
          <cell r="AC45" t="str">
            <v/>
          </cell>
          <cell r="AD45">
            <v>72.5</v>
          </cell>
          <cell r="AE45" t="str">
            <v>G-100016975-241223-0215</v>
          </cell>
        </row>
        <row r="46">
          <cell r="B46" t="str">
            <v>7100890709</v>
          </cell>
          <cell r="C46" t="str">
            <v>G2409-1502</v>
          </cell>
          <cell r="D46" t="str">
            <v>000042944039117391</v>
          </cell>
          <cell r="E46" t="str">
            <v>管接螺套</v>
          </cell>
          <cell r="F46" t="str">
            <v>AS3078</v>
          </cell>
          <cell r="G46" t="str">
            <v>AS3078-10</v>
          </cell>
          <cell r="H46" t="str">
            <v>≥29HRC</v>
          </cell>
          <cell r="I46" t="str">
            <v>钝化</v>
          </cell>
          <cell r="J46" t="str">
            <v>A286</v>
          </cell>
          <cell r="K46">
            <v>20</v>
          </cell>
          <cell r="L46">
            <v>45650</v>
          </cell>
          <cell r="M46" t="str">
            <v>5-包装完成</v>
          </cell>
        </row>
        <row r="46">
          <cell r="O46">
            <v>0</v>
          </cell>
          <cell r="P46" t="str">
            <v>哈尔滨东安实业发展有限公司</v>
          </cell>
          <cell r="Q46" t="str">
            <v>90</v>
          </cell>
          <cell r="R46">
            <v>45708</v>
          </cell>
          <cell r="S46">
            <v>45710</v>
          </cell>
        </row>
        <row r="46">
          <cell r="U46" t="str">
            <v>010000735481</v>
          </cell>
          <cell r="V46" t="str">
            <v>LIZHIFENG</v>
          </cell>
          <cell r="W46" t="str">
            <v/>
          </cell>
          <cell r="X46" t="str">
            <v>CP-108-A</v>
          </cell>
          <cell r="Y46" t="str">
            <v>LVYANAN</v>
          </cell>
          <cell r="Z46" t="str">
            <v>1906</v>
          </cell>
          <cell r="AA46" t="str">
            <v>1100139149</v>
          </cell>
          <cell r="AB46">
            <v>50</v>
          </cell>
          <cell r="AC46" t="str">
            <v/>
          </cell>
          <cell r="AD46">
            <v>280</v>
          </cell>
          <cell r="AE46" t="str">
            <v>G-100016975-241223-0215</v>
          </cell>
        </row>
        <row r="47">
          <cell r="B47" t="str">
            <v>7100916436</v>
          </cell>
          <cell r="C47" t="str">
            <v>G2412-1976</v>
          </cell>
          <cell r="D47" t="str">
            <v>000042944240111066</v>
          </cell>
          <cell r="E47" t="str">
            <v>周向锁紧UNF螺纹螺桩</v>
          </cell>
          <cell r="F47" t="str">
            <v>SAEAS51989C-2018</v>
          </cell>
          <cell r="G47" t="str">
            <v>MS51989E206-24</v>
          </cell>
          <cell r="H47" t="str">
            <v/>
          </cell>
          <cell r="I47" t="str">
            <v>钝化</v>
          </cell>
          <cell r="J47" t="str">
            <v>A286</v>
          </cell>
          <cell r="K47">
            <v>26</v>
          </cell>
          <cell r="L47">
            <v>45724</v>
          </cell>
          <cell r="M47" t="str">
            <v>3-配货完成</v>
          </cell>
        </row>
        <row r="47">
          <cell r="O47">
            <v>0</v>
          </cell>
          <cell r="P47" t="str">
            <v>哈尔滨东安实业发展有限公司</v>
          </cell>
          <cell r="Q47" t="str">
            <v>10</v>
          </cell>
        </row>
        <row r="47">
          <cell r="U47" t="str">
            <v>010000762408</v>
          </cell>
          <cell r="V47" t="str">
            <v>PANQIFANG</v>
          </cell>
          <cell r="W47" t="str">
            <v/>
          </cell>
          <cell r="X47" t="str">
            <v>CP-108-A</v>
          </cell>
          <cell r="Y47" t="str">
            <v/>
          </cell>
          <cell r="Z47" t="str">
            <v>1906</v>
          </cell>
          <cell r="AA47" t="str">
            <v>1100131980</v>
          </cell>
          <cell r="AB47">
            <v>200</v>
          </cell>
          <cell r="AC47" t="str">
            <v/>
          </cell>
          <cell r="AD47">
            <v>175.06</v>
          </cell>
          <cell r="AE47" t="str">
            <v>G-100016975-240708-0023</v>
          </cell>
        </row>
        <row r="48">
          <cell r="B48" t="str">
            <v>7100916399</v>
          </cell>
          <cell r="C48" t="str">
            <v>G2412-3009</v>
          </cell>
          <cell r="D48" t="str">
            <v>000042944240111065</v>
          </cell>
          <cell r="E48" t="str">
            <v>周向锁紧UNF螺纹螺桩</v>
          </cell>
          <cell r="F48" t="str">
            <v>SAEAS51989C-2018</v>
          </cell>
          <cell r="G48" t="str">
            <v>MS51989E206-23</v>
          </cell>
          <cell r="H48" t="str">
            <v/>
          </cell>
          <cell r="I48" t="str">
            <v>钝化</v>
          </cell>
          <cell r="J48" t="str">
            <v>A286</v>
          </cell>
          <cell r="K48">
            <v>18</v>
          </cell>
          <cell r="L48">
            <v>45724</v>
          </cell>
          <cell r="M48" t="str">
            <v>3-配货完成</v>
          </cell>
        </row>
        <row r="48">
          <cell r="O48">
            <v>0</v>
          </cell>
          <cell r="P48" t="str">
            <v>哈尔滨东安实业发展有限公司</v>
          </cell>
          <cell r="Q48" t="str">
            <v>40</v>
          </cell>
        </row>
        <row r="48">
          <cell r="U48" t="str">
            <v>010000766583</v>
          </cell>
          <cell r="V48" t="str">
            <v>LIZHIFENG</v>
          </cell>
          <cell r="W48" t="str">
            <v/>
          </cell>
          <cell r="X48" t="str">
            <v>CP-108-A</v>
          </cell>
          <cell r="Y48" t="str">
            <v/>
          </cell>
          <cell r="Z48" t="str">
            <v>1906</v>
          </cell>
          <cell r="AA48" t="str">
            <v>1100139149</v>
          </cell>
          <cell r="AB48">
            <v>65</v>
          </cell>
          <cell r="AC48" t="str">
            <v/>
          </cell>
          <cell r="AD48">
            <v>173.14</v>
          </cell>
          <cell r="AE48" t="str">
            <v>G-100016975-241223-0215</v>
          </cell>
        </row>
        <row r="49">
          <cell r="B49" t="str">
            <v>7100915638</v>
          </cell>
          <cell r="C49" t="str">
            <v>G2502-1604</v>
          </cell>
          <cell r="D49" t="str">
            <v>000042944000020595</v>
          </cell>
          <cell r="E49" t="str">
            <v>波形弹性卡箍</v>
          </cell>
          <cell r="F49" t="str">
            <v>8S.DFD20.9.001</v>
          </cell>
          <cell r="G49" t="str">
            <v>-</v>
          </cell>
          <cell r="H49" t="str">
            <v/>
          </cell>
          <cell r="I49" t="str">
            <v/>
          </cell>
          <cell r="J49" t="str">
            <v>0Cr18Ni9</v>
          </cell>
          <cell r="K49">
            <v>470</v>
          </cell>
          <cell r="L49">
            <v>45723</v>
          </cell>
          <cell r="M49" t="str">
            <v>3-配货完成</v>
          </cell>
        </row>
        <row r="49">
          <cell r="O49">
            <v>0</v>
          </cell>
          <cell r="P49" t="str">
            <v>哈尔滨东安实业发展有限公司</v>
          </cell>
          <cell r="Q49" t="str">
            <v>260</v>
          </cell>
        </row>
        <row r="49">
          <cell r="U49" t="str">
            <v>010000783723</v>
          </cell>
          <cell r="V49" t="str">
            <v>PANQIFANG</v>
          </cell>
          <cell r="W49" t="str">
            <v/>
          </cell>
          <cell r="X49" t="str">
            <v>CP-108-A</v>
          </cell>
          <cell r="Y49" t="str">
            <v/>
          </cell>
          <cell r="Z49" t="str">
            <v>1906</v>
          </cell>
          <cell r="AA49" t="str">
            <v>1100141177</v>
          </cell>
          <cell r="AB49">
            <v>470</v>
          </cell>
          <cell r="AC49" t="str">
            <v/>
          </cell>
          <cell r="AD49">
            <v>50</v>
          </cell>
          <cell r="AE49" t="str">
            <v>G-100016975-250210-0006-1</v>
          </cell>
        </row>
        <row r="50">
          <cell r="B50" t="str">
            <v>7100918674</v>
          </cell>
          <cell r="C50" t="str">
            <v>GW2503-067</v>
          </cell>
          <cell r="D50" t="str">
            <v>000042944360002185</v>
          </cell>
          <cell r="E50" t="str">
            <v>弹性圆柱销-直槽-重型</v>
          </cell>
          <cell r="F50" t="str">
            <v>GB/T879.1-2000-3×12</v>
          </cell>
          <cell r="G50" t="str">
            <v>3×12</v>
          </cell>
          <cell r="H50" t="str">
            <v>420-520HV30</v>
          </cell>
          <cell r="I50" t="str">
            <v>Ct·O</v>
          </cell>
          <cell r="J50" t="str">
            <v>65Mn</v>
          </cell>
          <cell r="K50">
            <v>100</v>
          </cell>
          <cell r="L50">
            <v>45729</v>
          </cell>
          <cell r="M50" t="str">
            <v>3-配货完成</v>
          </cell>
        </row>
        <row r="50">
          <cell r="O50">
            <v>0</v>
          </cell>
          <cell r="P50" t="str">
            <v>哈尔滨东安实业发展有限公司</v>
          </cell>
          <cell r="Q50" t="str">
            <v>20</v>
          </cell>
        </row>
        <row r="50">
          <cell r="U50" t="str">
            <v/>
          </cell>
          <cell r="V50" t="str">
            <v>HANXIAOLAN</v>
          </cell>
          <cell r="W50" t="str">
            <v/>
          </cell>
          <cell r="X50" t="str">
            <v>XH-000</v>
          </cell>
          <cell r="Y50" t="str">
            <v/>
          </cell>
          <cell r="Z50" t="str">
            <v>1906</v>
          </cell>
          <cell r="AA50" t="str">
            <v>1100122539</v>
          </cell>
          <cell r="AB50">
            <v>100</v>
          </cell>
          <cell r="AC50" t="str">
            <v/>
          </cell>
          <cell r="AD50">
            <v>0.35</v>
          </cell>
          <cell r="AE50" t="str">
            <v>G1302-231220-286-H</v>
          </cell>
        </row>
        <row r="51">
          <cell r="B51" t="str">
            <v>7100918893</v>
          </cell>
          <cell r="C51" t="str">
            <v>G2412-3151</v>
          </cell>
          <cell r="D51" t="str">
            <v>000042944319087844</v>
          </cell>
          <cell r="E51" t="str">
            <v>扩口发动机管接头用螺母</v>
          </cell>
          <cell r="F51" t="str">
            <v>AS5205(B版)</v>
          </cell>
          <cell r="G51" t="str">
            <v>AS5205R06NL</v>
          </cell>
          <cell r="H51" t="str">
            <v/>
          </cell>
          <cell r="I51" t="str">
            <v>钝化+固体膜润滑剂</v>
          </cell>
          <cell r="J51" t="str">
            <v>321</v>
          </cell>
          <cell r="K51">
            <v>50</v>
          </cell>
          <cell r="L51">
            <v>45729</v>
          </cell>
          <cell r="M51" t="str">
            <v>4-检验完成</v>
          </cell>
        </row>
        <row r="51">
          <cell r="O51">
            <v>0</v>
          </cell>
          <cell r="P51" t="str">
            <v>哈尔滨东安实业发展有限公司</v>
          </cell>
          <cell r="Q51" t="str">
            <v>20</v>
          </cell>
          <cell r="R51">
            <v>45737</v>
          </cell>
        </row>
        <row r="51">
          <cell r="U51" t="str">
            <v>010000766920</v>
          </cell>
          <cell r="V51" t="str">
            <v>HANXIAOLAN</v>
          </cell>
          <cell r="W51" t="str">
            <v/>
          </cell>
          <cell r="X51" t="str">
            <v>CP-108-A</v>
          </cell>
          <cell r="Y51" t="str">
            <v/>
          </cell>
          <cell r="Z51" t="str">
            <v>1906</v>
          </cell>
          <cell r="AA51" t="str">
            <v>1100139149</v>
          </cell>
          <cell r="AB51">
            <v>50</v>
          </cell>
          <cell r="AC51" t="str">
            <v/>
          </cell>
          <cell r="AD51">
            <v>261</v>
          </cell>
          <cell r="AE51" t="str">
            <v>G-100016975-241223-0215</v>
          </cell>
        </row>
        <row r="52">
          <cell r="B52" t="str">
            <v>7100918894</v>
          </cell>
          <cell r="C52" t="str">
            <v>G2412-3151</v>
          </cell>
          <cell r="D52" t="str">
            <v>000042944319087844</v>
          </cell>
          <cell r="E52" t="str">
            <v>扩口发动机管接头用螺母</v>
          </cell>
          <cell r="F52" t="str">
            <v>AS5205(B版)</v>
          </cell>
          <cell r="G52" t="str">
            <v>AS5205R06NL</v>
          </cell>
          <cell r="H52" t="str">
            <v/>
          </cell>
          <cell r="I52" t="str">
            <v>钝化+固体膜润滑剂</v>
          </cell>
          <cell r="J52" t="str">
            <v>321</v>
          </cell>
          <cell r="K52">
            <v>14</v>
          </cell>
          <cell r="L52">
            <v>45729</v>
          </cell>
          <cell r="M52" t="str">
            <v>3-配货完成</v>
          </cell>
        </row>
        <row r="52">
          <cell r="O52">
            <v>0</v>
          </cell>
          <cell r="P52" t="str">
            <v>哈尔滨东安实业发展有限公司</v>
          </cell>
          <cell r="Q52" t="str">
            <v>30</v>
          </cell>
        </row>
        <row r="52">
          <cell r="U52" t="str">
            <v>010000766920</v>
          </cell>
          <cell r="V52" t="str">
            <v>HANXIAOLAN</v>
          </cell>
          <cell r="W52" t="str">
            <v/>
          </cell>
          <cell r="X52" t="str">
            <v>CP-108-A</v>
          </cell>
          <cell r="Y52" t="str">
            <v/>
          </cell>
          <cell r="Z52" t="str">
            <v>1906</v>
          </cell>
          <cell r="AA52" t="str">
            <v>1100141278</v>
          </cell>
          <cell r="AB52">
            <v>50</v>
          </cell>
          <cell r="AC52" t="str">
            <v/>
          </cell>
          <cell r="AD52">
            <v>230</v>
          </cell>
          <cell r="AE52" t="str">
            <v>G-100016975-250212-0008</v>
          </cell>
        </row>
        <row r="53">
          <cell r="B53" t="str">
            <v>7100920266</v>
          </cell>
          <cell r="C53" t="str">
            <v>G2410-1111</v>
          </cell>
          <cell r="D53" t="str">
            <v>000042944288000121</v>
          </cell>
          <cell r="E53" t="str">
            <v>托板自锁螺母</v>
          </cell>
          <cell r="F53" t="str">
            <v>8S.WJ10.4.1013</v>
          </cell>
          <cell r="G53" t="str">
            <v>-</v>
          </cell>
          <cell r="H53" t="str">
            <v>29-38HRC</v>
          </cell>
          <cell r="I53" t="str">
            <v>Ep·Ag5-8</v>
          </cell>
          <cell r="J53" t="str">
            <v>优质GH2132</v>
          </cell>
          <cell r="K53">
            <v>413</v>
          </cell>
          <cell r="L53">
            <v>45732</v>
          </cell>
          <cell r="M53" t="str">
            <v>4-检验完成</v>
          </cell>
        </row>
        <row r="53">
          <cell r="O53">
            <v>0</v>
          </cell>
          <cell r="P53" t="str">
            <v>哈尔滨东安实业发展有限公司</v>
          </cell>
          <cell r="Q53" t="str">
            <v>30</v>
          </cell>
          <cell r="R53">
            <v>45735</v>
          </cell>
        </row>
        <row r="53">
          <cell r="U53" t="str">
            <v>010000741925</v>
          </cell>
          <cell r="V53" t="str">
            <v>QIAOXUPENG</v>
          </cell>
          <cell r="W53" t="str">
            <v/>
          </cell>
          <cell r="X53" t="str">
            <v>CP-108-A</v>
          </cell>
          <cell r="Y53" t="str">
            <v/>
          </cell>
          <cell r="Z53" t="str">
            <v>1906</v>
          </cell>
          <cell r="AA53" t="str">
            <v>1100135389</v>
          </cell>
          <cell r="AB53">
            <v>437</v>
          </cell>
          <cell r="AC53" t="str">
            <v/>
          </cell>
          <cell r="AD53">
            <v>153.9</v>
          </cell>
          <cell r="AE53" t="str">
            <v>G-100016975-241014-0042-1</v>
          </cell>
        </row>
        <row r="54">
          <cell r="B54" t="str">
            <v>7100921411</v>
          </cell>
          <cell r="C54" t="str">
            <v>G2502-1666</v>
          </cell>
          <cell r="D54" t="str">
            <v>000042944999002605</v>
          </cell>
          <cell r="E54" t="str">
            <v>带键锁紧螺桩</v>
          </cell>
          <cell r="F54" t="str">
            <v>8S.DFD20.3.802</v>
          </cell>
          <cell r="G54" t="str">
            <v>-</v>
          </cell>
          <cell r="H54" t="str">
            <v/>
          </cell>
          <cell r="I54" t="str">
            <v/>
          </cell>
          <cell r="J54" t="str">
            <v>组件</v>
          </cell>
          <cell r="K54">
            <v>53</v>
          </cell>
          <cell r="L54">
            <v>45735</v>
          </cell>
          <cell r="M54" t="str">
            <v>3-配货完成</v>
          </cell>
        </row>
        <row r="54">
          <cell r="O54">
            <v>0</v>
          </cell>
          <cell r="P54" t="str">
            <v>哈尔滨东安实业发展有限公司</v>
          </cell>
          <cell r="Q54" t="str">
            <v>90</v>
          </cell>
        </row>
        <row r="54">
          <cell r="U54" t="str">
            <v>010000783799</v>
          </cell>
          <cell r="V54" t="str">
            <v>QIAOXUPENG</v>
          </cell>
          <cell r="W54" t="str">
            <v/>
          </cell>
          <cell r="X54" t="str">
            <v>CP-108-A</v>
          </cell>
          <cell r="Y54" t="str">
            <v/>
          </cell>
          <cell r="Z54" t="str">
            <v>1906</v>
          </cell>
          <cell r="AA54" t="str">
            <v>1100124770</v>
          </cell>
          <cell r="AB54">
            <v>150</v>
          </cell>
          <cell r="AC54" t="str">
            <v/>
          </cell>
          <cell r="AD54">
            <v>197</v>
          </cell>
          <cell r="AE54" t="str">
            <v>G1302-240205-037</v>
          </cell>
        </row>
        <row r="55">
          <cell r="B55" t="str">
            <v>7100921411</v>
          </cell>
          <cell r="C55" t="str">
            <v>G2502-1666</v>
          </cell>
          <cell r="D55" t="str">
            <v>000042944999002605</v>
          </cell>
          <cell r="E55" t="str">
            <v>带键锁紧螺桩</v>
          </cell>
          <cell r="F55" t="str">
            <v>8S.DFD20.3.802</v>
          </cell>
          <cell r="G55" t="str">
            <v>-</v>
          </cell>
          <cell r="H55" t="str">
            <v/>
          </cell>
          <cell r="I55" t="str">
            <v/>
          </cell>
          <cell r="J55" t="str">
            <v>组件</v>
          </cell>
          <cell r="K55">
            <v>53</v>
          </cell>
          <cell r="L55">
            <v>45735</v>
          </cell>
          <cell r="M55" t="str">
            <v>3-配货完成</v>
          </cell>
        </row>
        <row r="55">
          <cell r="O55">
            <v>0</v>
          </cell>
          <cell r="P55" t="str">
            <v>哈尔滨东安实业发展有限公司</v>
          </cell>
          <cell r="Q55" t="str">
            <v>90</v>
          </cell>
        </row>
        <row r="55">
          <cell r="U55" t="str">
            <v>010000783799</v>
          </cell>
          <cell r="V55" t="str">
            <v>QIAOXUPENG</v>
          </cell>
          <cell r="W55" t="str">
            <v/>
          </cell>
          <cell r="X55" t="str">
            <v>CP-108-A</v>
          </cell>
          <cell r="Y55" t="str">
            <v/>
          </cell>
          <cell r="Z55" t="str">
            <v>1906</v>
          </cell>
          <cell r="AA55" t="str">
            <v>1100124770</v>
          </cell>
          <cell r="AB55">
            <v>150</v>
          </cell>
          <cell r="AC55" t="str">
            <v/>
          </cell>
          <cell r="AD55">
            <v>197</v>
          </cell>
          <cell r="AE55" t="str">
            <v>G1302-240205-037</v>
          </cell>
        </row>
        <row r="56">
          <cell r="B56" t="str">
            <v>7100926406</v>
          </cell>
          <cell r="C56" t="str">
            <v>GW2503-276</v>
          </cell>
          <cell r="D56" t="str">
            <v>000042944239004239</v>
          </cell>
          <cell r="E56" t="str">
            <v>光杆公差带r6抗剪型100°沉头高锁螺栓</v>
          </cell>
          <cell r="F56" t="str">
            <v>GJB134.2-6×14</v>
          </cell>
          <cell r="G56" t="str">
            <v>6×14</v>
          </cell>
          <cell r="H56" t="str">
            <v>σb=1175±100MPa</v>
          </cell>
          <cell r="I56" t="str">
            <v>Ct·O+Dp·CA</v>
          </cell>
          <cell r="J56" t="str">
            <v>ML30CrMnSiA</v>
          </cell>
          <cell r="K56">
            <v>80</v>
          </cell>
          <cell r="L56">
            <v>45743</v>
          </cell>
          <cell r="M56" t="str">
            <v>4-检验完成</v>
          </cell>
        </row>
        <row r="56">
          <cell r="O56">
            <v>0</v>
          </cell>
          <cell r="P56" t="str">
            <v>哈尔滨东安实业发展有限公司</v>
          </cell>
          <cell r="Q56" t="str">
            <v>10</v>
          </cell>
          <cell r="R56">
            <v>45754</v>
          </cell>
        </row>
        <row r="56">
          <cell r="U56" t="str">
            <v/>
          </cell>
          <cell r="V56" t="str">
            <v>PANQIFANG</v>
          </cell>
          <cell r="W56" t="str">
            <v/>
          </cell>
          <cell r="X56" t="str">
            <v>XH-000</v>
          </cell>
          <cell r="Y56" t="str">
            <v/>
          </cell>
          <cell r="Z56" t="str">
            <v>1906</v>
          </cell>
          <cell r="AA56" t="str">
            <v>1100136037</v>
          </cell>
          <cell r="AB56">
            <v>80</v>
          </cell>
          <cell r="AC56" t="str">
            <v/>
          </cell>
          <cell r="AD56">
            <v>101.44</v>
          </cell>
          <cell r="AE56" t="str">
            <v>G-100016975-241024-0203-2-T</v>
          </cell>
        </row>
        <row r="57">
          <cell r="B57" t="str">
            <v>7100926771</v>
          </cell>
          <cell r="C57" t="str">
            <v>GW2503-280</v>
          </cell>
          <cell r="D57" t="str">
            <v>000042944239004239</v>
          </cell>
          <cell r="E57" t="str">
            <v>高锁螺栓</v>
          </cell>
          <cell r="F57" t="str">
            <v>GJB134.2-6×14</v>
          </cell>
          <cell r="G57" t="str">
            <v>6×14</v>
          </cell>
          <cell r="H57" t="str">
            <v>σb=1175±100MPa</v>
          </cell>
          <cell r="I57" t="str">
            <v>Ct·O+Dp·CA</v>
          </cell>
          <cell r="J57" t="str">
            <v>ML30CrMnSiA</v>
          </cell>
          <cell r="K57">
            <v>132</v>
          </cell>
          <cell r="L57">
            <v>45744</v>
          </cell>
          <cell r="M57" t="str">
            <v>3-配货完成</v>
          </cell>
        </row>
        <row r="57">
          <cell r="O57">
            <v>0</v>
          </cell>
          <cell r="P57" t="str">
            <v>哈尔滨东安实业发展有限公司</v>
          </cell>
          <cell r="Q57" t="str">
            <v>10</v>
          </cell>
        </row>
        <row r="57">
          <cell r="U57" t="str">
            <v/>
          </cell>
          <cell r="V57" t="str">
            <v>LIZHIFENG</v>
          </cell>
          <cell r="W57" t="str">
            <v/>
          </cell>
          <cell r="X57" t="str">
            <v>XH-000</v>
          </cell>
          <cell r="Y57" t="str">
            <v/>
          </cell>
          <cell r="Z57" t="str">
            <v>1906</v>
          </cell>
          <cell r="AA57" t="str">
            <v>1100136486</v>
          </cell>
          <cell r="AB57">
            <v>220</v>
          </cell>
          <cell r="AC57" t="str">
            <v/>
          </cell>
          <cell r="AD57">
            <v>101.44</v>
          </cell>
          <cell r="AE57" t="str">
            <v>G-100016975-241101-0205-1-T</v>
          </cell>
        </row>
        <row r="58">
          <cell r="B58" t="str">
            <v>7100928025</v>
          </cell>
          <cell r="C58" t="str">
            <v>G2407-2424</v>
          </cell>
          <cell r="D58" t="str">
            <v>000042944239133350</v>
          </cell>
          <cell r="E58" t="str">
            <v>双六角加长垫圈头机制螺栓</v>
          </cell>
          <cell r="F58" t="str">
            <v>AS3248-30</v>
          </cell>
          <cell r="G58" t="str">
            <v>AS3248-30</v>
          </cell>
          <cell r="H58" t="str">
            <v>σb≥185ksi</v>
          </cell>
          <cell r="I58" t="str">
            <v/>
          </cell>
          <cell r="J58" t="str">
            <v>Inconel718</v>
          </cell>
          <cell r="K58">
            <v>50</v>
          </cell>
          <cell r="L58">
            <v>45748</v>
          </cell>
          <cell r="M58" t="str">
            <v>3-配货完成</v>
          </cell>
        </row>
        <row r="58">
          <cell r="O58">
            <v>0</v>
          </cell>
          <cell r="P58" t="str">
            <v>哈尔滨东安实业发展有限公司</v>
          </cell>
          <cell r="Q58" t="str">
            <v>70</v>
          </cell>
        </row>
        <row r="58">
          <cell r="U58" t="str">
            <v>010000721328</v>
          </cell>
          <cell r="V58" t="str">
            <v>HANXIAOLAN</v>
          </cell>
          <cell r="W58" t="str">
            <v/>
          </cell>
          <cell r="X58" t="str">
            <v>CP-108-A</v>
          </cell>
          <cell r="Y58" t="str">
            <v/>
          </cell>
          <cell r="Z58" t="str">
            <v>1906</v>
          </cell>
          <cell r="AA58" t="str">
            <v>1100139149</v>
          </cell>
          <cell r="AB58">
            <v>50</v>
          </cell>
          <cell r="AC58" t="str">
            <v/>
          </cell>
          <cell r="AD58">
            <v>20</v>
          </cell>
          <cell r="AE58" t="str">
            <v>G-100016975-241223-0215</v>
          </cell>
        </row>
        <row r="59">
          <cell r="B59" t="str">
            <v>7100928027</v>
          </cell>
          <cell r="C59" t="str">
            <v>G2407-2424</v>
          </cell>
          <cell r="D59" t="str">
            <v>000042944239133350</v>
          </cell>
          <cell r="E59" t="str">
            <v>双六角加长垫圈头机制螺栓</v>
          </cell>
          <cell r="F59" t="str">
            <v>AS3248</v>
          </cell>
          <cell r="G59" t="str">
            <v>AS3248-30</v>
          </cell>
          <cell r="H59" t="str">
            <v>σb≥185ksi</v>
          </cell>
          <cell r="I59" t="str">
            <v/>
          </cell>
          <cell r="J59" t="str">
            <v>Inconel718</v>
          </cell>
          <cell r="K59">
            <v>28</v>
          </cell>
          <cell r="L59">
            <v>45748</v>
          </cell>
          <cell r="M59" t="str">
            <v>4-检验完成</v>
          </cell>
        </row>
        <row r="59">
          <cell r="O59">
            <v>0</v>
          </cell>
          <cell r="P59" t="str">
            <v>哈尔滨东安实业发展有限公司</v>
          </cell>
          <cell r="Q59" t="str">
            <v>60</v>
          </cell>
          <cell r="R59">
            <v>45758</v>
          </cell>
        </row>
        <row r="59">
          <cell r="U59" t="str">
            <v>010000721328</v>
          </cell>
          <cell r="V59" t="str">
            <v>HANXIAOLAN</v>
          </cell>
          <cell r="W59" t="str">
            <v/>
          </cell>
          <cell r="X59" t="str">
            <v>CP-108-A</v>
          </cell>
          <cell r="Y59" t="str">
            <v/>
          </cell>
          <cell r="Z59" t="str">
            <v>1906</v>
          </cell>
          <cell r="AA59" t="str">
            <v>1100125859</v>
          </cell>
          <cell r="AB59">
            <v>158</v>
          </cell>
          <cell r="AC59" t="str">
            <v/>
          </cell>
          <cell r="AD59">
            <v>20</v>
          </cell>
          <cell r="AE59" t="str">
            <v>G-100016975-240308-0004</v>
          </cell>
        </row>
        <row r="60">
          <cell r="B60" t="str">
            <v>7100928684</v>
          </cell>
          <cell r="C60" t="str">
            <v>G2410-1279</v>
          </cell>
          <cell r="D60" t="str">
            <v>000042944319000232</v>
          </cell>
          <cell r="E60" t="str">
            <v>螺母托板</v>
          </cell>
          <cell r="F60" t="str">
            <v>8S.WJ10.5.1063</v>
          </cell>
          <cell r="G60" t="str">
            <v>-</v>
          </cell>
          <cell r="H60" t="str">
            <v>固溶</v>
          </cell>
          <cell r="I60" t="str">
            <v/>
          </cell>
          <cell r="J60" t="str">
            <v>GH2132</v>
          </cell>
          <cell r="K60">
            <v>370</v>
          </cell>
          <cell r="L60">
            <v>45749</v>
          </cell>
          <cell r="M60" t="str">
            <v>4-检验完成</v>
          </cell>
        </row>
        <row r="60">
          <cell r="O60">
            <v>0</v>
          </cell>
          <cell r="P60" t="str">
            <v>哈尔滨东安实业发展有限公司</v>
          </cell>
          <cell r="Q60" t="str">
            <v>40</v>
          </cell>
          <cell r="R60">
            <v>45758</v>
          </cell>
        </row>
        <row r="60">
          <cell r="U60" t="str">
            <v>010000742546</v>
          </cell>
          <cell r="V60" t="str">
            <v>HANXIAOLAN</v>
          </cell>
          <cell r="W60" t="str">
            <v/>
          </cell>
          <cell r="X60" t="str">
            <v>CP-108-A</v>
          </cell>
          <cell r="Y60" t="str">
            <v/>
          </cell>
          <cell r="Z60" t="str">
            <v>1906</v>
          </cell>
          <cell r="AA60" t="str">
            <v>1100135389</v>
          </cell>
          <cell r="AB60">
            <v>437</v>
          </cell>
          <cell r="AC60" t="str">
            <v/>
          </cell>
          <cell r="AD60">
            <v>170.4</v>
          </cell>
          <cell r="AE60" t="str">
            <v>G-100016975-241014-0042-1</v>
          </cell>
        </row>
        <row r="61">
          <cell r="B61" t="str">
            <v>7100928869</v>
          </cell>
          <cell r="C61" t="str">
            <v>G2408-1213</v>
          </cell>
          <cell r="D61" t="str">
            <v>000042944439062802</v>
          </cell>
          <cell r="E61" t="str">
            <v>齿形止动圈</v>
          </cell>
          <cell r="F61" t="str">
            <v>Q/8S1472B-12</v>
          </cell>
          <cell r="G61" t="str">
            <v>B-12</v>
          </cell>
          <cell r="H61" t="str">
            <v>σb≥1080-1230MPa,35-40HRC</v>
          </cell>
          <cell r="I61" t="str">
            <v>Ep·Cd5-8</v>
          </cell>
          <cell r="J61" t="str">
            <v>30Ni4CrMoA</v>
          </cell>
          <cell r="K61">
            <v>165</v>
          </cell>
          <cell r="L61">
            <v>45749</v>
          </cell>
          <cell r="M61" t="str">
            <v>4-检验完成</v>
          </cell>
        </row>
        <row r="61">
          <cell r="O61">
            <v>0</v>
          </cell>
          <cell r="P61" t="str">
            <v>哈尔滨东安实业发展有限公司</v>
          </cell>
          <cell r="Q61" t="str">
            <v>10</v>
          </cell>
          <cell r="R61">
            <v>45757</v>
          </cell>
        </row>
        <row r="61">
          <cell r="U61" t="str">
            <v>010000728323</v>
          </cell>
          <cell r="V61" t="str">
            <v>LIZHIFENG</v>
          </cell>
          <cell r="W61" t="str">
            <v/>
          </cell>
          <cell r="X61" t="str">
            <v>CP-108-A</v>
          </cell>
          <cell r="Y61" t="str">
            <v/>
          </cell>
          <cell r="Z61" t="str">
            <v>1906</v>
          </cell>
          <cell r="AA61" t="str">
            <v>1100139777</v>
          </cell>
          <cell r="AB61">
            <v>200</v>
          </cell>
          <cell r="AC61" t="str">
            <v>GJ2408-01213</v>
          </cell>
          <cell r="AD61">
            <v>30</v>
          </cell>
          <cell r="AE61" t="str">
            <v>G-100016975-250102-0002</v>
          </cell>
        </row>
        <row r="62">
          <cell r="B62" t="str">
            <v>7100931755</v>
          </cell>
          <cell r="C62" t="str">
            <v>G2502-1640</v>
          </cell>
          <cell r="D62" t="str">
            <v>000042944999010044</v>
          </cell>
          <cell r="E62" t="str">
            <v>定位环</v>
          </cell>
          <cell r="F62" t="str">
            <v>WZ10.66.1073</v>
          </cell>
          <cell r="G62" t="str">
            <v>-</v>
          </cell>
          <cell r="H62" t="str">
            <v/>
          </cell>
          <cell r="I62" t="str">
            <v/>
          </cell>
          <cell r="J62" t="str">
            <v>0Cr18Ni9</v>
          </cell>
          <cell r="K62">
            <v>100</v>
          </cell>
          <cell r="L62">
            <v>45756</v>
          </cell>
          <cell r="M62" t="str">
            <v>3-配货完成</v>
          </cell>
        </row>
        <row r="62">
          <cell r="O62">
            <v>0</v>
          </cell>
          <cell r="P62" t="str">
            <v>哈尔滨东安实业发展有限公司</v>
          </cell>
          <cell r="Q62" t="str">
            <v>130</v>
          </cell>
        </row>
        <row r="62">
          <cell r="U62" t="str">
            <v>010000783783</v>
          </cell>
          <cell r="V62" t="str">
            <v>LIZHIFENG</v>
          </cell>
          <cell r="W62" t="str">
            <v/>
          </cell>
          <cell r="X62" t="str">
            <v>CP-108-A</v>
          </cell>
          <cell r="Y62" t="str">
            <v/>
          </cell>
          <cell r="Z62" t="str">
            <v>1906</v>
          </cell>
          <cell r="AA62" t="str">
            <v>1100141177</v>
          </cell>
          <cell r="AB62">
            <v>100</v>
          </cell>
          <cell r="AC62" t="str">
            <v/>
          </cell>
          <cell r="AD62">
            <v>20</v>
          </cell>
          <cell r="AE62" t="str">
            <v>G-100016975-250210-0006-1</v>
          </cell>
        </row>
        <row r="63">
          <cell r="B63" t="str">
            <v>7100931755</v>
          </cell>
          <cell r="C63" t="str">
            <v>G2502-1640</v>
          </cell>
          <cell r="D63" t="str">
            <v>000042944999010044</v>
          </cell>
          <cell r="E63" t="str">
            <v>定位环</v>
          </cell>
          <cell r="F63" t="str">
            <v>WZ10.66.1073</v>
          </cell>
          <cell r="G63" t="str">
            <v>-</v>
          </cell>
          <cell r="H63" t="str">
            <v/>
          </cell>
          <cell r="I63" t="str">
            <v/>
          </cell>
          <cell r="J63" t="str">
            <v>0Cr18Ni9</v>
          </cell>
          <cell r="K63">
            <v>100</v>
          </cell>
          <cell r="L63">
            <v>45756</v>
          </cell>
          <cell r="M63" t="str">
            <v>3-配货完成</v>
          </cell>
        </row>
        <row r="63">
          <cell r="O63">
            <v>0</v>
          </cell>
          <cell r="P63" t="str">
            <v>哈尔滨东安实业发展有限公司</v>
          </cell>
          <cell r="Q63" t="str">
            <v>130</v>
          </cell>
        </row>
        <row r="63">
          <cell r="U63" t="str">
            <v>010000783783</v>
          </cell>
          <cell r="V63" t="str">
            <v>LIZHIFENG</v>
          </cell>
          <cell r="W63" t="str">
            <v/>
          </cell>
          <cell r="X63" t="str">
            <v>CP-108-A</v>
          </cell>
          <cell r="Y63" t="str">
            <v/>
          </cell>
          <cell r="Z63" t="str">
            <v>1906</v>
          </cell>
          <cell r="AA63" t="str">
            <v>1100141177</v>
          </cell>
          <cell r="AB63">
            <v>100</v>
          </cell>
          <cell r="AC63" t="str">
            <v/>
          </cell>
          <cell r="AD63">
            <v>20</v>
          </cell>
          <cell r="AE63" t="str">
            <v>G-100016975-250210-0006-1</v>
          </cell>
        </row>
        <row r="64">
          <cell r="B64" t="str">
            <v>7100934575</v>
          </cell>
          <cell r="C64" t="str">
            <v>G2412-3009</v>
          </cell>
          <cell r="D64" t="str">
            <v>000042944240111065</v>
          </cell>
          <cell r="E64" t="str">
            <v>周向锁紧UNF螺纹螺桩</v>
          </cell>
          <cell r="F64" t="str">
            <v>SAEAS51989C-2018</v>
          </cell>
          <cell r="G64" t="str">
            <v>MS51989E206-23</v>
          </cell>
          <cell r="H64" t="str">
            <v/>
          </cell>
          <cell r="I64" t="str">
            <v>钝化</v>
          </cell>
          <cell r="J64" t="str">
            <v>A286</v>
          </cell>
          <cell r="K64">
            <v>64</v>
          </cell>
          <cell r="L64">
            <v>45763</v>
          </cell>
          <cell r="M64" t="str">
            <v>3-配货完成</v>
          </cell>
        </row>
        <row r="64">
          <cell r="O64">
            <v>0</v>
          </cell>
          <cell r="P64" t="str">
            <v>哈尔滨东安实业发展有限公司</v>
          </cell>
          <cell r="Q64" t="str">
            <v>10</v>
          </cell>
        </row>
        <row r="64">
          <cell r="U64" t="str">
            <v>010000766583</v>
          </cell>
          <cell r="V64" t="str">
            <v>LIZHIFENG</v>
          </cell>
          <cell r="W64" t="str">
            <v/>
          </cell>
          <cell r="X64" t="str">
            <v>CP-81-2-1-7</v>
          </cell>
          <cell r="Y64" t="str">
            <v/>
          </cell>
          <cell r="Z64" t="str">
            <v>1906</v>
          </cell>
          <cell r="AA64" t="str">
            <v>1100145183</v>
          </cell>
          <cell r="AB64">
            <v>64</v>
          </cell>
          <cell r="AC64" t="str">
            <v/>
          </cell>
          <cell r="AD64">
            <v>173.14</v>
          </cell>
          <cell r="AE64" t="str">
            <v>G-100016975-250414-0019</v>
          </cell>
        </row>
        <row r="65">
          <cell r="B65" t="str">
            <v>7100934739</v>
          </cell>
          <cell r="C65" t="str">
            <v>GW2504-089</v>
          </cell>
          <cell r="D65" t="str">
            <v>000042944320105142</v>
          </cell>
          <cell r="E65" t="str">
            <v>半圆头铆钉</v>
          </cell>
          <cell r="F65" t="str">
            <v>HB6236-4×30</v>
          </cell>
          <cell r="G65" t="str">
            <v>4×30</v>
          </cell>
          <cell r="H65" t="str">
            <v>淬火</v>
          </cell>
          <cell r="I65" t="str">
            <v/>
          </cell>
          <cell r="J65" t="str">
            <v>ML1Cr18Ni9Ti</v>
          </cell>
          <cell r="K65">
            <v>500</v>
          </cell>
          <cell r="L65">
            <v>45763</v>
          </cell>
          <cell r="M65" t="str">
            <v>3-配货完成</v>
          </cell>
        </row>
        <row r="65">
          <cell r="O65">
            <v>0</v>
          </cell>
          <cell r="P65" t="str">
            <v>哈尔滨东安实业发展有限公司</v>
          </cell>
          <cell r="Q65" t="str">
            <v>10</v>
          </cell>
        </row>
        <row r="65">
          <cell r="U65" t="str">
            <v/>
          </cell>
          <cell r="V65" t="str">
            <v>HANXIAOLAN</v>
          </cell>
          <cell r="W65" t="str">
            <v/>
          </cell>
          <cell r="X65" t="str">
            <v>XH-000</v>
          </cell>
          <cell r="Y65" t="str">
            <v/>
          </cell>
          <cell r="Z65" t="str">
            <v>1906</v>
          </cell>
          <cell r="AA65" t="str">
            <v>1100141276</v>
          </cell>
          <cell r="AB65">
            <v>500</v>
          </cell>
          <cell r="AC65" t="str">
            <v/>
          </cell>
          <cell r="AD65">
            <v>0.5</v>
          </cell>
          <cell r="AE65" t="str">
            <v>G-100016975-250212-0007-1-T</v>
          </cell>
        </row>
        <row r="66">
          <cell r="B66" t="str">
            <v>7100935388</v>
          </cell>
          <cell r="C66" t="str">
            <v>G2410-3219</v>
          </cell>
          <cell r="D66" t="str">
            <v>000042944239023413</v>
          </cell>
          <cell r="E66" t="str">
            <v>十二角头螺栓</v>
          </cell>
          <cell r="F66" t="str">
            <v>8S.DFD21.1.001</v>
          </cell>
          <cell r="G66" t="str">
            <v>-</v>
          </cell>
          <cell r="H66" t="str">
            <v>HRC29-38</v>
          </cell>
          <cell r="I66" t="str">
            <v>Ct·P</v>
          </cell>
          <cell r="J66" t="str">
            <v>优质GH2132</v>
          </cell>
          <cell r="K66">
            <v>20</v>
          </cell>
          <cell r="L66">
            <v>45764</v>
          </cell>
          <cell r="M66" t="str">
            <v>1-已打印</v>
          </cell>
        </row>
        <row r="66">
          <cell r="O66">
            <v>0</v>
          </cell>
          <cell r="P66" t="str">
            <v>哈尔滨东安实业发展有限公司</v>
          </cell>
          <cell r="Q66" t="str">
            <v>10</v>
          </cell>
        </row>
        <row r="66">
          <cell r="U66" t="str">
            <v>010000747077</v>
          </cell>
          <cell r="V66" t="str">
            <v/>
          </cell>
          <cell r="W66" t="str">
            <v/>
          </cell>
          <cell r="X66" t="str">
            <v>CP-108-A</v>
          </cell>
          <cell r="Y66" t="str">
            <v/>
          </cell>
          <cell r="Z66" t="str">
            <v>1906</v>
          </cell>
          <cell r="AA66" t="str">
            <v>1100133125</v>
          </cell>
          <cell r="AB66">
            <v>200</v>
          </cell>
          <cell r="AC66" t="str">
            <v/>
          </cell>
          <cell r="AD66">
            <v>99.86</v>
          </cell>
          <cell r="AE66" t="str">
            <v>G-100016975-240817-0038-1</v>
          </cell>
        </row>
        <row r="67">
          <cell r="B67">
            <v>7100937865</v>
          </cell>
          <cell r="C67" t="str">
            <v>G2411-0417</v>
          </cell>
          <cell r="D67">
            <v>42944039098249</v>
          </cell>
          <cell r="E67" t="str">
            <v>轻型带键锁紧螺套(细牙内螺纹)</v>
          </cell>
          <cell r="F67" t="str">
            <v>Q/2S5436-4</v>
          </cell>
          <cell r="G67">
            <v>4</v>
          </cell>
        </row>
        <row r="67">
          <cell r="J67" t="str">
            <v>组件</v>
          </cell>
          <cell r="K67">
            <v>10</v>
          </cell>
          <cell r="L67">
            <v>45769</v>
          </cell>
          <cell r="M67" t="str">
            <v>3-配货完成</v>
          </cell>
        </row>
        <row r="67">
          <cell r="P67" t="str">
            <v>哈尔滨东安实业发展有限公司</v>
          </cell>
          <cell r="Q67">
            <v>10</v>
          </cell>
        </row>
        <row r="67">
          <cell r="U67">
            <v>10000748525</v>
          </cell>
          <cell r="V67" t="str">
            <v>HANXIAOLAN</v>
          </cell>
        </row>
        <row r="67">
          <cell r="X67" t="str">
            <v>CP-34-3-4-3</v>
          </cell>
        </row>
        <row r="67">
          <cell r="Z67">
            <v>1906</v>
          </cell>
          <cell r="AA67">
            <v>1100137755</v>
          </cell>
          <cell r="AB67">
            <v>100</v>
          </cell>
        </row>
        <row r="67">
          <cell r="AD67">
            <v>195</v>
          </cell>
          <cell r="AE67" t="str">
            <v>G-100016975-241126-0212</v>
          </cell>
        </row>
        <row r="68">
          <cell r="B68" t="str">
            <v>7100905251</v>
          </cell>
          <cell r="C68" t="str">
            <v>G2304-2320</v>
          </cell>
          <cell r="D68" t="str">
            <v>000042944360030520</v>
          </cell>
          <cell r="E68" t="str">
            <v>止动销</v>
          </cell>
          <cell r="F68" t="str">
            <v>2523310</v>
          </cell>
          <cell r="G68" t="str">
            <v>Ⅱ</v>
          </cell>
          <cell r="H68" t="str">
            <v/>
          </cell>
          <cell r="I68" t="str">
            <v>Ep·Zn·c2C</v>
          </cell>
          <cell r="J68" t="str">
            <v>HPb59-1</v>
          </cell>
          <cell r="K68">
            <v>58</v>
          </cell>
          <cell r="L68">
            <v>45700</v>
          </cell>
          <cell r="M68" t="str">
            <v>3-配货完成</v>
          </cell>
        </row>
        <row r="68">
          <cell r="O68">
            <v>0</v>
          </cell>
          <cell r="P68" t="str">
            <v>哈尔滨东安实业发展有限公司</v>
          </cell>
          <cell r="Q68" t="str">
            <v>180</v>
          </cell>
        </row>
        <row r="68">
          <cell r="U68" t="str">
            <v>010000597635</v>
          </cell>
          <cell r="V68" t="str">
            <v>LIZHIFENG</v>
          </cell>
          <cell r="W68" t="str">
            <v/>
          </cell>
          <cell r="X68" t="str">
            <v>CP-C7-1-1-3</v>
          </cell>
          <cell r="Y68" t="str">
            <v/>
          </cell>
          <cell r="Z68" t="str">
            <v>1906</v>
          </cell>
          <cell r="AA68" t="str">
            <v>1100141177</v>
          </cell>
          <cell r="AB68">
            <v>58</v>
          </cell>
          <cell r="AC68" t="str">
            <v/>
          </cell>
          <cell r="AD68">
            <v>50</v>
          </cell>
          <cell r="AE68" t="str">
            <v>G-100016975-250210-0006-1</v>
          </cell>
        </row>
        <row r="69">
          <cell r="B69" t="str">
            <v>7100918674</v>
          </cell>
          <cell r="C69" t="str">
            <v>GW2503-067</v>
          </cell>
          <cell r="D69" t="str">
            <v>000042944360002185</v>
          </cell>
          <cell r="E69" t="str">
            <v>弹性圆柱销-直槽-重型</v>
          </cell>
          <cell r="F69" t="str">
            <v>GB/T879.1-2000-3×12</v>
          </cell>
          <cell r="G69" t="str">
            <v>3×12</v>
          </cell>
          <cell r="H69" t="str">
            <v>420-520HV30</v>
          </cell>
          <cell r="I69" t="str">
            <v>Ct·O</v>
          </cell>
          <cell r="J69" t="str">
            <v>65Mn</v>
          </cell>
          <cell r="K69">
            <v>100</v>
          </cell>
          <cell r="L69">
            <v>45729</v>
          </cell>
          <cell r="M69" t="str">
            <v>3-配货完成</v>
          </cell>
        </row>
        <row r="69">
          <cell r="O69">
            <v>0</v>
          </cell>
          <cell r="P69" t="str">
            <v>哈尔滨东安实业发展有限公司</v>
          </cell>
          <cell r="Q69" t="str">
            <v>20</v>
          </cell>
        </row>
        <row r="69">
          <cell r="U69" t="str">
            <v/>
          </cell>
          <cell r="V69" t="str">
            <v>HANXIAOLAN</v>
          </cell>
          <cell r="W69" t="str">
            <v/>
          </cell>
          <cell r="X69" t="str">
            <v>XH-000</v>
          </cell>
          <cell r="Y69" t="str">
            <v/>
          </cell>
          <cell r="Z69" t="str">
            <v>1906</v>
          </cell>
          <cell r="AA69" t="str">
            <v>1100122539</v>
          </cell>
          <cell r="AB69">
            <v>100</v>
          </cell>
          <cell r="AC69" t="str">
            <v/>
          </cell>
          <cell r="AD69">
            <v>0.35</v>
          </cell>
          <cell r="AE69" t="str">
            <v>G1302-231220-286-H</v>
          </cell>
        </row>
        <row r="70">
          <cell r="B70" t="str">
            <v>7100918894</v>
          </cell>
          <cell r="C70" t="str">
            <v>G2412-3151</v>
          </cell>
          <cell r="D70" t="str">
            <v>000042944319087844</v>
          </cell>
          <cell r="E70" t="str">
            <v>扩口发动机管接头用螺母</v>
          </cell>
          <cell r="F70" t="str">
            <v>AS5205(B版)</v>
          </cell>
          <cell r="G70" t="str">
            <v>AS5205R06NL</v>
          </cell>
          <cell r="H70" t="str">
            <v/>
          </cell>
          <cell r="I70" t="str">
            <v>钝化+固体膜润滑剂</v>
          </cell>
          <cell r="J70" t="str">
            <v>321</v>
          </cell>
          <cell r="K70">
            <v>14</v>
          </cell>
          <cell r="L70">
            <v>45729</v>
          </cell>
          <cell r="M70" t="str">
            <v>3-配货完成</v>
          </cell>
        </row>
        <row r="70">
          <cell r="O70">
            <v>0</v>
          </cell>
          <cell r="P70" t="str">
            <v>哈尔滨东安实业发展有限公司</v>
          </cell>
          <cell r="Q70" t="str">
            <v>30</v>
          </cell>
        </row>
        <row r="70">
          <cell r="U70" t="str">
            <v>010000766920</v>
          </cell>
          <cell r="V70" t="str">
            <v>HANXIAOLAN</v>
          </cell>
          <cell r="W70" t="str">
            <v/>
          </cell>
          <cell r="X70" t="str">
            <v>CP-108-A</v>
          </cell>
          <cell r="Y70" t="str">
            <v/>
          </cell>
          <cell r="Z70" t="str">
            <v>1906</v>
          </cell>
          <cell r="AA70" t="str">
            <v>1100141278</v>
          </cell>
          <cell r="AB70">
            <v>50</v>
          </cell>
          <cell r="AC70" t="str">
            <v/>
          </cell>
          <cell r="AD70">
            <v>230</v>
          </cell>
          <cell r="AE70" t="str">
            <v>G-100016975-250212-0008</v>
          </cell>
        </row>
        <row r="71">
          <cell r="B71" t="str">
            <v>7100921411</v>
          </cell>
          <cell r="C71" t="str">
            <v>G2502-1666</v>
          </cell>
          <cell r="D71" t="str">
            <v>000042944999002605</v>
          </cell>
          <cell r="E71" t="str">
            <v>带键锁紧螺桩</v>
          </cell>
          <cell r="F71" t="str">
            <v>8S.DFD20.3.802</v>
          </cell>
          <cell r="G71" t="str">
            <v>-</v>
          </cell>
          <cell r="H71" t="str">
            <v/>
          </cell>
          <cell r="I71" t="str">
            <v/>
          </cell>
          <cell r="J71" t="str">
            <v>组件</v>
          </cell>
          <cell r="K71">
            <v>53</v>
          </cell>
          <cell r="L71">
            <v>45735</v>
          </cell>
          <cell r="M71" t="str">
            <v>3-配货完成</v>
          </cell>
        </row>
        <row r="71">
          <cell r="O71">
            <v>0</v>
          </cell>
          <cell r="P71" t="str">
            <v>哈尔滨东安实业发展有限公司</v>
          </cell>
          <cell r="Q71" t="str">
            <v>90</v>
          </cell>
        </row>
        <row r="71">
          <cell r="U71" t="str">
            <v>010000783799</v>
          </cell>
          <cell r="V71" t="str">
            <v>QIAOXUPENG</v>
          </cell>
          <cell r="W71" t="str">
            <v/>
          </cell>
          <cell r="X71" t="str">
            <v>CP-108-A</v>
          </cell>
          <cell r="Y71" t="str">
            <v/>
          </cell>
          <cell r="Z71" t="str">
            <v>1906</v>
          </cell>
          <cell r="AA71" t="str">
            <v>1100124770</v>
          </cell>
          <cell r="AB71">
            <v>150</v>
          </cell>
          <cell r="AC71" t="str">
            <v/>
          </cell>
          <cell r="AD71">
            <v>197</v>
          </cell>
          <cell r="AE71" t="str">
            <v>G1302-240205-037</v>
          </cell>
        </row>
        <row r="72">
          <cell r="B72" t="str">
            <v>7100926771</v>
          </cell>
          <cell r="C72" t="str">
            <v>GW2503-280</v>
          </cell>
          <cell r="D72" t="str">
            <v>000042944239004239</v>
          </cell>
          <cell r="E72" t="str">
            <v>高锁螺栓</v>
          </cell>
          <cell r="F72" t="str">
            <v>GJB134.2-6×14</v>
          </cell>
          <cell r="G72" t="str">
            <v>6×14</v>
          </cell>
          <cell r="H72" t="str">
            <v>σb=1175±100MPa</v>
          </cell>
          <cell r="I72" t="str">
            <v>Ct·O+Dp·CA</v>
          </cell>
          <cell r="J72" t="str">
            <v>ML30CrMnSiA</v>
          </cell>
          <cell r="K72">
            <v>132</v>
          </cell>
          <cell r="L72">
            <v>45744</v>
          </cell>
          <cell r="M72" t="str">
            <v>3-配货完成</v>
          </cell>
        </row>
        <row r="72">
          <cell r="O72">
            <v>0</v>
          </cell>
          <cell r="P72" t="str">
            <v>哈尔滨东安实业发展有限公司</v>
          </cell>
          <cell r="Q72" t="str">
            <v>10</v>
          </cell>
        </row>
        <row r="72">
          <cell r="U72" t="str">
            <v/>
          </cell>
          <cell r="V72" t="str">
            <v>LIZHIFENG</v>
          </cell>
          <cell r="W72" t="str">
            <v/>
          </cell>
          <cell r="X72" t="str">
            <v>XH-000</v>
          </cell>
          <cell r="Y72" t="str">
            <v/>
          </cell>
          <cell r="Z72" t="str">
            <v>1906</v>
          </cell>
          <cell r="AA72" t="str">
            <v>1100136486</v>
          </cell>
          <cell r="AB72">
            <v>220</v>
          </cell>
          <cell r="AC72" t="str">
            <v/>
          </cell>
          <cell r="AD72">
            <v>101.44</v>
          </cell>
          <cell r="AE72" t="str">
            <v>G-100016975-241101-0205-1-T</v>
          </cell>
        </row>
        <row r="73">
          <cell r="B73" t="str">
            <v>7100931755</v>
          </cell>
          <cell r="C73" t="str">
            <v>G2502-1640</v>
          </cell>
          <cell r="D73" t="str">
            <v>000042944999010044</v>
          </cell>
          <cell r="E73" t="str">
            <v>定位环</v>
          </cell>
          <cell r="F73" t="str">
            <v>WZ10.66.1073</v>
          </cell>
          <cell r="G73" t="str">
            <v>-</v>
          </cell>
          <cell r="H73" t="str">
            <v/>
          </cell>
          <cell r="I73" t="str">
            <v/>
          </cell>
          <cell r="J73" t="str">
            <v>0Cr18Ni9</v>
          </cell>
          <cell r="K73">
            <v>100</v>
          </cell>
          <cell r="L73">
            <v>45756</v>
          </cell>
          <cell r="M73" t="str">
            <v>3-配货完成</v>
          </cell>
        </row>
        <row r="73">
          <cell r="O73">
            <v>0</v>
          </cell>
          <cell r="P73" t="str">
            <v>哈尔滨东安实业发展有限公司</v>
          </cell>
          <cell r="Q73" t="str">
            <v>130</v>
          </cell>
        </row>
        <row r="73">
          <cell r="U73" t="str">
            <v>010000783783</v>
          </cell>
          <cell r="V73" t="str">
            <v>LIZHIFENG</v>
          </cell>
          <cell r="W73" t="str">
            <v/>
          </cell>
          <cell r="X73" t="str">
            <v>CP-108-A</v>
          </cell>
          <cell r="Y73" t="str">
            <v/>
          </cell>
          <cell r="Z73" t="str">
            <v>1906</v>
          </cell>
          <cell r="AA73" t="str">
            <v>1100141177</v>
          </cell>
          <cell r="AB73">
            <v>100</v>
          </cell>
          <cell r="AC73" t="str">
            <v/>
          </cell>
          <cell r="AD73">
            <v>20</v>
          </cell>
          <cell r="AE73" t="str">
            <v>G-100016975-250210-0006-1</v>
          </cell>
        </row>
        <row r="74">
          <cell r="B74" t="str">
            <v>7100934739</v>
          </cell>
          <cell r="C74" t="str">
            <v>GW2504-089</v>
          </cell>
          <cell r="D74" t="str">
            <v>000042944320105142</v>
          </cell>
          <cell r="E74" t="str">
            <v>半圆头铆钉</v>
          </cell>
          <cell r="F74" t="str">
            <v>HB6236-4×30</v>
          </cell>
          <cell r="G74" t="str">
            <v>4×30</v>
          </cell>
          <cell r="H74" t="str">
            <v>淬火</v>
          </cell>
          <cell r="I74" t="str">
            <v/>
          </cell>
          <cell r="J74" t="str">
            <v>ML1Cr18Ni9Ti</v>
          </cell>
          <cell r="K74">
            <v>500</v>
          </cell>
          <cell r="L74">
            <v>45763</v>
          </cell>
          <cell r="M74" t="str">
            <v>3-配货完成</v>
          </cell>
        </row>
        <row r="74">
          <cell r="O74">
            <v>0</v>
          </cell>
          <cell r="P74" t="str">
            <v>哈尔滨东安实业发展有限公司</v>
          </cell>
          <cell r="Q74" t="str">
            <v>10</v>
          </cell>
        </row>
        <row r="74">
          <cell r="U74" t="str">
            <v/>
          </cell>
          <cell r="V74" t="str">
            <v>HANXIAOLAN</v>
          </cell>
          <cell r="W74" t="str">
            <v/>
          </cell>
          <cell r="X74" t="str">
            <v>XH-000</v>
          </cell>
          <cell r="Y74" t="str">
            <v/>
          </cell>
          <cell r="Z74" t="str">
            <v>1906</v>
          </cell>
          <cell r="AA74" t="str">
            <v>1100141276</v>
          </cell>
          <cell r="AB74">
            <v>500</v>
          </cell>
          <cell r="AC74" t="str">
            <v/>
          </cell>
          <cell r="AD74">
            <v>0.5</v>
          </cell>
          <cell r="AE74" t="str">
            <v>G-100016975-250212-0007-1-T</v>
          </cell>
        </row>
        <row r="75">
          <cell r="B75" t="str">
            <v>7100935143</v>
          </cell>
          <cell r="C75" t="str">
            <v>GW2504-149</v>
          </cell>
          <cell r="D75" t="str">
            <v>000042944320009721</v>
          </cell>
          <cell r="E75" t="str">
            <v>120°沉头铆钉</v>
          </cell>
          <cell r="F75" t="str">
            <v>HB6319-2002</v>
          </cell>
          <cell r="G75" t="str">
            <v>2.5×5</v>
          </cell>
          <cell r="H75" t="str">
            <v>淬火</v>
          </cell>
          <cell r="I75" t="str">
            <v>ECP</v>
          </cell>
          <cell r="J75" t="str">
            <v>ML1Cr18Ni9Ti</v>
          </cell>
          <cell r="K75">
            <v>500</v>
          </cell>
          <cell r="L75">
            <v>45764</v>
          </cell>
          <cell r="M75" t="str">
            <v>4-检验完成</v>
          </cell>
        </row>
        <row r="75">
          <cell r="O75">
            <v>0</v>
          </cell>
          <cell r="P75" t="str">
            <v>哈尔滨东安实业发展有限公司</v>
          </cell>
          <cell r="Q75" t="str">
            <v>20</v>
          </cell>
          <cell r="R75">
            <v>45770</v>
          </cell>
        </row>
        <row r="75">
          <cell r="U75" t="str">
            <v/>
          </cell>
          <cell r="V75" t="str">
            <v>HANXIAOLAN</v>
          </cell>
          <cell r="W75" t="str">
            <v/>
          </cell>
          <cell r="X75" t="str">
            <v>XH-000</v>
          </cell>
          <cell r="Y75" t="str">
            <v/>
          </cell>
          <cell r="Z75" t="str">
            <v>1906</v>
          </cell>
          <cell r="AA75" t="str">
            <v>1100141176</v>
          </cell>
          <cell r="AB75">
            <v>500</v>
          </cell>
          <cell r="AC75" t="str">
            <v/>
          </cell>
          <cell r="AD75">
            <v>0.8</v>
          </cell>
          <cell r="AE75" t="str">
            <v>G-100016975-250210-0006-3-T</v>
          </cell>
        </row>
        <row r="76">
          <cell r="B76" t="str">
            <v>7100935975</v>
          </cell>
          <cell r="C76" t="str">
            <v>G2502-1632</v>
          </cell>
          <cell r="D76" t="str">
            <v>000042944240080742</v>
          </cell>
          <cell r="E76" t="str">
            <v>螺桩</v>
          </cell>
          <cell r="F76" t="str">
            <v>1BRZA12375</v>
          </cell>
          <cell r="G76" t="str">
            <v>06-020</v>
          </cell>
          <cell r="H76" t="str">
            <v>σb=980±100MPa</v>
          </cell>
          <cell r="I76" t="str">
            <v>Ep·Cd5-8·c2C</v>
          </cell>
          <cell r="J76" t="str">
            <v>40CrNiMoA</v>
          </cell>
          <cell r="K76">
            <v>64</v>
          </cell>
          <cell r="L76">
            <v>45765</v>
          </cell>
          <cell r="M76" t="str">
            <v>4-检验完成</v>
          </cell>
        </row>
        <row r="76">
          <cell r="O76">
            <v>0</v>
          </cell>
          <cell r="P76" t="str">
            <v>哈尔滨东安实业发展有限公司</v>
          </cell>
          <cell r="Q76" t="str">
            <v>160</v>
          </cell>
          <cell r="R76">
            <v>45770</v>
          </cell>
        </row>
        <row r="76">
          <cell r="U76" t="str">
            <v>010000783774</v>
          </cell>
          <cell r="V76" t="str">
            <v>HANXIAOLAN</v>
          </cell>
          <cell r="W76" t="str">
            <v/>
          </cell>
          <cell r="X76" t="str">
            <v>CP-108-A</v>
          </cell>
          <cell r="Y76" t="str">
            <v/>
          </cell>
          <cell r="Z76" t="str">
            <v>1906</v>
          </cell>
          <cell r="AA76" t="str">
            <v>1100141177</v>
          </cell>
          <cell r="AB76">
            <v>64</v>
          </cell>
          <cell r="AC76" t="str">
            <v/>
          </cell>
          <cell r="AD76">
            <v>52.18</v>
          </cell>
          <cell r="AE76" t="str">
            <v>G-100016975-250210-0006-1</v>
          </cell>
        </row>
        <row r="77">
          <cell r="B77" t="str">
            <v>7100940473</v>
          </cell>
          <cell r="C77" t="str">
            <v>G2502-1636</v>
          </cell>
          <cell r="D77" t="str">
            <v>000042944360132759</v>
          </cell>
          <cell r="E77" t="str">
            <v>挡销</v>
          </cell>
          <cell r="F77" t="str">
            <v>AS1791</v>
          </cell>
          <cell r="G77" t="str">
            <v>AS1791-06</v>
          </cell>
          <cell r="H77" t="str">
            <v/>
          </cell>
          <cell r="I77" t="str">
            <v>钝化+固体膜润滑剂</v>
          </cell>
          <cell r="J77" t="str">
            <v>A2S2302</v>
          </cell>
          <cell r="K77">
            <v>50</v>
          </cell>
          <cell r="L77">
            <v>45772</v>
          </cell>
          <cell r="M77" t="str">
            <v>7-发运完成</v>
          </cell>
          <cell r="N77">
            <v>45772</v>
          </cell>
          <cell r="O77">
            <v>0.91018518518519</v>
          </cell>
          <cell r="P77" t="str">
            <v>哈尔滨东安实业发展有限公司</v>
          </cell>
          <cell r="Q77" t="str">
            <v>20</v>
          </cell>
          <cell r="R77">
            <v>45772</v>
          </cell>
          <cell r="S77">
            <v>45772</v>
          </cell>
          <cell r="T77">
            <v>45772</v>
          </cell>
          <cell r="U77" t="str">
            <v>010000783779</v>
          </cell>
          <cell r="V77" t="str">
            <v>PANQIFANG</v>
          </cell>
          <cell r="W77" t="str">
            <v/>
          </cell>
          <cell r="X77" t="str">
            <v>CP-108-A</v>
          </cell>
          <cell r="Y77" t="str">
            <v>FENGWENMENG</v>
          </cell>
          <cell r="Z77" t="str">
            <v>1906</v>
          </cell>
          <cell r="AA77" t="str">
            <v>1100141278</v>
          </cell>
          <cell r="AB77">
            <v>50</v>
          </cell>
          <cell r="AC77" t="str">
            <v/>
          </cell>
          <cell r="AD77">
            <v>31</v>
          </cell>
          <cell r="AE77" t="str">
            <v>G-100016975-250212-0008</v>
          </cell>
        </row>
        <row r="78">
          <cell r="B78" t="str">
            <v>7100926771</v>
          </cell>
          <cell r="C78" t="str">
            <v>GW2503-280</v>
          </cell>
          <cell r="D78" t="str">
            <v>000042944239004239</v>
          </cell>
          <cell r="E78" t="str">
            <v>高锁螺栓</v>
          </cell>
          <cell r="F78" t="str">
            <v>GJB134.2-6×14</v>
          </cell>
          <cell r="G78" t="str">
            <v>6×14</v>
          </cell>
          <cell r="H78" t="str">
            <v>σb=1175±100MPa</v>
          </cell>
          <cell r="I78" t="str">
            <v>Ct·O+Dp·CA</v>
          </cell>
          <cell r="J78" t="str">
            <v>ML30CrMnSiA</v>
          </cell>
          <cell r="K78">
            <v>132</v>
          </cell>
          <cell r="L78">
            <v>45744</v>
          </cell>
          <cell r="M78" t="str">
            <v>3-配货完成</v>
          </cell>
        </row>
        <row r="78">
          <cell r="O78">
            <v>0</v>
          </cell>
          <cell r="P78" t="str">
            <v>哈尔滨东安实业发展有限公司</v>
          </cell>
          <cell r="Q78" t="str">
            <v>10</v>
          </cell>
        </row>
        <row r="78">
          <cell r="U78" t="str">
            <v/>
          </cell>
          <cell r="V78" t="str">
            <v>LIZHIFENG</v>
          </cell>
          <cell r="W78" t="str">
            <v/>
          </cell>
          <cell r="X78" t="str">
            <v>XH-000</v>
          </cell>
          <cell r="Y78" t="str">
            <v/>
          </cell>
          <cell r="Z78" t="str">
            <v>1906</v>
          </cell>
          <cell r="AA78" t="str">
            <v>1100136486</v>
          </cell>
          <cell r="AB78">
            <v>220</v>
          </cell>
          <cell r="AC78" t="str">
            <v/>
          </cell>
          <cell r="AD78">
            <v>101.44</v>
          </cell>
          <cell r="AE78" t="str">
            <v>G-100016975-241101-0205-1-T</v>
          </cell>
        </row>
        <row r="79">
          <cell r="B79" t="str">
            <v>7100931755</v>
          </cell>
          <cell r="C79" t="str">
            <v>G2502-1640</v>
          </cell>
          <cell r="D79" t="str">
            <v>000042944999010044</v>
          </cell>
          <cell r="E79" t="str">
            <v>定位环</v>
          </cell>
          <cell r="F79" t="str">
            <v>WZ10.66.1073</v>
          </cell>
          <cell r="G79" t="str">
            <v>-</v>
          </cell>
          <cell r="H79" t="str">
            <v/>
          </cell>
          <cell r="I79" t="str">
            <v/>
          </cell>
          <cell r="J79" t="str">
            <v>0Cr18Ni9</v>
          </cell>
          <cell r="K79">
            <v>100</v>
          </cell>
          <cell r="L79">
            <v>45756</v>
          </cell>
          <cell r="M79" t="str">
            <v>3-配货完成</v>
          </cell>
        </row>
        <row r="79">
          <cell r="O79">
            <v>0</v>
          </cell>
          <cell r="P79" t="str">
            <v>哈尔滨东安实业发展有限公司</v>
          </cell>
          <cell r="Q79" t="str">
            <v>130</v>
          </cell>
        </row>
        <row r="79">
          <cell r="U79" t="str">
            <v>010000783783</v>
          </cell>
          <cell r="V79" t="str">
            <v>LIZHIFENG</v>
          </cell>
          <cell r="W79" t="str">
            <v/>
          </cell>
          <cell r="X79" t="str">
            <v>CP-108-A</v>
          </cell>
          <cell r="Y79" t="str">
            <v/>
          </cell>
          <cell r="Z79" t="str">
            <v>1906</v>
          </cell>
          <cell r="AA79" t="str">
            <v>1100141177</v>
          </cell>
          <cell r="AB79">
            <v>100</v>
          </cell>
          <cell r="AC79" t="str">
            <v/>
          </cell>
          <cell r="AD79">
            <v>20</v>
          </cell>
          <cell r="AE79" t="str">
            <v>G-100016975-250210-0006-1</v>
          </cell>
        </row>
        <row r="80">
          <cell r="B80" t="str">
            <v>7100934739</v>
          </cell>
          <cell r="C80" t="str">
            <v>GW2504-089</v>
          </cell>
          <cell r="D80" t="str">
            <v>000042944320105142</v>
          </cell>
          <cell r="E80" t="str">
            <v>半圆头铆钉</v>
          </cell>
          <cell r="F80" t="str">
            <v>HB6236-4×30</v>
          </cell>
          <cell r="G80" t="str">
            <v>4×30</v>
          </cell>
          <cell r="H80" t="str">
            <v>淬火</v>
          </cell>
          <cell r="I80" t="str">
            <v/>
          </cell>
          <cell r="J80" t="str">
            <v>ML1Cr18Ni9Ti</v>
          </cell>
          <cell r="K80">
            <v>500</v>
          </cell>
          <cell r="L80">
            <v>45763</v>
          </cell>
          <cell r="M80" t="str">
            <v>3-配货完成</v>
          </cell>
        </row>
        <row r="80">
          <cell r="O80">
            <v>0</v>
          </cell>
          <cell r="P80" t="str">
            <v>哈尔滨东安实业发展有限公司</v>
          </cell>
          <cell r="Q80" t="str">
            <v>10</v>
          </cell>
        </row>
        <row r="80">
          <cell r="U80" t="str">
            <v/>
          </cell>
          <cell r="V80" t="str">
            <v>HANXIAOLAN</v>
          </cell>
          <cell r="W80" t="str">
            <v/>
          </cell>
          <cell r="X80" t="str">
            <v>XH-000</v>
          </cell>
          <cell r="Y80" t="str">
            <v/>
          </cell>
          <cell r="Z80" t="str">
            <v>1906</v>
          </cell>
          <cell r="AA80" t="str">
            <v>1100141276</v>
          </cell>
          <cell r="AB80">
            <v>500</v>
          </cell>
          <cell r="AC80" t="str">
            <v/>
          </cell>
          <cell r="AD80">
            <v>0.5</v>
          </cell>
          <cell r="AE80" t="str">
            <v>G-100016975-250212-0007-1-T</v>
          </cell>
        </row>
        <row r="81">
          <cell r="B81" t="str">
            <v>7100940290</v>
          </cell>
          <cell r="C81" t="str">
            <v>G2502-1656</v>
          </cell>
          <cell r="D81" t="str">
            <v>000042944288117417</v>
          </cell>
          <cell r="E81" t="str">
            <v>双耳游动自锁托板螺母</v>
          </cell>
          <cell r="F81" t="str">
            <v>AS3481-03</v>
          </cell>
          <cell r="G81" t="str">
            <v>AS3481-03</v>
          </cell>
          <cell r="H81" t="str">
            <v/>
          </cell>
          <cell r="I81" t="str">
            <v/>
          </cell>
          <cell r="J81" t="str">
            <v>组件</v>
          </cell>
          <cell r="K81">
            <v>50</v>
          </cell>
          <cell r="L81">
            <v>45772</v>
          </cell>
          <cell r="M81" t="str">
            <v>3-配货完成</v>
          </cell>
        </row>
        <row r="81">
          <cell r="O81">
            <v>0</v>
          </cell>
          <cell r="P81" t="str">
            <v>哈尔滨东安实业发展有限公司</v>
          </cell>
          <cell r="Q81" t="str">
            <v>40</v>
          </cell>
        </row>
        <row r="81">
          <cell r="U81" t="str">
            <v>010000783751</v>
          </cell>
          <cell r="V81" t="str">
            <v>PANQIFANG</v>
          </cell>
          <cell r="W81" t="str">
            <v/>
          </cell>
          <cell r="X81" t="str">
            <v>CP-108-A</v>
          </cell>
          <cell r="Y81" t="str">
            <v/>
          </cell>
          <cell r="Z81" t="str">
            <v>1906</v>
          </cell>
          <cell r="AA81" t="str">
            <v>1100141278</v>
          </cell>
          <cell r="AB81">
            <v>50</v>
          </cell>
          <cell r="AC81" t="str">
            <v/>
          </cell>
          <cell r="AD81">
            <v>41.52</v>
          </cell>
          <cell r="AE81" t="str">
            <v>G-100016975-250212-0008</v>
          </cell>
        </row>
        <row r="82">
          <cell r="B82" t="str">
            <v>7100940474</v>
          </cell>
          <cell r="C82" t="str">
            <v>G2502-1636</v>
          </cell>
          <cell r="D82" t="str">
            <v>000042944360132759</v>
          </cell>
          <cell r="E82" t="str">
            <v>挡销</v>
          </cell>
          <cell r="F82" t="str">
            <v>AS1791</v>
          </cell>
          <cell r="G82" t="str">
            <v>AS1791-06</v>
          </cell>
          <cell r="H82" t="str">
            <v/>
          </cell>
          <cell r="I82" t="str">
            <v>钝化+固体膜润滑剂</v>
          </cell>
          <cell r="J82" t="str">
            <v>AISI302</v>
          </cell>
          <cell r="K82">
            <v>12</v>
          </cell>
          <cell r="L82">
            <v>45772</v>
          </cell>
          <cell r="M82" t="str">
            <v>3-配货完成</v>
          </cell>
        </row>
        <row r="82">
          <cell r="O82">
            <v>0</v>
          </cell>
          <cell r="P82" t="str">
            <v>哈尔滨东安实业发展有限公司</v>
          </cell>
          <cell r="Q82" t="str">
            <v>10</v>
          </cell>
        </row>
        <row r="82">
          <cell r="U82" t="str">
            <v>010000783779</v>
          </cell>
          <cell r="V82" t="str">
            <v>PANQIFANG</v>
          </cell>
          <cell r="W82" t="str">
            <v/>
          </cell>
          <cell r="X82" t="str">
            <v>CP-108-A</v>
          </cell>
          <cell r="Y82" t="str">
            <v/>
          </cell>
          <cell r="Z82" t="str">
            <v>1906</v>
          </cell>
          <cell r="AA82" t="str">
            <v>1100145379</v>
          </cell>
          <cell r="AB82">
            <v>12</v>
          </cell>
          <cell r="AC82" t="str">
            <v/>
          </cell>
          <cell r="AD82">
            <v>31</v>
          </cell>
          <cell r="AE82" t="str">
            <v>G-100016975-250416-0021</v>
          </cell>
        </row>
        <row r="83">
          <cell r="B83" t="str">
            <v>7100941579</v>
          </cell>
          <cell r="C83" t="str">
            <v>G2412-3096</v>
          </cell>
          <cell r="D83" t="str">
            <v>000042944000117412</v>
          </cell>
          <cell r="E83" t="str">
            <v>止动环</v>
          </cell>
          <cell r="F83" t="str">
            <v>AS3077</v>
          </cell>
          <cell r="G83" t="str">
            <v>AS3077-10</v>
          </cell>
          <cell r="H83" t="str">
            <v>33-42HRC</v>
          </cell>
          <cell r="I83" t="str">
            <v>钝化</v>
          </cell>
          <cell r="J83" t="str">
            <v>A286</v>
          </cell>
          <cell r="K83">
            <v>33</v>
          </cell>
          <cell r="L83">
            <v>45775</v>
          </cell>
          <cell r="M83" t="str">
            <v>3-配货完成</v>
          </cell>
        </row>
        <row r="83">
          <cell r="O83">
            <v>0</v>
          </cell>
          <cell r="P83" t="str">
            <v>哈尔滨东安实业发展有限公司</v>
          </cell>
          <cell r="Q83" t="str">
            <v>80</v>
          </cell>
        </row>
        <row r="83">
          <cell r="U83" t="str">
            <v>010000766811</v>
          </cell>
          <cell r="V83" t="str">
            <v>PANQIFANG</v>
          </cell>
          <cell r="W83" t="str">
            <v/>
          </cell>
          <cell r="X83" t="str">
            <v>CP-108-A</v>
          </cell>
          <cell r="Y83" t="str">
            <v/>
          </cell>
          <cell r="Z83" t="str">
            <v>1906</v>
          </cell>
          <cell r="AA83" t="str">
            <v>1100139149</v>
          </cell>
          <cell r="AB83">
            <v>50</v>
          </cell>
          <cell r="AC83" t="str">
            <v/>
          </cell>
          <cell r="AD83">
            <v>72.5</v>
          </cell>
          <cell r="AE83" t="str">
            <v>G-100016975-241223-0215</v>
          </cell>
        </row>
        <row r="84">
          <cell r="B84" t="str">
            <v>7100942417</v>
          </cell>
          <cell r="C84" t="str">
            <v>G2501-2330</v>
          </cell>
          <cell r="D84" t="str">
            <v>000042944000117412</v>
          </cell>
          <cell r="E84" t="str">
            <v>止动环</v>
          </cell>
          <cell r="F84" t="str">
            <v>AS3077</v>
          </cell>
          <cell r="G84" t="str">
            <v>AS3077-10</v>
          </cell>
          <cell r="H84" t="str">
            <v>33-42HRC</v>
          </cell>
          <cell r="I84" t="str">
            <v>钝化</v>
          </cell>
          <cell r="J84" t="str">
            <v>A286</v>
          </cell>
          <cell r="K84">
            <v>5</v>
          </cell>
          <cell r="L84">
            <v>45776</v>
          </cell>
          <cell r="M84" t="str">
            <v>3-配货完成</v>
          </cell>
        </row>
        <row r="84">
          <cell r="O84">
            <v>0</v>
          </cell>
          <cell r="P84" t="str">
            <v>哈尔滨东安实业发展有限公司</v>
          </cell>
          <cell r="Q84" t="str">
            <v>80</v>
          </cell>
        </row>
        <row r="84">
          <cell r="U84" t="str">
            <v>010000777136</v>
          </cell>
          <cell r="V84" t="str">
            <v>PANQIFANG</v>
          </cell>
          <cell r="W84" t="str">
            <v/>
          </cell>
          <cell r="X84" t="str">
            <v>CP-108-A</v>
          </cell>
          <cell r="Y84" t="str">
            <v/>
          </cell>
          <cell r="Z84" t="str">
            <v>1906</v>
          </cell>
          <cell r="AA84" t="str">
            <v>1100139149</v>
          </cell>
          <cell r="AB84">
            <v>50</v>
          </cell>
          <cell r="AC84" t="str">
            <v/>
          </cell>
          <cell r="AD84">
            <v>72.5</v>
          </cell>
          <cell r="AE84" t="str">
            <v>G-100016975-241223-0215</v>
          </cell>
        </row>
        <row r="85">
          <cell r="B85" t="str">
            <v>7100943719</v>
          </cell>
          <cell r="C85" t="str">
            <v>G2503-0806</v>
          </cell>
          <cell r="D85" t="str">
            <v>000042944999027918</v>
          </cell>
          <cell r="E85" t="str">
            <v>螺桩</v>
          </cell>
          <cell r="F85" t="str">
            <v>1BRZA12375-06-015</v>
          </cell>
          <cell r="G85" t="str">
            <v>06-015</v>
          </cell>
          <cell r="H85" t="str">
            <v>σb=980±100MPa</v>
          </cell>
          <cell r="I85" t="str">
            <v>Ep·Cd5-8·c2C</v>
          </cell>
          <cell r="J85" t="str">
            <v>40CrNiMoA</v>
          </cell>
          <cell r="K85">
            <v>47</v>
          </cell>
          <cell r="L85">
            <v>45783</v>
          </cell>
          <cell r="M85" t="str">
            <v>3-配货完成</v>
          </cell>
        </row>
        <row r="85">
          <cell r="O85">
            <v>0</v>
          </cell>
          <cell r="P85" t="str">
            <v>哈尔滨东安实业发展有限公司</v>
          </cell>
          <cell r="Q85" t="str">
            <v>10</v>
          </cell>
        </row>
        <row r="85">
          <cell r="U85" t="str">
            <v>010000793754</v>
          </cell>
          <cell r="V85" t="str">
            <v>PANQIFANG</v>
          </cell>
          <cell r="W85" t="str">
            <v/>
          </cell>
          <cell r="X85" t="str">
            <v>CP-108-A</v>
          </cell>
          <cell r="Y85" t="str">
            <v/>
          </cell>
          <cell r="Z85" t="str">
            <v>1906</v>
          </cell>
          <cell r="AA85" t="str">
            <v>1100135409</v>
          </cell>
          <cell r="AB85">
            <v>338</v>
          </cell>
          <cell r="AC85" t="str">
            <v/>
          </cell>
          <cell r="AD85">
            <v>35</v>
          </cell>
          <cell r="AE85" t="str">
            <v>G-100016975-241014-0044</v>
          </cell>
        </row>
        <row r="86">
          <cell r="B86" t="str">
            <v>7100943720</v>
          </cell>
          <cell r="C86" t="str">
            <v>G2503-0806</v>
          </cell>
          <cell r="D86" t="str">
            <v>000042944999027918</v>
          </cell>
          <cell r="E86" t="str">
            <v>螺桩</v>
          </cell>
          <cell r="F86" t="str">
            <v>1BRZA12375-06-015</v>
          </cell>
          <cell r="G86" t="str">
            <v>06-015</v>
          </cell>
          <cell r="H86" t="str">
            <v>σb=980±100MPa</v>
          </cell>
          <cell r="I86" t="str">
            <v>Ep·Cd5-8·c2C</v>
          </cell>
          <cell r="J86" t="str">
            <v>40CrNiMoA</v>
          </cell>
          <cell r="K86">
            <v>300</v>
          </cell>
          <cell r="L86">
            <v>45783</v>
          </cell>
          <cell r="M86" t="str">
            <v>3-配货完成</v>
          </cell>
        </row>
        <row r="86">
          <cell r="O86">
            <v>0</v>
          </cell>
          <cell r="P86" t="str">
            <v>哈尔滨东安实业发展有限公司</v>
          </cell>
          <cell r="Q86" t="str">
            <v>80</v>
          </cell>
        </row>
        <row r="86">
          <cell r="U86" t="str">
            <v>010000793754</v>
          </cell>
          <cell r="V86" t="str">
            <v>PANQIFANG</v>
          </cell>
          <cell r="W86" t="str">
            <v/>
          </cell>
          <cell r="X86" t="str">
            <v>CP-108-A</v>
          </cell>
          <cell r="Y86" t="str">
            <v/>
          </cell>
          <cell r="Z86" t="str">
            <v>1906</v>
          </cell>
          <cell r="AA86" t="str">
            <v>1100141177</v>
          </cell>
          <cell r="AB86">
            <v>300</v>
          </cell>
          <cell r="AC86" t="str">
            <v/>
          </cell>
          <cell r="AD86">
            <v>35</v>
          </cell>
          <cell r="AE86" t="str">
            <v>G-100016975-250210-0006-1</v>
          </cell>
        </row>
        <row r="87">
          <cell r="B87" t="str">
            <v>7100943720</v>
          </cell>
          <cell r="C87" t="str">
            <v>G2503-0806</v>
          </cell>
          <cell r="D87" t="str">
            <v>000042944999027918</v>
          </cell>
          <cell r="E87" t="str">
            <v>螺桩</v>
          </cell>
          <cell r="F87" t="str">
            <v>1BRZA12375-06-015</v>
          </cell>
          <cell r="G87" t="str">
            <v>06-015</v>
          </cell>
          <cell r="H87" t="str">
            <v>σb=980±100MPa</v>
          </cell>
          <cell r="I87" t="str">
            <v>Ep·Cd5-8·c2C</v>
          </cell>
          <cell r="J87" t="str">
            <v>40CrNiMoA</v>
          </cell>
          <cell r="K87">
            <v>500</v>
          </cell>
          <cell r="L87">
            <v>45783</v>
          </cell>
          <cell r="M87" t="str">
            <v>3-配货完成</v>
          </cell>
        </row>
        <row r="87">
          <cell r="O87">
            <v>0</v>
          </cell>
          <cell r="P87" t="str">
            <v>哈尔滨东安实业发展有限公司</v>
          </cell>
          <cell r="Q87" t="str">
            <v>120</v>
          </cell>
        </row>
        <row r="87">
          <cell r="U87" t="str">
            <v>010000793754</v>
          </cell>
          <cell r="V87" t="str">
            <v>PANQIFANG</v>
          </cell>
          <cell r="W87" t="str">
            <v/>
          </cell>
          <cell r="X87" t="str">
            <v>CP-108-A</v>
          </cell>
          <cell r="Y87" t="str">
            <v/>
          </cell>
          <cell r="Z87" t="str">
            <v>1906</v>
          </cell>
          <cell r="AA87" t="str">
            <v>1100141177</v>
          </cell>
          <cell r="AB87">
            <v>500</v>
          </cell>
          <cell r="AC87" t="str">
            <v/>
          </cell>
          <cell r="AD87">
            <v>35</v>
          </cell>
          <cell r="AE87" t="str">
            <v>G-100016975-250210-0006-1</v>
          </cell>
        </row>
        <row r="88">
          <cell r="B88" t="str">
            <v>7100943731</v>
          </cell>
          <cell r="C88" t="str">
            <v>G2503-0806</v>
          </cell>
          <cell r="D88" t="str">
            <v>000042944999027918</v>
          </cell>
          <cell r="E88" t="str">
            <v>螺桩</v>
          </cell>
          <cell r="F88" t="str">
            <v>1BRZA12375-06-015</v>
          </cell>
          <cell r="G88" t="str">
            <v>06-015</v>
          </cell>
          <cell r="H88" t="str">
            <v>σb=980±100MPa</v>
          </cell>
          <cell r="I88" t="str">
            <v>Ep·Cd5-8·c2C</v>
          </cell>
          <cell r="J88" t="str">
            <v>40CrNiMoA</v>
          </cell>
          <cell r="K88">
            <v>15</v>
          </cell>
          <cell r="L88">
            <v>45783</v>
          </cell>
          <cell r="M88" t="str">
            <v>3-配货完成</v>
          </cell>
        </row>
        <row r="88">
          <cell r="O88">
            <v>0</v>
          </cell>
          <cell r="P88" t="str">
            <v>哈尔滨东安实业发展有限公司</v>
          </cell>
          <cell r="Q88" t="str">
            <v>10</v>
          </cell>
        </row>
        <row r="88">
          <cell r="U88" t="str">
            <v>010000793754</v>
          </cell>
          <cell r="V88" t="str">
            <v>PANQIFANG</v>
          </cell>
          <cell r="W88" t="str">
            <v/>
          </cell>
          <cell r="X88" t="str">
            <v>CP-108-A</v>
          </cell>
          <cell r="Y88" t="str">
            <v/>
          </cell>
          <cell r="Z88" t="str">
            <v>1906</v>
          </cell>
          <cell r="AA88" t="str">
            <v>1100140636</v>
          </cell>
          <cell r="AB88">
            <v>15</v>
          </cell>
          <cell r="AC88" t="str">
            <v/>
          </cell>
          <cell r="AD88">
            <v>35</v>
          </cell>
          <cell r="AE88" t="str">
            <v>G-100016975-241014-0044BH</v>
          </cell>
        </row>
        <row r="89">
          <cell r="B89" t="str">
            <v>7100943732</v>
          </cell>
          <cell r="C89" t="str">
            <v>G2503-0806</v>
          </cell>
          <cell r="D89" t="str">
            <v>000042944999027918</v>
          </cell>
          <cell r="E89" t="str">
            <v>螺桩</v>
          </cell>
          <cell r="F89" t="str">
            <v>1BRZA12375-06-015</v>
          </cell>
          <cell r="G89" t="str">
            <v>06-015</v>
          </cell>
          <cell r="H89" t="str">
            <v>σb=980±100MPa</v>
          </cell>
          <cell r="I89" t="str">
            <v>Ep·Cd5-8·c2C</v>
          </cell>
          <cell r="J89" t="str">
            <v>40CrNiMoA</v>
          </cell>
          <cell r="K89">
            <v>460</v>
          </cell>
          <cell r="L89">
            <v>45783</v>
          </cell>
          <cell r="M89" t="str">
            <v>3-配货完成</v>
          </cell>
        </row>
        <row r="89">
          <cell r="O89">
            <v>0</v>
          </cell>
          <cell r="P89" t="str">
            <v>哈尔滨东安实业发展有限公司</v>
          </cell>
          <cell r="Q89" t="str">
            <v>10</v>
          </cell>
        </row>
        <row r="89">
          <cell r="U89" t="str">
            <v>010000793754</v>
          </cell>
          <cell r="V89" t="str">
            <v>PANQIFANG</v>
          </cell>
          <cell r="W89" t="str">
            <v/>
          </cell>
          <cell r="X89" t="str">
            <v>CP-108-A</v>
          </cell>
          <cell r="Y89" t="str">
            <v/>
          </cell>
          <cell r="Z89" t="str">
            <v>1906</v>
          </cell>
          <cell r="AA89" t="str">
            <v>1100142862</v>
          </cell>
          <cell r="AB89">
            <v>512</v>
          </cell>
          <cell r="AC89" t="str">
            <v/>
          </cell>
          <cell r="AD89">
            <v>35</v>
          </cell>
          <cell r="AE89" t="str">
            <v>G-100016975-250306-0015</v>
          </cell>
        </row>
        <row r="90">
          <cell r="B90" t="str">
            <v>7100940474</v>
          </cell>
          <cell r="C90" t="str">
            <v>G2502-1636</v>
          </cell>
          <cell r="D90" t="str">
            <v>000042944360132759</v>
          </cell>
          <cell r="E90" t="str">
            <v>挡销</v>
          </cell>
          <cell r="F90" t="str">
            <v>AS1791</v>
          </cell>
          <cell r="G90" t="str">
            <v>AS1791-06</v>
          </cell>
          <cell r="H90" t="str">
            <v/>
          </cell>
          <cell r="I90" t="str">
            <v>钝化+固体膜润滑剂</v>
          </cell>
          <cell r="J90" t="str">
            <v>AISI302</v>
          </cell>
          <cell r="K90">
            <v>12</v>
          </cell>
          <cell r="L90">
            <v>45772</v>
          </cell>
          <cell r="M90" t="str">
            <v>4-检验完成</v>
          </cell>
        </row>
        <row r="90">
          <cell r="O90">
            <v>0</v>
          </cell>
          <cell r="P90" t="str">
            <v>哈尔滨东安实业发展有限公司</v>
          </cell>
          <cell r="Q90" t="str">
            <v>10</v>
          </cell>
          <cell r="R90">
            <v>45783</v>
          </cell>
        </row>
        <row r="90">
          <cell r="U90" t="str">
            <v>010000783779</v>
          </cell>
          <cell r="V90" t="str">
            <v>PANQIFANG</v>
          </cell>
          <cell r="W90" t="str">
            <v/>
          </cell>
          <cell r="X90" t="str">
            <v>CP-108-A</v>
          </cell>
          <cell r="Y90" t="str">
            <v/>
          </cell>
          <cell r="Z90" t="str">
            <v>1906</v>
          </cell>
          <cell r="AA90" t="str">
            <v>1100145379</v>
          </cell>
          <cell r="AB90">
            <v>12</v>
          </cell>
          <cell r="AC90" t="str">
            <v/>
          </cell>
          <cell r="AD90">
            <v>31</v>
          </cell>
          <cell r="AE90" t="str">
            <v>G-100016975-250416-0021</v>
          </cell>
        </row>
        <row r="91">
          <cell r="B91" t="str">
            <v>7100941579</v>
          </cell>
          <cell r="C91" t="str">
            <v>G2412-3096</v>
          </cell>
          <cell r="D91" t="str">
            <v>000042944000117412</v>
          </cell>
          <cell r="E91" t="str">
            <v>止动环</v>
          </cell>
          <cell r="F91" t="str">
            <v>AS3077</v>
          </cell>
          <cell r="G91" t="str">
            <v>AS3077-10</v>
          </cell>
          <cell r="H91" t="str">
            <v>33-42HRC</v>
          </cell>
          <cell r="I91" t="str">
            <v>钝化</v>
          </cell>
          <cell r="J91" t="str">
            <v>A286</v>
          </cell>
          <cell r="K91">
            <v>33</v>
          </cell>
          <cell r="L91">
            <v>45775</v>
          </cell>
          <cell r="M91" t="str">
            <v>3-配货完成</v>
          </cell>
        </row>
        <row r="91">
          <cell r="O91">
            <v>0</v>
          </cell>
          <cell r="P91" t="str">
            <v>哈尔滨东安实业发展有限公司</v>
          </cell>
          <cell r="Q91" t="str">
            <v>80</v>
          </cell>
        </row>
        <row r="91">
          <cell r="U91" t="str">
            <v>010000766811</v>
          </cell>
          <cell r="V91" t="str">
            <v>PANQIFANG</v>
          </cell>
          <cell r="W91" t="str">
            <v/>
          </cell>
          <cell r="X91" t="str">
            <v>CP-108-A</v>
          </cell>
          <cell r="Y91" t="str">
            <v/>
          </cell>
          <cell r="Z91" t="str">
            <v>1906</v>
          </cell>
          <cell r="AA91" t="str">
            <v>1100139149</v>
          </cell>
          <cell r="AB91">
            <v>50</v>
          </cell>
          <cell r="AC91" t="str">
            <v/>
          </cell>
          <cell r="AD91">
            <v>72.5</v>
          </cell>
          <cell r="AE91" t="str">
            <v>G-100016975-241223-0215</v>
          </cell>
        </row>
        <row r="92">
          <cell r="B92" t="str">
            <v>7100947420</v>
          </cell>
          <cell r="C92" t="str">
            <v>GW2505-040</v>
          </cell>
          <cell r="D92" t="str">
            <v>000042944239004239</v>
          </cell>
          <cell r="E92" t="str">
            <v>高锁螺栓</v>
          </cell>
          <cell r="F92" t="str">
            <v>GJB134.2-6×14</v>
          </cell>
          <cell r="G92" t="str">
            <v>6×14</v>
          </cell>
          <cell r="H92" t="str">
            <v>σb=1175±100MPa</v>
          </cell>
          <cell r="I92" t="str">
            <v>Ct·O+Dp·CA</v>
          </cell>
          <cell r="J92" t="str">
            <v>ML30CrMnSiA</v>
          </cell>
          <cell r="K92">
            <v>85</v>
          </cell>
          <cell r="L92">
            <v>45790</v>
          </cell>
          <cell r="M92" t="str">
            <v>3-配货完成</v>
          </cell>
        </row>
        <row r="92">
          <cell r="O92">
            <v>0</v>
          </cell>
          <cell r="P92" t="str">
            <v>哈尔滨东安实业发展有限公司</v>
          </cell>
          <cell r="Q92" t="str">
            <v>10</v>
          </cell>
        </row>
        <row r="92">
          <cell r="U92" t="str">
            <v/>
          </cell>
          <cell r="V92" t="str">
            <v>PANQIFANG</v>
          </cell>
          <cell r="W92" t="str">
            <v/>
          </cell>
          <cell r="X92" t="str">
            <v>XH-000</v>
          </cell>
          <cell r="Y92" t="str">
            <v/>
          </cell>
          <cell r="Z92" t="str">
            <v>1906</v>
          </cell>
          <cell r="AA92" t="str">
            <v>1100136486</v>
          </cell>
          <cell r="AB92">
            <v>220</v>
          </cell>
          <cell r="AC92" t="str">
            <v/>
          </cell>
          <cell r="AD92">
            <v>101.44</v>
          </cell>
          <cell r="AE92" t="str">
            <v>G-100016975-241101-0205-1-T</v>
          </cell>
        </row>
        <row r="93">
          <cell r="B93" t="str">
            <v>7100948012</v>
          </cell>
          <cell r="C93" t="str">
            <v>GW2505-031</v>
          </cell>
          <cell r="D93" t="str">
            <v>000042944239004239</v>
          </cell>
          <cell r="E93" t="str">
            <v>高锁螺栓</v>
          </cell>
          <cell r="F93" t="str">
            <v>GJB134.2-6×14</v>
          </cell>
          <cell r="G93" t="str">
            <v>6×14</v>
          </cell>
          <cell r="H93" t="str">
            <v>σb=1175±100MPa</v>
          </cell>
          <cell r="I93" t="str">
            <v>Ct·O+Dp·CA</v>
          </cell>
          <cell r="J93" t="str">
            <v>ML30CrMnSiA</v>
          </cell>
          <cell r="K93">
            <v>196</v>
          </cell>
          <cell r="L93">
            <v>45791</v>
          </cell>
          <cell r="M93" t="str">
            <v>3-配货完成</v>
          </cell>
        </row>
        <row r="93">
          <cell r="O93">
            <v>0</v>
          </cell>
          <cell r="P93" t="str">
            <v>哈尔滨东安实业发展有限公司</v>
          </cell>
          <cell r="Q93" t="str">
            <v>10</v>
          </cell>
        </row>
        <row r="93">
          <cell r="U93" t="str">
            <v/>
          </cell>
          <cell r="V93" t="str">
            <v>PANQIFANG</v>
          </cell>
          <cell r="W93" t="str">
            <v/>
          </cell>
          <cell r="X93" t="str">
            <v>XH-000</v>
          </cell>
          <cell r="Y93" t="str">
            <v/>
          </cell>
          <cell r="Z93" t="str">
            <v>1906</v>
          </cell>
          <cell r="AA93" t="str">
            <v>1100141176</v>
          </cell>
          <cell r="AB93">
            <v>200</v>
          </cell>
          <cell r="AC93" t="str">
            <v/>
          </cell>
          <cell r="AD93">
            <v>101.4</v>
          </cell>
          <cell r="AE93" t="str">
            <v>G-100016975-250210-0006-3-T</v>
          </cell>
        </row>
        <row r="94">
          <cell r="B94" t="str">
            <v>7100948616</v>
          </cell>
          <cell r="C94" t="str">
            <v>GW2505-071</v>
          </cell>
          <cell r="D94" t="str">
            <v>000042944320002487</v>
          </cell>
          <cell r="E94" t="str">
            <v>平锥头铆钉</v>
          </cell>
          <cell r="F94" t="str">
            <v>GB868-86-4×14-ML15-ZnD</v>
          </cell>
          <cell r="G94" t="str">
            <v>4×14</v>
          </cell>
          <cell r="H94" t="str">
            <v>退火</v>
          </cell>
          <cell r="I94" t="str">
            <v>Ep·Zn·c2C</v>
          </cell>
          <cell r="J94" t="str">
            <v>ML15</v>
          </cell>
          <cell r="K94">
            <v>226</v>
          </cell>
          <cell r="L94">
            <v>45792</v>
          </cell>
          <cell r="M94" t="str">
            <v>3-配货完成</v>
          </cell>
        </row>
        <row r="94">
          <cell r="O94">
            <v>0</v>
          </cell>
          <cell r="P94" t="str">
            <v>哈尔滨东安实业发展有限公司</v>
          </cell>
          <cell r="Q94" t="str">
            <v>10</v>
          </cell>
        </row>
        <row r="94">
          <cell r="U94" t="str">
            <v/>
          </cell>
          <cell r="V94" t="str">
            <v>LIZHIFENG</v>
          </cell>
          <cell r="W94" t="str">
            <v/>
          </cell>
          <cell r="X94" t="str">
            <v>XH-000</v>
          </cell>
          <cell r="Y94" t="str">
            <v/>
          </cell>
          <cell r="Z94" t="str">
            <v>1906</v>
          </cell>
          <cell r="AA94" t="str">
            <v>1100141950</v>
          </cell>
          <cell r="AB94">
            <v>226</v>
          </cell>
          <cell r="AC94" t="str">
            <v/>
          </cell>
          <cell r="AD94">
            <v>0.5</v>
          </cell>
          <cell r="AE94" t="str">
            <v>G-100016975-250221-0010-1-T</v>
          </cell>
        </row>
        <row r="95">
          <cell r="B95" t="str">
            <v>7100949016</v>
          </cell>
          <cell r="C95" t="str">
            <v>G2503-2017</v>
          </cell>
          <cell r="D95" t="str">
            <v>000042944039117391</v>
          </cell>
          <cell r="E95" t="str">
            <v>管接螺套</v>
          </cell>
          <cell r="F95" t="str">
            <v>AS3078</v>
          </cell>
          <cell r="G95" t="str">
            <v>AS3078-10</v>
          </cell>
          <cell r="H95" t="str">
            <v>≥29HRC</v>
          </cell>
          <cell r="I95" t="str">
            <v>钝化</v>
          </cell>
          <cell r="J95" t="str">
            <v>A286</v>
          </cell>
          <cell r="K95">
            <v>28</v>
          </cell>
          <cell r="L95">
            <v>45793</v>
          </cell>
          <cell r="M95" t="str">
            <v>3-配货完成</v>
          </cell>
        </row>
        <row r="95">
          <cell r="O95">
            <v>0</v>
          </cell>
          <cell r="P95" t="str">
            <v>哈尔滨东安实业发展有限公司</v>
          </cell>
          <cell r="Q95" t="str">
            <v>10</v>
          </cell>
        </row>
        <row r="95">
          <cell r="U95" t="str">
            <v>010000798926</v>
          </cell>
          <cell r="V95" t="str">
            <v>HANXIAOLAN</v>
          </cell>
          <cell r="W95" t="str">
            <v/>
          </cell>
          <cell r="X95" t="str">
            <v/>
          </cell>
          <cell r="Y95" t="str">
            <v/>
          </cell>
          <cell r="Z95" t="str">
            <v>1906</v>
          </cell>
          <cell r="AA95" t="str">
            <v>1100139934</v>
          </cell>
          <cell r="AB95">
            <v>33</v>
          </cell>
          <cell r="AC95" t="str">
            <v/>
          </cell>
          <cell r="AD95">
            <v>280</v>
          </cell>
          <cell r="AE95" t="str">
            <v>G-100016975-240827-0039BH</v>
          </cell>
        </row>
        <row r="96">
          <cell r="B96" t="str">
            <v>7100951244</v>
          </cell>
          <cell r="C96" t="str">
            <v>G2503-3050</v>
          </cell>
          <cell r="D96" t="str">
            <v>000042944039000153</v>
          </cell>
          <cell r="E96" t="str">
            <v>带键自锁螺套</v>
          </cell>
          <cell r="F96" t="str">
            <v>Q/S15.1119-6</v>
          </cell>
          <cell r="G96" t="str">
            <v>6</v>
          </cell>
          <cell r="H96" t="str">
            <v/>
          </cell>
          <cell r="I96" t="str">
            <v/>
          </cell>
          <cell r="J96" t="str">
            <v>组件</v>
          </cell>
          <cell r="K96">
            <v>163</v>
          </cell>
          <cell r="L96">
            <v>45797</v>
          </cell>
          <cell r="M96" t="str">
            <v>3-配货完成</v>
          </cell>
        </row>
        <row r="96">
          <cell r="O96">
            <v>0</v>
          </cell>
          <cell r="P96" t="str">
            <v>哈尔滨东安实业发展有限公司</v>
          </cell>
          <cell r="Q96" t="str">
            <v>50</v>
          </cell>
        </row>
        <row r="96">
          <cell r="U96" t="str">
            <v>010000802753</v>
          </cell>
          <cell r="V96" t="str">
            <v>PANQIFANG</v>
          </cell>
          <cell r="W96" t="str">
            <v/>
          </cell>
          <cell r="X96" t="str">
            <v>CP-108-A</v>
          </cell>
          <cell r="Y96" t="str">
            <v/>
          </cell>
          <cell r="Z96" t="str">
            <v>1906</v>
          </cell>
          <cell r="AA96" t="str">
            <v>1100133125</v>
          </cell>
          <cell r="AB96">
            <v>320</v>
          </cell>
          <cell r="AC96" t="str">
            <v/>
          </cell>
          <cell r="AD96">
            <v>119</v>
          </cell>
          <cell r="AE96" t="str">
            <v>G-100016975-240817-0038-1</v>
          </cell>
        </row>
        <row r="97">
          <cell r="B97" t="str">
            <v>7100918674</v>
          </cell>
          <cell r="C97" t="str">
            <v>GW2503-067</v>
          </cell>
          <cell r="D97" t="str">
            <v>000042944360002185</v>
          </cell>
          <cell r="E97" t="str">
            <v>弹性圆柱销-直槽-重型</v>
          </cell>
          <cell r="F97" t="str">
            <v>GB/T879.1-2000-3×12</v>
          </cell>
          <cell r="G97" t="str">
            <v>3×12</v>
          </cell>
          <cell r="H97" t="str">
            <v>420-520HV30</v>
          </cell>
          <cell r="I97" t="str">
            <v>Ct·O</v>
          </cell>
          <cell r="J97" t="str">
            <v>65Mn</v>
          </cell>
          <cell r="K97">
            <v>100</v>
          </cell>
          <cell r="L97">
            <v>45729</v>
          </cell>
          <cell r="M97" t="str">
            <v>3-配货完成</v>
          </cell>
        </row>
        <row r="97">
          <cell r="O97">
            <v>0</v>
          </cell>
          <cell r="P97" t="str">
            <v>哈尔滨东安实业发展有限公司</v>
          </cell>
          <cell r="Q97" t="str">
            <v>20</v>
          </cell>
        </row>
        <row r="97">
          <cell r="U97" t="str">
            <v/>
          </cell>
          <cell r="V97" t="str">
            <v>HANXIAOLAN</v>
          </cell>
          <cell r="W97" t="str">
            <v/>
          </cell>
          <cell r="X97" t="str">
            <v>XH-000</v>
          </cell>
          <cell r="Y97" t="str">
            <v/>
          </cell>
          <cell r="Z97" t="str">
            <v>1906</v>
          </cell>
          <cell r="AA97" t="str">
            <v>1100122539</v>
          </cell>
          <cell r="AB97">
            <v>100</v>
          </cell>
          <cell r="AC97" t="str">
            <v/>
          </cell>
          <cell r="AD97">
            <v>0.35</v>
          </cell>
          <cell r="AE97" t="str">
            <v>G1302-231220-286-H</v>
          </cell>
        </row>
        <row r="98">
          <cell r="B98" t="str">
            <v>7100918894</v>
          </cell>
          <cell r="C98" t="str">
            <v>G2412-3151</v>
          </cell>
          <cell r="D98" t="str">
            <v>000042944319087844</v>
          </cell>
          <cell r="E98" t="str">
            <v>扩口发动机管接头用螺母</v>
          </cell>
          <cell r="F98" t="str">
            <v>AS5205(B版)</v>
          </cell>
          <cell r="G98" t="str">
            <v>AS5205R06NL</v>
          </cell>
          <cell r="H98" t="str">
            <v/>
          </cell>
          <cell r="I98" t="str">
            <v>钝化+固体膜润滑剂</v>
          </cell>
          <cell r="J98" t="str">
            <v>321</v>
          </cell>
          <cell r="K98">
            <v>14</v>
          </cell>
          <cell r="L98">
            <v>45729</v>
          </cell>
          <cell r="M98" t="str">
            <v>3-配货完成</v>
          </cell>
        </row>
        <row r="98">
          <cell r="O98">
            <v>0</v>
          </cell>
          <cell r="P98" t="str">
            <v>哈尔滨东安实业发展有限公司</v>
          </cell>
          <cell r="Q98" t="str">
            <v>30</v>
          </cell>
        </row>
        <row r="98">
          <cell r="U98" t="str">
            <v>010000766920</v>
          </cell>
          <cell r="V98" t="str">
            <v>HANXIAOLAN</v>
          </cell>
          <cell r="W98" t="str">
            <v/>
          </cell>
          <cell r="X98" t="str">
            <v>CP-108-A</v>
          </cell>
          <cell r="Y98" t="str">
            <v/>
          </cell>
          <cell r="Z98" t="str">
            <v>1906</v>
          </cell>
          <cell r="AA98" t="str">
            <v>1100141278</v>
          </cell>
          <cell r="AB98">
            <v>50</v>
          </cell>
          <cell r="AC98" t="str">
            <v/>
          </cell>
          <cell r="AD98">
            <v>230</v>
          </cell>
          <cell r="AE98" t="str">
            <v>G-100016975-250212-0008</v>
          </cell>
        </row>
        <row r="99">
          <cell r="B99" t="str">
            <v>7100921411</v>
          </cell>
          <cell r="C99" t="str">
            <v>G2502-1666</v>
          </cell>
          <cell r="D99" t="str">
            <v>000042944999002605</v>
          </cell>
          <cell r="E99" t="str">
            <v>带键锁紧螺桩</v>
          </cell>
          <cell r="F99" t="str">
            <v>8S.DFD20.3.802</v>
          </cell>
          <cell r="G99" t="str">
            <v>-</v>
          </cell>
          <cell r="H99" t="str">
            <v/>
          </cell>
          <cell r="I99" t="str">
            <v/>
          </cell>
          <cell r="J99" t="str">
            <v>组件</v>
          </cell>
          <cell r="K99">
            <v>53</v>
          </cell>
          <cell r="L99">
            <v>45735</v>
          </cell>
          <cell r="M99" t="str">
            <v>3-配货完成</v>
          </cell>
        </row>
        <row r="99">
          <cell r="O99">
            <v>0</v>
          </cell>
          <cell r="P99" t="str">
            <v>哈尔滨东安实业发展有限公司</v>
          </cell>
          <cell r="Q99" t="str">
            <v>90</v>
          </cell>
        </row>
        <row r="99">
          <cell r="U99" t="str">
            <v>010000783799</v>
          </cell>
          <cell r="V99" t="str">
            <v>QIAOXUPENG</v>
          </cell>
          <cell r="W99" t="str">
            <v/>
          </cell>
          <cell r="X99" t="str">
            <v>CP-108-A</v>
          </cell>
          <cell r="Y99" t="str">
            <v/>
          </cell>
          <cell r="Z99" t="str">
            <v>1906</v>
          </cell>
          <cell r="AA99" t="str">
            <v>1100124770</v>
          </cell>
          <cell r="AB99">
            <v>150</v>
          </cell>
          <cell r="AC99" t="str">
            <v/>
          </cell>
          <cell r="AD99">
            <v>197</v>
          </cell>
          <cell r="AE99" t="str">
            <v>G1302-240205-037</v>
          </cell>
        </row>
        <row r="100">
          <cell r="B100" t="str">
            <v>7100926771</v>
          </cell>
          <cell r="C100" t="str">
            <v>GW2503-280</v>
          </cell>
          <cell r="D100" t="str">
            <v>000042944239004239</v>
          </cell>
          <cell r="E100" t="str">
            <v>高锁螺栓</v>
          </cell>
          <cell r="F100" t="str">
            <v>GJB134.2-6×14</v>
          </cell>
          <cell r="G100" t="str">
            <v>6×14</v>
          </cell>
          <cell r="H100" t="str">
            <v>σb=1175±100MPa</v>
          </cell>
          <cell r="I100" t="str">
            <v>Ct·O+Dp·CA</v>
          </cell>
          <cell r="J100" t="str">
            <v>ML30CrMnSiA</v>
          </cell>
          <cell r="K100">
            <v>132</v>
          </cell>
          <cell r="L100">
            <v>45744</v>
          </cell>
          <cell r="M100" t="str">
            <v>3-配货完成</v>
          </cell>
        </row>
        <row r="100">
          <cell r="O100">
            <v>0</v>
          </cell>
          <cell r="P100" t="str">
            <v>哈尔滨东安实业发展有限公司</v>
          </cell>
          <cell r="Q100" t="str">
            <v>10</v>
          </cell>
        </row>
        <row r="100">
          <cell r="U100" t="str">
            <v/>
          </cell>
          <cell r="V100" t="str">
            <v>LIZHIFENG</v>
          </cell>
          <cell r="W100" t="str">
            <v/>
          </cell>
          <cell r="X100" t="str">
            <v>XH-000</v>
          </cell>
          <cell r="Y100" t="str">
            <v/>
          </cell>
          <cell r="Z100" t="str">
            <v>1906</v>
          </cell>
          <cell r="AA100" t="str">
            <v>1100136486</v>
          </cell>
          <cell r="AB100">
            <v>220</v>
          </cell>
          <cell r="AC100" t="str">
            <v/>
          </cell>
          <cell r="AD100">
            <v>101.44</v>
          </cell>
          <cell r="AE100" t="str">
            <v>G-100016975-241101-0205-1-T</v>
          </cell>
        </row>
        <row r="101">
          <cell r="B101" t="str">
            <v>7100931755</v>
          </cell>
          <cell r="C101" t="str">
            <v>G2502-1640</v>
          </cell>
          <cell r="D101" t="str">
            <v>000042944999010044</v>
          </cell>
          <cell r="E101" t="str">
            <v>定位环</v>
          </cell>
          <cell r="F101" t="str">
            <v>WZ10.66.1073</v>
          </cell>
          <cell r="G101" t="str">
            <v>-</v>
          </cell>
          <cell r="H101" t="str">
            <v/>
          </cell>
          <cell r="I101" t="str">
            <v/>
          </cell>
          <cell r="J101" t="str">
            <v>0Cr18Ni9</v>
          </cell>
          <cell r="K101">
            <v>100</v>
          </cell>
          <cell r="L101">
            <v>45756</v>
          </cell>
          <cell r="M101" t="str">
            <v>3-配货完成</v>
          </cell>
        </row>
        <row r="101">
          <cell r="O101">
            <v>0</v>
          </cell>
          <cell r="P101" t="str">
            <v>哈尔滨东安实业发展有限公司</v>
          </cell>
          <cell r="Q101" t="str">
            <v>130</v>
          </cell>
        </row>
        <row r="101">
          <cell r="U101" t="str">
            <v>010000783783</v>
          </cell>
          <cell r="V101" t="str">
            <v>LIZHIFENG</v>
          </cell>
          <cell r="W101" t="str">
            <v/>
          </cell>
          <cell r="X101" t="str">
            <v>CP-108-A</v>
          </cell>
          <cell r="Y101" t="str">
            <v/>
          </cell>
          <cell r="Z101" t="str">
            <v>1906</v>
          </cell>
          <cell r="AA101" t="str">
            <v>1100141177</v>
          </cell>
          <cell r="AB101">
            <v>100</v>
          </cell>
          <cell r="AC101" t="str">
            <v/>
          </cell>
          <cell r="AD101">
            <v>20</v>
          </cell>
          <cell r="AE101" t="str">
            <v>G-100016975-250210-0006-1</v>
          </cell>
        </row>
        <row r="102">
          <cell r="B102" t="str">
            <v>7100934739</v>
          </cell>
          <cell r="C102" t="str">
            <v>GW2504-089</v>
          </cell>
          <cell r="D102" t="str">
            <v>000042944320105142</v>
          </cell>
          <cell r="E102" t="str">
            <v>半圆头铆钉</v>
          </cell>
          <cell r="F102" t="str">
            <v>HB6236-4×30</v>
          </cell>
          <cell r="G102" t="str">
            <v>4×30</v>
          </cell>
          <cell r="H102" t="str">
            <v>淬火</v>
          </cell>
          <cell r="I102" t="str">
            <v/>
          </cell>
          <cell r="J102" t="str">
            <v>ML1Cr18Ni9Ti</v>
          </cell>
          <cell r="K102">
            <v>500</v>
          </cell>
          <cell r="L102">
            <v>45763</v>
          </cell>
          <cell r="M102" t="str">
            <v>3-配货完成</v>
          </cell>
        </row>
        <row r="102">
          <cell r="O102">
            <v>0</v>
          </cell>
          <cell r="P102" t="str">
            <v>哈尔滨东安实业发展有限公司</v>
          </cell>
          <cell r="Q102" t="str">
            <v>10</v>
          </cell>
        </row>
        <row r="102">
          <cell r="U102" t="str">
            <v/>
          </cell>
          <cell r="V102" t="str">
            <v>HANXIAOLAN</v>
          </cell>
          <cell r="W102" t="str">
            <v/>
          </cell>
          <cell r="X102" t="str">
            <v>XH-000</v>
          </cell>
          <cell r="Y102" t="str">
            <v/>
          </cell>
          <cell r="Z102" t="str">
            <v>1906</v>
          </cell>
          <cell r="AA102" t="str">
            <v>1100141276</v>
          </cell>
          <cell r="AB102">
            <v>500</v>
          </cell>
          <cell r="AC102" t="str">
            <v/>
          </cell>
          <cell r="AD102">
            <v>0.5</v>
          </cell>
          <cell r="AE102" t="str">
            <v>G-100016975-250212-0007-1-T</v>
          </cell>
        </row>
        <row r="103">
          <cell r="B103" t="str">
            <v>7100947420</v>
          </cell>
          <cell r="C103" t="str">
            <v>GW2505-040</v>
          </cell>
          <cell r="D103" t="str">
            <v>000042944239004239</v>
          </cell>
          <cell r="E103" t="str">
            <v>高锁螺栓</v>
          </cell>
          <cell r="F103" t="str">
            <v>GJB134.2-6×14</v>
          </cell>
          <cell r="G103" t="str">
            <v>6×14</v>
          </cell>
          <cell r="H103" t="str">
            <v>σb=1175±100MPa</v>
          </cell>
          <cell r="I103" t="str">
            <v>Ct·O+Dp·CA</v>
          </cell>
          <cell r="J103" t="str">
            <v>ML30CrMnSiA</v>
          </cell>
          <cell r="K103">
            <v>85</v>
          </cell>
          <cell r="L103">
            <v>45790</v>
          </cell>
          <cell r="M103" t="str">
            <v>3-配货完成</v>
          </cell>
        </row>
        <row r="103">
          <cell r="O103">
            <v>0</v>
          </cell>
          <cell r="P103" t="str">
            <v>哈尔滨东安实业发展有限公司</v>
          </cell>
          <cell r="Q103" t="str">
            <v>10</v>
          </cell>
        </row>
        <row r="103">
          <cell r="U103" t="str">
            <v/>
          </cell>
          <cell r="V103" t="str">
            <v>PANQIFANG</v>
          </cell>
          <cell r="W103" t="str">
            <v/>
          </cell>
          <cell r="X103" t="str">
            <v>XH-000</v>
          </cell>
          <cell r="Y103" t="str">
            <v/>
          </cell>
          <cell r="Z103" t="str">
            <v>1906</v>
          </cell>
          <cell r="AA103" t="str">
            <v>1100136486</v>
          </cell>
          <cell r="AB103">
            <v>220</v>
          </cell>
          <cell r="AC103" t="str">
            <v/>
          </cell>
          <cell r="AD103">
            <v>101.44</v>
          </cell>
          <cell r="AE103" t="str">
            <v>G-100016975-241101-0205-1-T</v>
          </cell>
        </row>
        <row r="104">
          <cell r="B104" t="str">
            <v>7100959692</v>
          </cell>
          <cell r="C104" t="str">
            <v>G2505-1431</v>
          </cell>
          <cell r="D104" t="str">
            <v>000042944039117391</v>
          </cell>
          <cell r="E104" t="str">
            <v>管接螺套</v>
          </cell>
          <cell r="F104" t="str">
            <v>AS3078</v>
          </cell>
          <cell r="G104" t="str">
            <v>AS3078-10</v>
          </cell>
          <cell r="H104" t="str">
            <v>≥29HRC</v>
          </cell>
          <cell r="I104" t="str">
            <v>钝化</v>
          </cell>
          <cell r="J104" t="str">
            <v>A286</v>
          </cell>
          <cell r="K104">
            <v>5</v>
          </cell>
          <cell r="L104">
            <v>45813</v>
          </cell>
          <cell r="M104" t="str">
            <v>4-检验完成</v>
          </cell>
        </row>
        <row r="104">
          <cell r="O104">
            <v>0</v>
          </cell>
          <cell r="P104" t="str">
            <v>哈尔滨东安实业发展有限公司</v>
          </cell>
          <cell r="Q104" t="str">
            <v>10</v>
          </cell>
          <cell r="R104">
            <v>45820</v>
          </cell>
        </row>
        <row r="104">
          <cell r="U104" t="str">
            <v>010000827665</v>
          </cell>
          <cell r="V104" t="str">
            <v>PANQIFANG</v>
          </cell>
          <cell r="W104" t="str">
            <v/>
          </cell>
          <cell r="X104" t="str">
            <v>CP-108-A</v>
          </cell>
          <cell r="Y104" t="str">
            <v/>
          </cell>
          <cell r="Z104" t="str">
            <v>1906</v>
          </cell>
          <cell r="AA104" t="str">
            <v>1100139934</v>
          </cell>
          <cell r="AB104">
            <v>33</v>
          </cell>
          <cell r="AC104" t="str">
            <v/>
          </cell>
          <cell r="AD104">
            <v>280</v>
          </cell>
          <cell r="AE104" t="str">
            <v>G-100016975-240827-0039BH</v>
          </cell>
        </row>
        <row r="105">
          <cell r="B105" t="str">
            <v>7100959695</v>
          </cell>
          <cell r="C105" t="str">
            <v>G2505-1431</v>
          </cell>
          <cell r="D105" t="str">
            <v>000042944039117391</v>
          </cell>
          <cell r="E105" t="str">
            <v>管接螺套</v>
          </cell>
          <cell r="F105" t="str">
            <v>AS3078</v>
          </cell>
          <cell r="G105" t="str">
            <v>AS3078-10</v>
          </cell>
          <cell r="H105" t="str">
            <v>≥29HRC</v>
          </cell>
          <cell r="I105" t="str">
            <v>钝化</v>
          </cell>
          <cell r="J105" t="str">
            <v>A286</v>
          </cell>
          <cell r="K105">
            <v>26</v>
          </cell>
          <cell r="L105">
            <v>45813</v>
          </cell>
          <cell r="M105" t="str">
            <v>4-检验完成</v>
          </cell>
        </row>
        <row r="105">
          <cell r="O105">
            <v>0</v>
          </cell>
          <cell r="P105" t="str">
            <v>哈尔滨东安实业发展有限公司</v>
          </cell>
          <cell r="Q105" t="str">
            <v>90</v>
          </cell>
          <cell r="R105">
            <v>45820</v>
          </cell>
        </row>
        <row r="105">
          <cell r="U105" t="str">
            <v>010000827665</v>
          </cell>
          <cell r="V105" t="str">
            <v>PANQIFANG</v>
          </cell>
          <cell r="W105" t="str">
            <v/>
          </cell>
          <cell r="X105" t="str">
            <v>CP-108-A</v>
          </cell>
          <cell r="Y105" t="str">
            <v/>
          </cell>
          <cell r="Z105" t="str">
            <v>1906</v>
          </cell>
          <cell r="AA105" t="str">
            <v>1100139149</v>
          </cell>
          <cell r="AB105">
            <v>50</v>
          </cell>
          <cell r="AC105" t="str">
            <v/>
          </cell>
          <cell r="AD105">
            <v>280</v>
          </cell>
          <cell r="AE105" t="str">
            <v>G-100016975-241223-0215</v>
          </cell>
        </row>
        <row r="106">
          <cell r="B106" t="str">
            <v>7100961366</v>
          </cell>
          <cell r="C106" t="str">
            <v>G2412-2738</v>
          </cell>
          <cell r="D106" t="str">
            <v>000042944319000220</v>
          </cell>
          <cell r="E106" t="str">
            <v>托板螺母组件</v>
          </cell>
          <cell r="F106" t="str">
            <v>8S.DFD21.4.803</v>
          </cell>
          <cell r="G106" t="str">
            <v>-</v>
          </cell>
          <cell r="H106" t="str">
            <v/>
          </cell>
          <cell r="I106" t="str">
            <v/>
          </cell>
          <cell r="J106" t="str">
            <v>组件</v>
          </cell>
          <cell r="K106">
            <v>90</v>
          </cell>
          <cell r="L106">
            <v>45818</v>
          </cell>
          <cell r="M106" t="str">
            <v>3-配货完成</v>
          </cell>
        </row>
        <row r="106">
          <cell r="O106">
            <v>0</v>
          </cell>
          <cell r="P106" t="str">
            <v>哈尔滨东安实业发展有限公司</v>
          </cell>
          <cell r="Q106" t="str">
            <v>60</v>
          </cell>
        </row>
        <row r="106">
          <cell r="U106" t="str">
            <v>010000766362</v>
          </cell>
          <cell r="V106" t="str">
            <v>PANQIFANG</v>
          </cell>
          <cell r="W106" t="str">
            <v/>
          </cell>
          <cell r="X106" t="str">
            <v/>
          </cell>
          <cell r="Y106" t="str">
            <v/>
          </cell>
          <cell r="Z106" t="str">
            <v>1906</v>
          </cell>
          <cell r="AA106" t="str">
            <v>1100124375</v>
          </cell>
          <cell r="AB106">
            <v>100</v>
          </cell>
          <cell r="AC106" t="str">
            <v/>
          </cell>
          <cell r="AD106">
            <v>180.4</v>
          </cell>
          <cell r="AE106" t="str">
            <v>G1302-240122-035</v>
          </cell>
        </row>
        <row r="107">
          <cell r="B107" t="str">
            <v>7100961567</v>
          </cell>
          <cell r="C107" t="str">
            <v>G2505-1432</v>
          </cell>
          <cell r="D107" t="str">
            <v>000042944039117391</v>
          </cell>
          <cell r="E107" t="str">
            <v>管接螺套</v>
          </cell>
          <cell r="F107" t="str">
            <v>AS3078</v>
          </cell>
          <cell r="G107" t="str">
            <v>AS3078-10</v>
          </cell>
          <cell r="H107" t="str">
            <v>≥29HRC</v>
          </cell>
          <cell r="I107" t="str">
            <v>钝化</v>
          </cell>
          <cell r="J107" t="str">
            <v>A286</v>
          </cell>
          <cell r="K107">
            <v>24</v>
          </cell>
          <cell r="L107">
            <v>45818</v>
          </cell>
          <cell r="M107" t="str">
            <v>3-配货完成</v>
          </cell>
        </row>
        <row r="107">
          <cell r="O107">
            <v>0</v>
          </cell>
          <cell r="P107" t="str">
            <v>哈尔滨东安实业发展有限公司</v>
          </cell>
          <cell r="Q107" t="str">
            <v>90</v>
          </cell>
        </row>
        <row r="107">
          <cell r="U107" t="str">
            <v>010000827671</v>
          </cell>
          <cell r="V107" t="str">
            <v>PANQIFANG</v>
          </cell>
          <cell r="W107" t="str">
            <v/>
          </cell>
          <cell r="X107" t="str">
            <v>CP-108-A</v>
          </cell>
          <cell r="Y107" t="str">
            <v/>
          </cell>
          <cell r="Z107" t="str">
            <v>1906</v>
          </cell>
          <cell r="AA107" t="str">
            <v>1100139149</v>
          </cell>
          <cell r="AB107">
            <v>50</v>
          </cell>
          <cell r="AC107" t="str">
            <v/>
          </cell>
          <cell r="AD107">
            <v>280</v>
          </cell>
          <cell r="AE107" t="str">
            <v>G-100016975-241223-0215</v>
          </cell>
        </row>
        <row r="108">
          <cell r="B108" t="str">
            <v>7100962149</v>
          </cell>
          <cell r="C108" t="str">
            <v>G2410-1276</v>
          </cell>
          <cell r="D108" t="str">
            <v>000042944039035428</v>
          </cell>
          <cell r="E108" t="str">
            <v>螺套</v>
          </cell>
          <cell r="F108" t="str">
            <v>Q/8S1222A-B06D</v>
          </cell>
          <cell r="G108" t="str">
            <v>A-B06D</v>
          </cell>
          <cell r="H108" t="str">
            <v>331-391HBS</v>
          </cell>
          <cell r="I108" t="str">
            <v>涂干膜润滑剂</v>
          </cell>
          <cell r="J108" t="str">
            <v>0Cr17Ni4Cu4Nb</v>
          </cell>
          <cell r="K108">
            <v>19</v>
          </cell>
          <cell r="L108">
            <v>45819</v>
          </cell>
          <cell r="M108" t="str">
            <v>4-检验完成</v>
          </cell>
        </row>
        <row r="108">
          <cell r="O108">
            <v>0</v>
          </cell>
          <cell r="P108" t="str">
            <v>哈尔滨东安实业发展有限公司</v>
          </cell>
          <cell r="Q108" t="str">
            <v>10</v>
          </cell>
          <cell r="R108">
            <v>45825</v>
          </cell>
        </row>
        <row r="108">
          <cell r="T108">
            <v>45822</v>
          </cell>
          <cell r="U108" t="str">
            <v>010000742541</v>
          </cell>
          <cell r="V108" t="str">
            <v>PANQIFANG</v>
          </cell>
          <cell r="W108" t="str">
            <v/>
          </cell>
          <cell r="X108" t="str">
            <v>CP-108-A</v>
          </cell>
          <cell r="Y108" t="str">
            <v/>
          </cell>
          <cell r="Z108" t="str">
            <v>1906</v>
          </cell>
          <cell r="AA108" t="str">
            <v>1100135389</v>
          </cell>
          <cell r="AB108">
            <v>100</v>
          </cell>
          <cell r="AC108" t="str">
            <v/>
          </cell>
          <cell r="AD108">
            <v>50</v>
          </cell>
          <cell r="AE108" t="str">
            <v>G-100016975-241014-0042-1</v>
          </cell>
        </row>
        <row r="109">
          <cell r="B109" t="str">
            <v>7100962700</v>
          </cell>
          <cell r="C109" t="str">
            <v>G2502-0074</v>
          </cell>
          <cell r="D109" t="str">
            <v>000042944319132758</v>
          </cell>
          <cell r="E109" t="str">
            <v>环槽螺母</v>
          </cell>
          <cell r="F109" t="str">
            <v>AS4370(F版)</v>
          </cell>
          <cell r="G109" t="str">
            <v>AS4370S06-NL</v>
          </cell>
          <cell r="H109" t="str">
            <v/>
          </cell>
          <cell r="I109" t="str">
            <v>钝化+涂固体膜润滑</v>
          </cell>
          <cell r="J109" t="str">
            <v>AISI347</v>
          </cell>
          <cell r="K109">
            <v>12</v>
          </cell>
          <cell r="L109">
            <v>45820</v>
          </cell>
          <cell r="M109" t="str">
            <v>3-配货完成</v>
          </cell>
        </row>
        <row r="109">
          <cell r="O109">
            <v>0</v>
          </cell>
          <cell r="P109" t="str">
            <v>哈尔滨东安实业发展有限公司</v>
          </cell>
          <cell r="Q109" t="str">
            <v>20</v>
          </cell>
        </row>
        <row r="109">
          <cell r="U109" t="str">
            <v>010000780296</v>
          </cell>
          <cell r="V109" t="str">
            <v>PANQIFANG</v>
          </cell>
          <cell r="W109" t="str">
            <v/>
          </cell>
          <cell r="X109" t="str">
            <v>CP-108-A</v>
          </cell>
          <cell r="Y109" t="str">
            <v/>
          </cell>
          <cell r="Z109" t="str">
            <v>1906</v>
          </cell>
          <cell r="AA109" t="str">
            <v>1100145379</v>
          </cell>
          <cell r="AB109">
            <v>12</v>
          </cell>
          <cell r="AC109" t="str">
            <v/>
          </cell>
          <cell r="AD109">
            <v>180</v>
          </cell>
          <cell r="AE109" t="str">
            <v>G-100016975-250416-0021</v>
          </cell>
        </row>
        <row r="110">
          <cell r="B110" t="str">
            <v>7100918674</v>
          </cell>
          <cell r="C110" t="str">
            <v>GW2503-067</v>
          </cell>
          <cell r="D110" t="str">
            <v>000042944360002185</v>
          </cell>
          <cell r="E110" t="str">
            <v>弹性圆柱销-直槽-重型</v>
          </cell>
          <cell r="F110" t="str">
            <v>GB/T879.1-2000-3×12</v>
          </cell>
          <cell r="G110" t="str">
            <v>3×12</v>
          </cell>
          <cell r="H110" t="str">
            <v>420-520HV30</v>
          </cell>
          <cell r="I110" t="str">
            <v>Ct·O</v>
          </cell>
          <cell r="J110" t="str">
            <v>65Mn</v>
          </cell>
          <cell r="K110">
            <v>100</v>
          </cell>
          <cell r="L110">
            <v>45729</v>
          </cell>
          <cell r="M110" t="str">
            <v>3-配货完成</v>
          </cell>
        </row>
        <row r="110">
          <cell r="O110">
            <v>0</v>
          </cell>
          <cell r="P110" t="str">
            <v>哈尔滨东安实业发展有限公司</v>
          </cell>
          <cell r="Q110" t="str">
            <v>20</v>
          </cell>
        </row>
        <row r="110">
          <cell r="U110" t="str">
            <v/>
          </cell>
          <cell r="V110" t="str">
            <v>HANXIAOLAN</v>
          </cell>
          <cell r="W110" t="str">
            <v/>
          </cell>
          <cell r="X110" t="str">
            <v>XH-000</v>
          </cell>
          <cell r="Y110" t="str">
            <v/>
          </cell>
          <cell r="Z110" t="str">
            <v>1906</v>
          </cell>
          <cell r="AA110" t="str">
            <v>1100122539</v>
          </cell>
          <cell r="AB110">
            <v>100</v>
          </cell>
          <cell r="AC110" t="str">
            <v/>
          </cell>
          <cell r="AD110">
            <v>0.35</v>
          </cell>
          <cell r="AE110" t="str">
            <v>G1302-231220-286-H</v>
          </cell>
        </row>
        <row r="111">
          <cell r="B111" t="str">
            <v>7100918894</v>
          </cell>
          <cell r="C111" t="str">
            <v>G2412-3151</v>
          </cell>
          <cell r="D111" t="str">
            <v>000042944319087844</v>
          </cell>
          <cell r="E111" t="str">
            <v>扩口发动机管接头用螺母</v>
          </cell>
          <cell r="F111" t="str">
            <v>AS5205(B版)</v>
          </cell>
          <cell r="G111" t="str">
            <v>AS5205R06NL</v>
          </cell>
          <cell r="H111" t="str">
            <v/>
          </cell>
          <cell r="I111" t="str">
            <v>钝化+固体膜润滑剂</v>
          </cell>
          <cell r="J111" t="str">
            <v>321</v>
          </cell>
          <cell r="K111">
            <v>14</v>
          </cell>
          <cell r="L111">
            <v>45729</v>
          </cell>
          <cell r="M111" t="str">
            <v>3-配货完成</v>
          </cell>
        </row>
        <row r="111">
          <cell r="O111">
            <v>0</v>
          </cell>
          <cell r="P111" t="str">
            <v>哈尔滨东安实业发展有限公司</v>
          </cell>
          <cell r="Q111" t="str">
            <v>30</v>
          </cell>
        </row>
        <row r="111">
          <cell r="U111" t="str">
            <v>010000766920</v>
          </cell>
          <cell r="V111" t="str">
            <v>HANXIAOLAN</v>
          </cell>
          <cell r="W111" t="str">
            <v/>
          </cell>
          <cell r="X111" t="str">
            <v>CP-108-A</v>
          </cell>
          <cell r="Y111" t="str">
            <v/>
          </cell>
          <cell r="Z111" t="str">
            <v>1906</v>
          </cell>
          <cell r="AA111" t="str">
            <v>1100141278</v>
          </cell>
          <cell r="AB111">
            <v>50</v>
          </cell>
          <cell r="AC111" t="str">
            <v/>
          </cell>
          <cell r="AD111">
            <v>230</v>
          </cell>
          <cell r="AE111" t="str">
            <v>G-100016975-250212-0008</v>
          </cell>
        </row>
        <row r="112">
          <cell r="B112" t="str">
            <v>7100921411</v>
          </cell>
          <cell r="C112" t="str">
            <v>G2502-1666</v>
          </cell>
          <cell r="D112" t="str">
            <v>000042944999002605</v>
          </cell>
          <cell r="E112" t="str">
            <v>带键锁紧螺桩</v>
          </cell>
          <cell r="F112" t="str">
            <v>8S.DFD20.3.802</v>
          </cell>
          <cell r="G112" t="str">
            <v>-</v>
          </cell>
          <cell r="H112" t="str">
            <v/>
          </cell>
          <cell r="I112" t="str">
            <v/>
          </cell>
          <cell r="J112" t="str">
            <v>组件</v>
          </cell>
          <cell r="K112">
            <v>53</v>
          </cell>
          <cell r="L112">
            <v>45735</v>
          </cell>
          <cell r="M112" t="str">
            <v>3-配货完成</v>
          </cell>
        </row>
        <row r="112">
          <cell r="O112">
            <v>0</v>
          </cell>
          <cell r="P112" t="str">
            <v>哈尔滨东安实业发展有限公司</v>
          </cell>
          <cell r="Q112" t="str">
            <v>90</v>
          </cell>
        </row>
        <row r="112">
          <cell r="U112" t="str">
            <v>010000783799</v>
          </cell>
          <cell r="V112" t="str">
            <v>QIAOXUPENG</v>
          </cell>
          <cell r="W112" t="str">
            <v/>
          </cell>
          <cell r="X112" t="str">
            <v>CP-108-A</v>
          </cell>
          <cell r="Y112" t="str">
            <v/>
          </cell>
          <cell r="Z112" t="str">
            <v>1906</v>
          </cell>
          <cell r="AA112" t="str">
            <v>1100124770</v>
          </cell>
          <cell r="AB112">
            <v>150</v>
          </cell>
          <cell r="AC112" t="str">
            <v/>
          </cell>
          <cell r="AD112">
            <v>197</v>
          </cell>
          <cell r="AE112" t="str">
            <v>G1302-240205-037</v>
          </cell>
        </row>
        <row r="113">
          <cell r="B113" t="str">
            <v>7100947420</v>
          </cell>
          <cell r="C113" t="str">
            <v>GW2505-040</v>
          </cell>
          <cell r="D113" t="str">
            <v>000042944239004239</v>
          </cell>
          <cell r="E113" t="str">
            <v>高锁螺栓</v>
          </cell>
          <cell r="F113" t="str">
            <v>GJB134.2-6×14</v>
          </cell>
          <cell r="G113" t="str">
            <v>6×14</v>
          </cell>
          <cell r="H113" t="str">
            <v>σb=1175±100MPa</v>
          </cell>
          <cell r="I113" t="str">
            <v>Ct·O+Dp·CA</v>
          </cell>
          <cell r="J113" t="str">
            <v>ML30CrMnSiA</v>
          </cell>
          <cell r="K113">
            <v>85</v>
          </cell>
          <cell r="L113">
            <v>45790</v>
          </cell>
          <cell r="M113" t="str">
            <v>3-配货完成</v>
          </cell>
        </row>
        <row r="113">
          <cell r="O113">
            <v>0</v>
          </cell>
          <cell r="P113" t="str">
            <v>哈尔滨东安实业发展有限公司</v>
          </cell>
          <cell r="Q113" t="str">
            <v>10</v>
          </cell>
        </row>
        <row r="113">
          <cell r="U113" t="str">
            <v/>
          </cell>
          <cell r="V113" t="str">
            <v>PANQIFANG</v>
          </cell>
          <cell r="W113" t="str">
            <v/>
          </cell>
          <cell r="X113" t="str">
            <v>XH-000</v>
          </cell>
          <cell r="Y113" t="str">
            <v/>
          </cell>
          <cell r="Z113" t="str">
            <v>1906</v>
          </cell>
          <cell r="AA113" t="str">
            <v>1100136486</v>
          </cell>
          <cell r="AB113">
            <v>220</v>
          </cell>
          <cell r="AC113" t="str">
            <v/>
          </cell>
          <cell r="AD113">
            <v>101.44</v>
          </cell>
          <cell r="AE113" t="str">
            <v>G-100016975-241101-0205-1-T</v>
          </cell>
        </row>
        <row r="114">
          <cell r="B114" t="str">
            <v>7100968222</v>
          </cell>
          <cell r="C114" t="str">
            <v>G2411-3066</v>
          </cell>
          <cell r="D114" t="str">
            <v>000042944039098249</v>
          </cell>
          <cell r="E114" t="str">
            <v>轻型带键锁紧螺套(细牙内螺纹)</v>
          </cell>
          <cell r="F114" t="str">
            <v>Q/2S5436-4</v>
          </cell>
          <cell r="G114" t="str">
            <v>4</v>
          </cell>
          <cell r="H114" t="str">
            <v/>
          </cell>
          <cell r="I114" t="str">
            <v/>
          </cell>
          <cell r="J114" t="str">
            <v>组件</v>
          </cell>
          <cell r="K114">
            <v>90</v>
          </cell>
          <cell r="L114">
            <v>45831</v>
          </cell>
          <cell r="M114" t="str">
            <v>3-配货完成</v>
          </cell>
        </row>
        <row r="114">
          <cell r="O114">
            <v>0</v>
          </cell>
          <cell r="P114" t="str">
            <v>哈尔滨东安实业发展有限公司</v>
          </cell>
          <cell r="Q114" t="str">
            <v>10</v>
          </cell>
        </row>
        <row r="114">
          <cell r="U114" t="str">
            <v>010000756244</v>
          </cell>
          <cell r="V114" t="str">
            <v>PANQIFANG</v>
          </cell>
          <cell r="W114" t="str">
            <v/>
          </cell>
          <cell r="X114" t="str">
            <v>CP-108-A</v>
          </cell>
          <cell r="Y114" t="str">
            <v/>
          </cell>
          <cell r="Z114" t="str">
            <v>1906</v>
          </cell>
          <cell r="AA114" t="str">
            <v>1100137755</v>
          </cell>
          <cell r="AB114">
            <v>100</v>
          </cell>
          <cell r="AC114" t="str">
            <v/>
          </cell>
          <cell r="AD114">
            <v>195</v>
          </cell>
          <cell r="AE114" t="str">
            <v>G-100016975-241126-0212</v>
          </cell>
        </row>
        <row r="115">
          <cell r="B115" t="str">
            <v>7100970875</v>
          </cell>
          <cell r="C115" t="str">
            <v>G2501-2772</v>
          </cell>
          <cell r="D115" t="str">
            <v>000042944999027918</v>
          </cell>
          <cell r="E115" t="str">
            <v>螺桩</v>
          </cell>
          <cell r="F115" t="str">
            <v>1BRZA12375-06-015</v>
          </cell>
          <cell r="G115" t="str">
            <v>06-015</v>
          </cell>
          <cell r="H115" t="str">
            <v>σb=980±100MPa</v>
          </cell>
          <cell r="I115" t="str">
            <v>Ep·Cd5-8·c2C</v>
          </cell>
          <cell r="J115" t="str">
            <v>40CrNiMoA</v>
          </cell>
          <cell r="K115">
            <v>52</v>
          </cell>
          <cell r="L115">
            <v>45835</v>
          </cell>
          <cell r="M115" t="str">
            <v>4-检验完成</v>
          </cell>
        </row>
        <row r="115">
          <cell r="O115">
            <v>0</v>
          </cell>
          <cell r="P115" t="str">
            <v>哈尔滨东安实业发展有限公司</v>
          </cell>
          <cell r="Q115" t="str">
            <v>10</v>
          </cell>
          <cell r="R115">
            <v>45840</v>
          </cell>
        </row>
        <row r="115">
          <cell r="U115" t="str">
            <v>010000777982</v>
          </cell>
          <cell r="V115" t="str">
            <v>PANQIFANG</v>
          </cell>
          <cell r="W115" t="str">
            <v/>
          </cell>
          <cell r="X115" t="str">
            <v>CP-108-A</v>
          </cell>
          <cell r="Y115" t="str">
            <v/>
          </cell>
          <cell r="Z115" t="str">
            <v>1906</v>
          </cell>
          <cell r="AA115" t="str">
            <v>1100142862</v>
          </cell>
          <cell r="AB115">
            <v>512</v>
          </cell>
          <cell r="AC115" t="str">
            <v/>
          </cell>
          <cell r="AD115">
            <v>35</v>
          </cell>
          <cell r="AE115" t="str">
            <v>G-100016975-250306-0015</v>
          </cell>
        </row>
        <row r="116">
          <cell r="B116" t="str">
            <v>7100973407</v>
          </cell>
          <cell r="C116" t="str">
            <v>G2502-1630</v>
          </cell>
          <cell r="D116" t="str">
            <v>000042944000020596</v>
          </cell>
          <cell r="E116" t="str">
            <v>波形弹性卡箍</v>
          </cell>
          <cell r="F116" t="str">
            <v>8S.DFD20.9.002</v>
          </cell>
          <cell r="G116" t="str">
            <v>-</v>
          </cell>
          <cell r="H116" t="str">
            <v/>
          </cell>
          <cell r="I116" t="str">
            <v/>
          </cell>
          <cell r="J116" t="str">
            <v>0Cr18Ni9</v>
          </cell>
          <cell r="K116">
            <v>40</v>
          </cell>
          <cell r="L116">
            <v>45841</v>
          </cell>
          <cell r="M116" t="str">
            <v>4-检验完成</v>
          </cell>
        </row>
        <row r="116">
          <cell r="O116">
            <v>0</v>
          </cell>
          <cell r="P116" t="str">
            <v>哈尔滨东安实业发展有限公司</v>
          </cell>
          <cell r="Q116" t="str">
            <v>250</v>
          </cell>
          <cell r="R116">
            <v>45848</v>
          </cell>
        </row>
        <row r="116">
          <cell r="U116" t="str">
            <v>010000783772</v>
          </cell>
          <cell r="V116" t="str">
            <v>PANQIFANG</v>
          </cell>
          <cell r="W116" t="str">
            <v/>
          </cell>
          <cell r="X116" t="str">
            <v>CP-108-A</v>
          </cell>
          <cell r="Y116" t="str">
            <v/>
          </cell>
          <cell r="Z116" t="str">
            <v>1906</v>
          </cell>
          <cell r="AA116" t="str">
            <v>1100141177</v>
          </cell>
          <cell r="AB116">
            <v>40</v>
          </cell>
          <cell r="AC116" t="str">
            <v/>
          </cell>
          <cell r="AD116">
            <v>50</v>
          </cell>
          <cell r="AE116" t="str">
            <v>G-100016975-250210-0006-1</v>
          </cell>
        </row>
        <row r="117">
          <cell r="B117" t="str">
            <v>7100973497</v>
          </cell>
          <cell r="C117" t="str">
            <v>G2505-1377</v>
          </cell>
          <cell r="D117" t="str">
            <v>000042944039049720</v>
          </cell>
          <cell r="E117" t="str">
            <v>螺套</v>
          </cell>
          <cell r="F117" t="str">
            <v>Q/8S1222A-A05D</v>
          </cell>
          <cell r="G117" t="str">
            <v>A-A05D</v>
          </cell>
          <cell r="H117" t="str">
            <v>σb≥1100MPa,331-391HBS</v>
          </cell>
          <cell r="I117" t="str">
            <v>涂干膜润滑剂</v>
          </cell>
          <cell r="J117" t="str">
            <v>0Cr17Ni4Cu4Nb</v>
          </cell>
          <cell r="K117">
            <v>50</v>
          </cell>
          <cell r="L117">
            <v>45841</v>
          </cell>
          <cell r="M117" t="str">
            <v>4-检验完成</v>
          </cell>
        </row>
        <row r="117">
          <cell r="O117">
            <v>0</v>
          </cell>
          <cell r="P117" t="str">
            <v>哈尔滨东安实业发展有限公司</v>
          </cell>
          <cell r="Q117" t="str">
            <v>10</v>
          </cell>
          <cell r="R117">
            <v>45848</v>
          </cell>
        </row>
        <row r="117">
          <cell r="U117" t="str">
            <v>010000827300</v>
          </cell>
          <cell r="V117" t="str">
            <v>PANQIFANG</v>
          </cell>
          <cell r="W117" t="str">
            <v/>
          </cell>
          <cell r="X117" t="str">
            <v>CP-108-A</v>
          </cell>
          <cell r="Y117" t="str">
            <v/>
          </cell>
          <cell r="Z117" t="str">
            <v>1906</v>
          </cell>
          <cell r="AA117" t="str">
            <v>1100131570</v>
          </cell>
          <cell r="AB117">
            <v>50</v>
          </cell>
          <cell r="AC117" t="str">
            <v>GJ2410-01203</v>
          </cell>
          <cell r="AD117">
            <v>49.12</v>
          </cell>
          <cell r="AE117" t="str">
            <v>G-100016975-240708-0024-1</v>
          </cell>
        </row>
        <row r="118">
          <cell r="B118" t="str">
            <v>7100974907</v>
          </cell>
          <cell r="C118" t="str">
            <v>G2304-1526</v>
          </cell>
          <cell r="D118" t="str">
            <v>000042944000046747</v>
          </cell>
          <cell r="E118" t="str">
            <v>带键锁紧螺套</v>
          </cell>
          <cell r="F118" t="str">
            <v>HCB-42-819</v>
          </cell>
          <cell r="G118" t="str">
            <v>-</v>
          </cell>
          <cell r="H118" t="str">
            <v/>
          </cell>
          <cell r="I118" t="str">
            <v/>
          </cell>
          <cell r="J118" t="str">
            <v>组件</v>
          </cell>
          <cell r="K118">
            <v>12</v>
          </cell>
          <cell r="L118">
            <v>45844</v>
          </cell>
          <cell r="M118" t="str">
            <v>3-配货完成</v>
          </cell>
        </row>
        <row r="118">
          <cell r="O118">
            <v>0</v>
          </cell>
          <cell r="P118" t="str">
            <v>哈尔滨东安实业发展有限公司</v>
          </cell>
          <cell r="Q118" t="str">
            <v>10</v>
          </cell>
        </row>
        <row r="118">
          <cell r="U118" t="str">
            <v>010000595597</v>
          </cell>
          <cell r="V118" t="str">
            <v>PANQIFANG</v>
          </cell>
          <cell r="W118" t="str">
            <v/>
          </cell>
          <cell r="X118" t="str">
            <v>CP-34-4-3-16</v>
          </cell>
          <cell r="Y118" t="str">
            <v/>
          </cell>
          <cell r="Z118" t="str">
            <v>1906</v>
          </cell>
          <cell r="AA118" t="str">
            <v>1100149659</v>
          </cell>
          <cell r="AB118">
            <v>36</v>
          </cell>
          <cell r="AC118" t="str">
            <v>GJ2304-01526-C-1A</v>
          </cell>
          <cell r="AD118">
            <v>50</v>
          </cell>
          <cell r="AE118" t="str">
            <v>G-100016975-250704-0030</v>
          </cell>
        </row>
        <row r="119">
          <cell r="B119" t="str">
            <v>7100974907</v>
          </cell>
          <cell r="C119" t="str">
            <v>G2405-1352</v>
          </cell>
          <cell r="D119" t="str">
            <v>000042944000046747</v>
          </cell>
          <cell r="E119" t="str">
            <v>带键锁紧螺套</v>
          </cell>
          <cell r="F119" t="str">
            <v>HCB-42-819</v>
          </cell>
          <cell r="G119" t="str">
            <v>-</v>
          </cell>
          <cell r="H119" t="str">
            <v/>
          </cell>
          <cell r="I119" t="str">
            <v/>
          </cell>
          <cell r="J119" t="str">
            <v>组件</v>
          </cell>
          <cell r="K119">
            <v>10</v>
          </cell>
          <cell r="L119">
            <v>45844</v>
          </cell>
          <cell r="M119" t="str">
            <v>3-配货完成</v>
          </cell>
        </row>
        <row r="119">
          <cell r="O119">
            <v>0</v>
          </cell>
          <cell r="P119" t="str">
            <v>哈尔滨东安实业发展有限公司</v>
          </cell>
          <cell r="Q119" t="str">
            <v>10</v>
          </cell>
        </row>
        <row r="119">
          <cell r="U119" t="str">
            <v>010000702521</v>
          </cell>
          <cell r="V119" t="str">
            <v>PANQIFANG</v>
          </cell>
          <cell r="W119" t="str">
            <v/>
          </cell>
          <cell r="X119" t="str">
            <v>CP-108-A</v>
          </cell>
          <cell r="Y119" t="str">
            <v/>
          </cell>
          <cell r="Z119" t="str">
            <v>1906</v>
          </cell>
          <cell r="AA119" t="str">
            <v>1100149659</v>
          </cell>
          <cell r="AB119">
            <v>36</v>
          </cell>
          <cell r="AC119" t="str">
            <v/>
          </cell>
          <cell r="AD119">
            <v>50</v>
          </cell>
          <cell r="AE119" t="str">
            <v>G-100016975-250704-0030</v>
          </cell>
        </row>
        <row r="120">
          <cell r="B120" t="str">
            <v>7100974908</v>
          </cell>
          <cell r="C120" t="str">
            <v>G2409-2571</v>
          </cell>
          <cell r="D120" t="str">
            <v>000042944000046748</v>
          </cell>
          <cell r="E120" t="str">
            <v>带键锁紧螺套</v>
          </cell>
          <cell r="F120" t="str">
            <v>HCB-42-820</v>
          </cell>
          <cell r="G120" t="str">
            <v>-</v>
          </cell>
          <cell r="H120" t="str">
            <v/>
          </cell>
          <cell r="I120" t="str">
            <v/>
          </cell>
          <cell r="J120" t="str">
            <v>组件</v>
          </cell>
          <cell r="K120">
            <v>10</v>
          </cell>
          <cell r="L120">
            <v>45844</v>
          </cell>
          <cell r="M120" t="str">
            <v>4-检验完成</v>
          </cell>
        </row>
        <row r="120">
          <cell r="O120">
            <v>0</v>
          </cell>
          <cell r="P120" t="str">
            <v>哈尔滨东安实业发展有限公司</v>
          </cell>
          <cell r="Q120" t="str">
            <v>20</v>
          </cell>
          <cell r="R120">
            <v>45848</v>
          </cell>
        </row>
        <row r="120">
          <cell r="U120" t="str">
            <v>010000738840</v>
          </cell>
          <cell r="V120" t="str">
            <v>PANQIFANG</v>
          </cell>
          <cell r="W120" t="str">
            <v/>
          </cell>
          <cell r="X120" t="str">
            <v>CP-108-A</v>
          </cell>
          <cell r="Y120" t="str">
            <v/>
          </cell>
          <cell r="Z120" t="str">
            <v>1906</v>
          </cell>
          <cell r="AA120" t="str">
            <v>1100149659</v>
          </cell>
          <cell r="AB120">
            <v>36</v>
          </cell>
          <cell r="AC120" t="str">
            <v>GJ2409-02571</v>
          </cell>
          <cell r="AD120">
            <v>70</v>
          </cell>
          <cell r="AE120" t="str">
            <v>G-100016975-250704-0030</v>
          </cell>
        </row>
        <row r="121">
          <cell r="B121" t="str">
            <v>7100980930</v>
          </cell>
          <cell r="C121" t="str">
            <v>G2502-1602</v>
          </cell>
          <cell r="D121" t="str">
            <v>000042944999027928</v>
          </cell>
          <cell r="E121" t="str">
            <v>螺桩</v>
          </cell>
          <cell r="F121" t="str">
            <v>1BRZA12375-06-034</v>
          </cell>
          <cell r="G121" t="str">
            <v>06-034</v>
          </cell>
          <cell r="H121" t="str">
            <v>σb=980±100MPa</v>
          </cell>
          <cell r="I121" t="str">
            <v>Ep·Cd5-8·c2C</v>
          </cell>
          <cell r="J121" t="str">
            <v>40CrNiMoA</v>
          </cell>
          <cell r="K121">
            <v>500</v>
          </cell>
          <cell r="L121">
            <v>45856</v>
          </cell>
          <cell r="M121" t="str">
            <v>3-配货完成</v>
          </cell>
        </row>
        <row r="121">
          <cell r="O121">
            <v>0</v>
          </cell>
          <cell r="P121" t="str">
            <v>哈尔滨东安实业发展有限公司</v>
          </cell>
          <cell r="Q121" t="str">
            <v>90</v>
          </cell>
        </row>
        <row r="121">
          <cell r="U121" t="str">
            <v>010000783721</v>
          </cell>
          <cell r="V121" t="str">
            <v>PANQIFANG</v>
          </cell>
          <cell r="W121" t="str">
            <v/>
          </cell>
          <cell r="X121" t="str">
            <v>CP-108-A</v>
          </cell>
          <cell r="Y121" t="str">
            <v/>
          </cell>
          <cell r="Z121" t="str">
            <v>1906</v>
          </cell>
          <cell r="AA121" t="str">
            <v>1100141177</v>
          </cell>
          <cell r="AB121">
            <v>500</v>
          </cell>
          <cell r="AC121" t="str">
            <v/>
          </cell>
          <cell r="AD121">
            <v>80</v>
          </cell>
          <cell r="AE121" t="str">
            <v>G-100016975-250210-0006-1</v>
          </cell>
        </row>
        <row r="122">
          <cell r="B122" t="str">
            <v>7100980930</v>
          </cell>
          <cell r="C122" t="str">
            <v>G2502-1602</v>
          </cell>
          <cell r="D122" t="str">
            <v>000042944999027928</v>
          </cell>
          <cell r="E122" t="str">
            <v>螺桩</v>
          </cell>
          <cell r="F122" t="str">
            <v>1BRZA12375-06-034</v>
          </cell>
          <cell r="G122" t="str">
            <v>06-034</v>
          </cell>
          <cell r="H122" t="str">
            <v>σb=980±100MPa</v>
          </cell>
          <cell r="I122" t="str">
            <v>Ep·Cd5-8·c2C</v>
          </cell>
          <cell r="J122" t="str">
            <v>40CrNiMoA</v>
          </cell>
          <cell r="K122">
            <v>530</v>
          </cell>
          <cell r="L122">
            <v>45856</v>
          </cell>
          <cell r="M122" t="str">
            <v>3-配货完成</v>
          </cell>
        </row>
        <row r="122">
          <cell r="O122">
            <v>0</v>
          </cell>
          <cell r="P122" t="str">
            <v>哈尔滨东安实业发展有限公司</v>
          </cell>
          <cell r="Q122" t="str">
            <v>110</v>
          </cell>
        </row>
        <row r="122">
          <cell r="U122" t="str">
            <v>010000783721</v>
          </cell>
          <cell r="V122" t="str">
            <v>PANQIFANG</v>
          </cell>
          <cell r="W122" t="str">
            <v/>
          </cell>
          <cell r="X122" t="str">
            <v>CP-108-A</v>
          </cell>
          <cell r="Y122" t="str">
            <v/>
          </cell>
          <cell r="Z122" t="str">
            <v>1906</v>
          </cell>
          <cell r="AA122" t="str">
            <v>1100141177</v>
          </cell>
          <cell r="AB122">
            <v>800</v>
          </cell>
          <cell r="AC122" t="str">
            <v/>
          </cell>
          <cell r="AD122">
            <v>80</v>
          </cell>
          <cell r="AE122" t="str">
            <v>G-100016975-250210-0006-1</v>
          </cell>
        </row>
        <row r="123">
          <cell r="B123" t="str">
            <v>7100980927</v>
          </cell>
          <cell r="C123" t="str">
            <v>G2502-1602</v>
          </cell>
          <cell r="D123" t="str">
            <v>000042944999027928</v>
          </cell>
          <cell r="E123" t="str">
            <v>螺桩</v>
          </cell>
          <cell r="F123" t="str">
            <v>1BRZA12375-06-034</v>
          </cell>
          <cell r="G123" t="str">
            <v>06-034</v>
          </cell>
          <cell r="H123" t="str">
            <v>σb=980±100MPa</v>
          </cell>
          <cell r="I123" t="str">
            <v>Ep·Cd5-8·c2C</v>
          </cell>
          <cell r="J123" t="str">
            <v>40CrNiMoA</v>
          </cell>
          <cell r="K123">
            <v>3</v>
          </cell>
          <cell r="L123">
            <v>45856</v>
          </cell>
          <cell r="M123" t="str">
            <v>3-配货完成</v>
          </cell>
        </row>
        <row r="123">
          <cell r="O123">
            <v>0</v>
          </cell>
          <cell r="P123" t="str">
            <v>哈尔滨东安实业发展有限公司</v>
          </cell>
          <cell r="Q123" t="str">
            <v>10</v>
          </cell>
        </row>
        <row r="123">
          <cell r="U123" t="str">
            <v>010000783721</v>
          </cell>
          <cell r="V123" t="str">
            <v>PANQIFANG</v>
          </cell>
          <cell r="W123" t="str">
            <v/>
          </cell>
          <cell r="X123" t="str">
            <v>CP-108-A</v>
          </cell>
          <cell r="Y123" t="str">
            <v/>
          </cell>
          <cell r="Z123" t="str">
            <v>1906</v>
          </cell>
          <cell r="AA123" t="str">
            <v>1100138776</v>
          </cell>
          <cell r="AB123">
            <v>180</v>
          </cell>
          <cell r="AC123" t="str">
            <v/>
          </cell>
          <cell r="AD123">
            <v>80</v>
          </cell>
          <cell r="AE123" t="str">
            <v>G-100016975-241213-0214</v>
          </cell>
        </row>
        <row r="124">
          <cell r="B124" t="str">
            <v>7100973497</v>
          </cell>
          <cell r="C124" t="str">
            <v>G2505-1377</v>
          </cell>
          <cell r="D124" t="str">
            <v>000042944039049720</v>
          </cell>
          <cell r="E124" t="str">
            <v>螺套</v>
          </cell>
          <cell r="F124" t="str">
            <v>Q/8S1222A-A05D</v>
          </cell>
          <cell r="G124" t="str">
            <v>A-A05D</v>
          </cell>
          <cell r="H124" t="str">
            <v>σb≥1100MPa,331-391HBS</v>
          </cell>
          <cell r="I124" t="str">
            <v>涂干膜润滑剂</v>
          </cell>
          <cell r="J124" t="str">
            <v>0Cr17Ni4Cu4Nb</v>
          </cell>
          <cell r="K124">
            <v>50</v>
          </cell>
          <cell r="L124">
            <v>45841</v>
          </cell>
          <cell r="M124" t="str">
            <v>4-检验完成</v>
          </cell>
        </row>
        <row r="124">
          <cell r="O124">
            <v>0</v>
          </cell>
          <cell r="P124" t="str">
            <v>哈尔滨东安实业发展有限公司</v>
          </cell>
          <cell r="Q124" t="str">
            <v>10</v>
          </cell>
          <cell r="R124">
            <v>45848</v>
          </cell>
        </row>
        <row r="124">
          <cell r="U124" t="str">
            <v>010000827300</v>
          </cell>
          <cell r="V124" t="str">
            <v>PANQIFANG</v>
          </cell>
          <cell r="W124" t="str">
            <v/>
          </cell>
          <cell r="X124" t="str">
            <v>CP-108-A</v>
          </cell>
          <cell r="Y124" t="str">
            <v/>
          </cell>
          <cell r="Z124" t="str">
            <v>1906</v>
          </cell>
          <cell r="AA124" t="str">
            <v>1100131570</v>
          </cell>
          <cell r="AB124">
            <v>50</v>
          </cell>
          <cell r="AC124" t="str">
            <v>GJ2410-01203</v>
          </cell>
          <cell r="AD124">
            <v>49.12</v>
          </cell>
          <cell r="AE124" t="str">
            <v>G-100016975-240708-0024-1</v>
          </cell>
        </row>
        <row r="125">
          <cell r="B125" t="str">
            <v>7100970875</v>
          </cell>
          <cell r="C125" t="str">
            <v>G2501-2772</v>
          </cell>
          <cell r="D125" t="str">
            <v>000042944999027918</v>
          </cell>
          <cell r="E125" t="str">
            <v>螺桩</v>
          </cell>
          <cell r="F125" t="str">
            <v>1BRZA12375-06-015</v>
          </cell>
          <cell r="G125" t="str">
            <v>06-015</v>
          </cell>
          <cell r="H125" t="str">
            <v>σb=980±100MPa</v>
          </cell>
          <cell r="I125" t="str">
            <v>Ep·Cd5-8·c2C</v>
          </cell>
          <cell r="J125" t="str">
            <v>40CrNiMoA</v>
          </cell>
          <cell r="K125">
            <v>52</v>
          </cell>
          <cell r="L125">
            <v>45835</v>
          </cell>
          <cell r="M125" t="str">
            <v>4-检验完成</v>
          </cell>
        </row>
        <row r="125">
          <cell r="O125">
            <v>0</v>
          </cell>
          <cell r="P125" t="str">
            <v>哈尔滨东安实业发展有限公司</v>
          </cell>
          <cell r="Q125" t="str">
            <v>10</v>
          </cell>
          <cell r="R125">
            <v>45840</v>
          </cell>
        </row>
        <row r="125">
          <cell r="U125" t="str">
            <v>010000777982</v>
          </cell>
          <cell r="V125" t="str">
            <v>PANQIFANG</v>
          </cell>
          <cell r="W125" t="str">
            <v/>
          </cell>
          <cell r="X125" t="str">
            <v>CP-108-A</v>
          </cell>
          <cell r="Y125" t="str">
            <v/>
          </cell>
          <cell r="Z125" t="str">
            <v>1906</v>
          </cell>
          <cell r="AA125" t="str">
            <v>1100142862</v>
          </cell>
          <cell r="AB125">
            <v>512</v>
          </cell>
          <cell r="AC125" t="str">
            <v/>
          </cell>
          <cell r="AD125">
            <v>35</v>
          </cell>
          <cell r="AE125" t="str">
            <v>G-100016975-250306-0015</v>
          </cell>
        </row>
        <row r="126">
          <cell r="B126" t="str">
            <v>7100947420</v>
          </cell>
          <cell r="C126" t="str">
            <v>GW2505-040</v>
          </cell>
          <cell r="D126" t="str">
            <v>000042944239004239</v>
          </cell>
          <cell r="E126" t="str">
            <v>高锁螺栓</v>
          </cell>
          <cell r="F126" t="str">
            <v>GJB134.2-6×14</v>
          </cell>
          <cell r="G126" t="str">
            <v>6×14</v>
          </cell>
          <cell r="H126" t="str">
            <v>σb=1175±100MPa</v>
          </cell>
          <cell r="I126" t="str">
            <v>Ct·O+Dp·CA</v>
          </cell>
          <cell r="J126" t="str">
            <v>ML30CrMnSiA</v>
          </cell>
          <cell r="K126">
            <v>85</v>
          </cell>
          <cell r="L126">
            <v>45790</v>
          </cell>
          <cell r="M126" t="str">
            <v>3-配货完成</v>
          </cell>
        </row>
        <row r="126">
          <cell r="O126">
            <v>0</v>
          </cell>
          <cell r="P126" t="str">
            <v>哈尔滨东安实业发展有限公司</v>
          </cell>
          <cell r="Q126" t="str">
            <v>10</v>
          </cell>
        </row>
        <row r="126">
          <cell r="U126" t="str">
            <v/>
          </cell>
          <cell r="V126" t="str">
            <v>PANQIFANG</v>
          </cell>
          <cell r="W126" t="str">
            <v/>
          </cell>
          <cell r="X126" t="str">
            <v>XH-000</v>
          </cell>
          <cell r="Y126" t="str">
            <v/>
          </cell>
          <cell r="Z126" t="str">
            <v>1906</v>
          </cell>
          <cell r="AA126" t="str">
            <v>1100136486</v>
          </cell>
          <cell r="AB126">
            <v>220</v>
          </cell>
          <cell r="AC126" t="str">
            <v/>
          </cell>
          <cell r="AD126">
            <v>101.44</v>
          </cell>
          <cell r="AE126" t="str">
            <v>G-100016975-241101-0205-1-T</v>
          </cell>
        </row>
        <row r="127">
          <cell r="B127" t="str">
            <v>7100918894</v>
          </cell>
          <cell r="C127" t="str">
            <v>G2412-3151</v>
          </cell>
          <cell r="D127" t="str">
            <v>000042944319087844</v>
          </cell>
          <cell r="E127" t="str">
            <v>扩口发动机管接头用螺母</v>
          </cell>
          <cell r="F127" t="str">
            <v>AS5205(B版)</v>
          </cell>
          <cell r="G127" t="str">
            <v>AS5205R06NL</v>
          </cell>
          <cell r="H127" t="str">
            <v/>
          </cell>
          <cell r="I127" t="str">
            <v>钝化+固体膜润滑剂</v>
          </cell>
          <cell r="J127" t="str">
            <v>321</v>
          </cell>
          <cell r="K127">
            <v>14</v>
          </cell>
          <cell r="L127">
            <v>45729</v>
          </cell>
          <cell r="M127" t="str">
            <v>3-配货完成</v>
          </cell>
        </row>
        <row r="127">
          <cell r="O127">
            <v>0</v>
          </cell>
          <cell r="P127" t="str">
            <v>哈尔滨东安实业发展有限公司</v>
          </cell>
          <cell r="Q127" t="str">
            <v>30</v>
          </cell>
        </row>
        <row r="127">
          <cell r="U127" t="str">
            <v>010000766920</v>
          </cell>
          <cell r="V127" t="str">
            <v>HANXIAOLAN</v>
          </cell>
          <cell r="W127" t="str">
            <v/>
          </cell>
          <cell r="X127" t="str">
            <v>CP-108-A</v>
          </cell>
          <cell r="Y127" t="str">
            <v/>
          </cell>
          <cell r="Z127" t="str">
            <v>1906</v>
          </cell>
          <cell r="AA127" t="str">
            <v>1100141278</v>
          </cell>
          <cell r="AB127">
            <v>50</v>
          </cell>
          <cell r="AC127" t="str">
            <v/>
          </cell>
          <cell r="AD127">
            <v>230</v>
          </cell>
          <cell r="AE127" t="str">
            <v>G-100016975-250212-0008</v>
          </cell>
        </row>
        <row r="128">
          <cell r="B128">
            <v>7100985668</v>
          </cell>
          <cell r="C128" t="str">
            <v>G2312-1979</v>
          </cell>
          <cell r="D128">
            <v>42944240123195</v>
          </cell>
          <cell r="E128" t="str">
            <v>拧入钢件MJ螺纹过盈螺桩</v>
          </cell>
          <cell r="F128" t="str">
            <v>CE3002-CG6×1×34-4</v>
          </cell>
          <cell r="G128" t="str">
            <v>CE3002-CG6×1×34-4</v>
          </cell>
          <cell r="H128" t="str">
            <v>HRC26.5-35</v>
          </cell>
          <cell r="I128" t="str">
            <v>镀锌3-5μm</v>
          </cell>
          <cell r="J128" t="str">
            <v>30CrMnSiA</v>
          </cell>
          <cell r="K128">
            <v>50</v>
          </cell>
          <cell r="L128">
            <v>45867</v>
          </cell>
          <cell r="M128" t="str">
            <v>3-配货完成</v>
          </cell>
        </row>
        <row r="128">
          <cell r="P128" t="str">
            <v>哈尔滨东安实业发展有限公司</v>
          </cell>
          <cell r="Q128">
            <v>20</v>
          </cell>
        </row>
        <row r="128">
          <cell r="U128">
            <v>10000662638</v>
          </cell>
          <cell r="V128" t="str">
            <v>PANQIFANG</v>
          </cell>
        </row>
        <row r="128">
          <cell r="X128" t="str">
            <v>CP-34-4-2-4</v>
          </cell>
        </row>
        <row r="128">
          <cell r="Z128">
            <v>1906</v>
          </cell>
          <cell r="AA128">
            <v>1100150777</v>
          </cell>
          <cell r="AB128">
            <v>50</v>
          </cell>
        </row>
        <row r="128">
          <cell r="AD128">
            <v>56</v>
          </cell>
          <cell r="AE128" t="str">
            <v>G-100016975-250724-0031</v>
          </cell>
        </row>
        <row r="129">
          <cell r="B129">
            <v>7100985668</v>
          </cell>
          <cell r="C129" t="str">
            <v>G2312-1978</v>
          </cell>
          <cell r="D129">
            <v>42944240123194</v>
          </cell>
          <cell r="E129" t="str">
            <v>拧入钢件MJ螺纹过盈螺桩</v>
          </cell>
          <cell r="F129" t="str">
            <v>CE3002-CG6×1×34-3</v>
          </cell>
          <cell r="G129" t="str">
            <v>CE3002-CG6×1×34-3</v>
          </cell>
          <cell r="H129" t="str">
            <v>HRC26.5-35</v>
          </cell>
          <cell r="I129" t="str">
            <v>镀锌3-5μm</v>
          </cell>
          <cell r="J129" t="str">
            <v>30CrMnSiA</v>
          </cell>
          <cell r="K129">
            <v>50</v>
          </cell>
          <cell r="L129">
            <v>45867</v>
          </cell>
          <cell r="M129" t="str">
            <v>3-配货完成</v>
          </cell>
        </row>
        <row r="129">
          <cell r="P129" t="str">
            <v>哈尔滨东安实业发展有限公司</v>
          </cell>
          <cell r="Q129">
            <v>10</v>
          </cell>
        </row>
        <row r="129">
          <cell r="U129">
            <v>10000662636</v>
          </cell>
          <cell r="V129" t="str">
            <v>PANQIFANG</v>
          </cell>
        </row>
        <row r="129">
          <cell r="X129" t="str">
            <v>CP-34-4-2-4</v>
          </cell>
        </row>
        <row r="129">
          <cell r="Z129">
            <v>1906</v>
          </cell>
          <cell r="AA129">
            <v>1100150777</v>
          </cell>
          <cell r="AB129">
            <v>50</v>
          </cell>
        </row>
        <row r="129">
          <cell r="AD129">
            <v>56</v>
          </cell>
          <cell r="AE129" t="str">
            <v>G-100016975-250724-0031</v>
          </cell>
        </row>
        <row r="130">
          <cell r="B130" t="str">
            <v>7100987691</v>
          </cell>
          <cell r="C130" t="str">
            <v>G2409-0518</v>
          </cell>
          <cell r="D130" t="str">
            <v>000042944288000865</v>
          </cell>
          <cell r="E130" t="str">
            <v>十二角压扁自锁螺母(最高工作温度650℃)</v>
          </cell>
          <cell r="F130" t="str">
            <v>HB5636M6</v>
          </cell>
          <cell r="G130" t="str">
            <v>M6</v>
          </cell>
          <cell r="H130" t="str">
            <v>29-35HRC</v>
          </cell>
          <cell r="I130" t="str">
            <v>Ep·Ag</v>
          </cell>
          <cell r="J130" t="str">
            <v>GH2132</v>
          </cell>
          <cell r="K130">
            <v>33</v>
          </cell>
          <cell r="L130">
            <v>45870</v>
          </cell>
          <cell r="M130" t="str">
            <v>4-检验完成</v>
          </cell>
        </row>
        <row r="130">
          <cell r="O130">
            <v>0</v>
          </cell>
          <cell r="P130" t="str">
            <v>哈尔滨东安实业发展有限公司</v>
          </cell>
          <cell r="Q130" t="str">
            <v>10</v>
          </cell>
          <cell r="R130">
            <v>45880</v>
          </cell>
        </row>
        <row r="130">
          <cell r="U130" t="str">
            <v>010000733137</v>
          </cell>
          <cell r="V130" t="str">
            <v>PANQIFANG</v>
          </cell>
          <cell r="W130" t="str">
            <v/>
          </cell>
          <cell r="X130" t="str">
            <v>CP-108-A</v>
          </cell>
          <cell r="Y130" t="str">
            <v/>
          </cell>
          <cell r="Z130" t="str">
            <v>1906</v>
          </cell>
          <cell r="AA130" t="str">
            <v>1100133124</v>
          </cell>
          <cell r="AB130">
            <v>50</v>
          </cell>
          <cell r="AC130" t="str">
            <v/>
          </cell>
          <cell r="AD130">
            <v>33</v>
          </cell>
          <cell r="AE130" t="str">
            <v>G-100016975-240817-0038-2-H</v>
          </cell>
        </row>
        <row r="131">
          <cell r="B131" t="str">
            <v>7100987687</v>
          </cell>
          <cell r="C131" t="str">
            <v>GW2408-003</v>
          </cell>
          <cell r="D131" t="str">
            <v>000042944360004322</v>
          </cell>
          <cell r="E131" t="str">
            <v>弹性圆柱销</v>
          </cell>
          <cell r="F131" t="str">
            <v>GB879-1986-3×8-65MN-表面氧化</v>
          </cell>
          <cell r="G131" t="str">
            <v>3×8</v>
          </cell>
          <cell r="H131" t="str">
            <v>420-560HV</v>
          </cell>
          <cell r="I131" t="str">
            <v>Ct·O</v>
          </cell>
          <cell r="J131" t="str">
            <v>65Mn</v>
          </cell>
          <cell r="K131">
            <v>190</v>
          </cell>
          <cell r="L131">
            <v>45870</v>
          </cell>
          <cell r="M131" t="str">
            <v>1-已打印</v>
          </cell>
        </row>
        <row r="131">
          <cell r="O131">
            <v>0</v>
          </cell>
          <cell r="P131" t="str">
            <v>哈尔滨东安实业发展有限公司</v>
          </cell>
          <cell r="Q131" t="str">
            <v>10</v>
          </cell>
        </row>
        <row r="131">
          <cell r="U131" t="str">
            <v/>
          </cell>
          <cell r="V131" t="str">
            <v/>
          </cell>
          <cell r="W131" t="str">
            <v/>
          </cell>
          <cell r="X131" t="str">
            <v>XH-000</v>
          </cell>
          <cell r="Y131" t="str">
            <v/>
          </cell>
          <cell r="Z131" t="str">
            <v>1906</v>
          </cell>
          <cell r="AA131" t="str">
            <v>1100122539</v>
          </cell>
          <cell r="AB131">
            <v>200</v>
          </cell>
          <cell r="AC131" t="str">
            <v/>
          </cell>
          <cell r="AD131">
            <v>0.4</v>
          </cell>
          <cell r="AE131" t="str">
            <v>G1302-231220-286-H</v>
          </cell>
        </row>
        <row r="132">
          <cell r="B132" t="str">
            <v>7100987481</v>
          </cell>
          <cell r="C132" t="str">
            <v>G2502-2902</v>
          </cell>
          <cell r="D132" t="str">
            <v>000042944999000153</v>
          </cell>
          <cell r="E132" t="str">
            <v>扇形锯齿锁紧环</v>
          </cell>
          <cell r="F132" t="str">
            <v>1B52511-100ADL</v>
          </cell>
          <cell r="G132" t="str">
            <v>-</v>
          </cell>
          <cell r="H132" t="str">
            <v>HRC36-45</v>
          </cell>
          <cell r="I132" t="str">
            <v>镀镉钝化</v>
          </cell>
          <cell r="J132" t="str">
            <v>40Cr</v>
          </cell>
          <cell r="K132">
            <v>995</v>
          </cell>
          <cell r="L132">
            <v>45869</v>
          </cell>
          <cell r="M132" t="str">
            <v>4-检验完成</v>
          </cell>
        </row>
        <row r="132">
          <cell r="O132">
            <v>0</v>
          </cell>
          <cell r="P132" t="str">
            <v>哈尔滨东安实业发展有限公司</v>
          </cell>
          <cell r="Q132" t="str">
            <v>10</v>
          </cell>
          <cell r="R132">
            <v>45880</v>
          </cell>
        </row>
        <row r="132">
          <cell r="U132" t="str">
            <v>010000788850</v>
          </cell>
          <cell r="V132" t="str">
            <v>PANQIFANG</v>
          </cell>
          <cell r="W132" t="str">
            <v/>
          </cell>
          <cell r="X132" t="str">
            <v>CP-108-A</v>
          </cell>
          <cell r="Y132" t="str">
            <v/>
          </cell>
          <cell r="Z132" t="str">
            <v>1906</v>
          </cell>
          <cell r="AA132" t="str">
            <v>1100141949</v>
          </cell>
          <cell r="AB132">
            <v>995</v>
          </cell>
          <cell r="AC132" t="str">
            <v/>
          </cell>
          <cell r="AD132">
            <v>46.1</v>
          </cell>
          <cell r="AE132" t="str">
            <v>G-100016975-250221-0010-1</v>
          </cell>
        </row>
        <row r="133">
          <cell r="B133" t="str">
            <v>7100998025</v>
          </cell>
          <cell r="C133" t="str">
            <v>G2502-1844</v>
          </cell>
          <cell r="D133" t="str">
            <v>000042944319087844</v>
          </cell>
          <cell r="E133" t="str">
            <v>扩口发动机管接头用螺母</v>
          </cell>
          <cell r="F133" t="str">
            <v>AS5205(B版)</v>
          </cell>
          <cell r="G133" t="str">
            <v>AS5205R06NL</v>
          </cell>
          <cell r="H133" t="str">
            <v/>
          </cell>
          <cell r="I133" t="str">
            <v>钝化+固体膜润滑剂</v>
          </cell>
          <cell r="J133" t="str">
            <v>321</v>
          </cell>
          <cell r="K133">
            <v>50</v>
          </cell>
          <cell r="L133">
            <v>45893</v>
          </cell>
          <cell r="M133" t="str">
            <v>3-配货完成</v>
          </cell>
        </row>
        <row r="133">
          <cell r="O133">
            <v>0</v>
          </cell>
          <cell r="P133" t="str">
            <v>哈尔滨东安实业发展有限公司</v>
          </cell>
          <cell r="Q133" t="str">
            <v>30</v>
          </cell>
        </row>
        <row r="133">
          <cell r="U133" t="str">
            <v>010000784544</v>
          </cell>
          <cell r="V133" t="str">
            <v>PANQIFANG</v>
          </cell>
          <cell r="W133" t="str">
            <v/>
          </cell>
          <cell r="X133" t="str">
            <v>CP-108-A</v>
          </cell>
          <cell r="Y133" t="str">
            <v/>
          </cell>
          <cell r="Z133" t="str">
            <v>1906</v>
          </cell>
          <cell r="AA133" t="str">
            <v>1100141278</v>
          </cell>
          <cell r="AB133">
            <v>50</v>
          </cell>
          <cell r="AC133" t="str">
            <v/>
          </cell>
          <cell r="AD133">
            <v>230</v>
          </cell>
          <cell r="AE133" t="str">
            <v>G-100016975-250212-0008</v>
          </cell>
        </row>
        <row r="134">
          <cell r="B134" t="str">
            <v>7100992747</v>
          </cell>
          <cell r="C134" t="str">
            <v>GW2412-085</v>
          </cell>
          <cell r="D134" t="str">
            <v>000042944360142320</v>
          </cell>
          <cell r="E134" t="str">
            <v>弹性圆柱销-直槽-重型</v>
          </cell>
          <cell r="F134" t="str">
            <v>GB/T879-1986-3×8-65MN</v>
          </cell>
          <cell r="G134" t="str">
            <v>3×8</v>
          </cell>
          <cell r="H134" t="str">
            <v>420-520HV30</v>
          </cell>
          <cell r="I134" t="str">
            <v>Ct·O</v>
          </cell>
          <cell r="J134" t="str">
            <v>65Mn</v>
          </cell>
          <cell r="K134">
            <v>113</v>
          </cell>
          <cell r="L134">
            <v>45883</v>
          </cell>
          <cell r="M134" t="str">
            <v>4-检验完成</v>
          </cell>
        </row>
        <row r="134">
          <cell r="O134">
            <v>0</v>
          </cell>
          <cell r="P134" t="str">
            <v>哈尔滨东安实业发展有限公司</v>
          </cell>
          <cell r="Q134" t="str">
            <v>10</v>
          </cell>
          <cell r="R134">
            <v>45888</v>
          </cell>
        </row>
        <row r="134">
          <cell r="U134" t="str">
            <v/>
          </cell>
          <cell r="V134" t="str">
            <v>PANQIFANG</v>
          </cell>
          <cell r="W134" t="str">
            <v/>
          </cell>
          <cell r="X134" t="str">
            <v>XH-000</v>
          </cell>
          <cell r="Y134" t="str">
            <v/>
          </cell>
          <cell r="Z134" t="str">
            <v>1906</v>
          </cell>
          <cell r="AA134" t="str">
            <v>1100121410</v>
          </cell>
          <cell r="AB134">
            <v>114</v>
          </cell>
          <cell r="AC134" t="str">
            <v/>
          </cell>
          <cell r="AD134">
            <v>0.4</v>
          </cell>
          <cell r="AE134" t="str">
            <v>G1302-231120-258-H</v>
          </cell>
        </row>
        <row r="135">
          <cell r="B135" t="str">
            <v>7100991947</v>
          </cell>
          <cell r="C135" t="str">
            <v>G2503-0541</v>
          </cell>
          <cell r="D135" t="str">
            <v>000042944439062802</v>
          </cell>
          <cell r="E135" t="str">
            <v>齿形止动圈</v>
          </cell>
          <cell r="F135" t="str">
            <v>Q/8S1472B-12</v>
          </cell>
          <cell r="G135" t="str">
            <v>B-12</v>
          </cell>
          <cell r="H135" t="str">
            <v>σb≥1080-1230MPa,35-40HRC</v>
          </cell>
          <cell r="I135" t="str">
            <v>Ep·Cd5-8</v>
          </cell>
          <cell r="J135" t="str">
            <v>30Ni4CrMoA</v>
          </cell>
          <cell r="K135">
            <v>35</v>
          </cell>
          <cell r="L135">
            <v>45881</v>
          </cell>
          <cell r="M135" t="str">
            <v>4-检验完成</v>
          </cell>
        </row>
        <row r="135">
          <cell r="O135">
            <v>0</v>
          </cell>
          <cell r="P135" t="str">
            <v>哈尔滨东安实业发展有限公司</v>
          </cell>
          <cell r="Q135" t="str">
            <v>10</v>
          </cell>
          <cell r="R135">
            <v>45887</v>
          </cell>
        </row>
        <row r="135">
          <cell r="U135" t="str">
            <v>010000792606</v>
          </cell>
          <cell r="V135" t="str">
            <v>PANQIFANG</v>
          </cell>
          <cell r="W135" t="str">
            <v/>
          </cell>
          <cell r="X135" t="str">
            <v>CP-108-A</v>
          </cell>
          <cell r="Y135" t="str">
            <v/>
          </cell>
          <cell r="Z135" t="str">
            <v>1906</v>
          </cell>
          <cell r="AA135" t="str">
            <v>1100139777</v>
          </cell>
          <cell r="AB135">
            <v>200</v>
          </cell>
          <cell r="AC135" t="str">
            <v>GJ2503-00541</v>
          </cell>
          <cell r="AD135">
            <v>30</v>
          </cell>
          <cell r="AE135" t="str">
            <v>G-100016975-250102-0002</v>
          </cell>
        </row>
        <row r="136">
          <cell r="B136" t="str">
            <v>7100987687</v>
          </cell>
          <cell r="C136" t="str">
            <v>GW2408-003</v>
          </cell>
          <cell r="D136" t="str">
            <v>000042944360004322</v>
          </cell>
          <cell r="E136" t="str">
            <v>弹性圆柱销</v>
          </cell>
          <cell r="F136" t="str">
            <v>GB879-1986-3×8-65MN-表面氧化</v>
          </cell>
          <cell r="G136" t="str">
            <v>3×8</v>
          </cell>
          <cell r="H136" t="str">
            <v>420-560HV</v>
          </cell>
          <cell r="I136" t="str">
            <v>Ct·O</v>
          </cell>
          <cell r="J136" t="str">
            <v>65Mn</v>
          </cell>
          <cell r="K136">
            <v>190</v>
          </cell>
          <cell r="L136">
            <v>45870</v>
          </cell>
          <cell r="M136" t="str">
            <v>1-已打印</v>
          </cell>
        </row>
        <row r="136">
          <cell r="O136">
            <v>0</v>
          </cell>
          <cell r="P136" t="str">
            <v>哈尔滨东安实业发展有限公司</v>
          </cell>
          <cell r="Q136" t="str">
            <v>10</v>
          </cell>
        </row>
        <row r="136">
          <cell r="U136" t="str">
            <v/>
          </cell>
          <cell r="V136" t="str">
            <v/>
          </cell>
          <cell r="W136" t="str">
            <v/>
          </cell>
          <cell r="X136" t="str">
            <v>XH-000</v>
          </cell>
          <cell r="Y136" t="str">
            <v/>
          </cell>
          <cell r="Z136" t="str">
            <v>1906</v>
          </cell>
          <cell r="AA136" t="str">
            <v>1100122539</v>
          </cell>
          <cell r="AB136">
            <v>200</v>
          </cell>
          <cell r="AC136" t="str">
            <v/>
          </cell>
          <cell r="AD136">
            <v>0.4</v>
          </cell>
          <cell r="AE136" t="str">
            <v>G1302-231220-286-H</v>
          </cell>
        </row>
        <row r="137">
          <cell r="B137" t="str">
            <v>7100998555</v>
          </cell>
          <cell r="C137" t="str">
            <v>G2502-1635</v>
          </cell>
          <cell r="D137" t="str">
            <v>000042944360046158</v>
          </cell>
          <cell r="E137" t="str">
            <v>止动销</v>
          </cell>
          <cell r="F137" t="str">
            <v>2523310</v>
          </cell>
          <cell r="G137" t="str">
            <v>Ⅰ</v>
          </cell>
          <cell r="H137" t="str">
            <v/>
          </cell>
          <cell r="I137" t="str">
            <v>Ep·Zn·c2C</v>
          </cell>
          <cell r="J137" t="str">
            <v>HPb59-1</v>
          </cell>
          <cell r="K137">
            <v>58</v>
          </cell>
          <cell r="L137">
            <v>45894</v>
          </cell>
          <cell r="M137" t="str">
            <v>3-配货完成</v>
          </cell>
        </row>
        <row r="137">
          <cell r="O137">
            <v>0</v>
          </cell>
          <cell r="P137" t="str">
            <v>哈尔滨东安实业发展有限公司</v>
          </cell>
          <cell r="Q137" t="str">
            <v>170</v>
          </cell>
        </row>
        <row r="137">
          <cell r="U137" t="str">
            <v>010000783778</v>
          </cell>
          <cell r="V137" t="str">
            <v>PANQIFANG</v>
          </cell>
          <cell r="W137" t="str">
            <v/>
          </cell>
          <cell r="X137" t="str">
            <v>CP-108-A</v>
          </cell>
          <cell r="Y137" t="str">
            <v/>
          </cell>
          <cell r="Z137" t="str">
            <v>1906</v>
          </cell>
          <cell r="AA137" t="str">
            <v>1100141177</v>
          </cell>
          <cell r="AB137">
            <v>58</v>
          </cell>
          <cell r="AC137" t="str">
            <v/>
          </cell>
          <cell r="AD137">
            <v>50</v>
          </cell>
          <cell r="AE137" t="str">
            <v>G-100016975-250210-0006-1</v>
          </cell>
        </row>
        <row r="138">
          <cell r="B138" t="str">
            <v>7100998540</v>
          </cell>
          <cell r="C138" t="str">
            <v>G2507-0468</v>
          </cell>
          <cell r="D138" t="str">
            <v>000042944360030520</v>
          </cell>
          <cell r="E138" t="str">
            <v>止动销</v>
          </cell>
          <cell r="F138" t="str">
            <v>2523310</v>
          </cell>
          <cell r="G138" t="str">
            <v>Ⅱ</v>
          </cell>
          <cell r="H138" t="str">
            <v/>
          </cell>
          <cell r="I138" t="str">
            <v>Ep·Zn·c2C</v>
          </cell>
          <cell r="J138" t="str">
            <v>HPb59-1</v>
          </cell>
          <cell r="K138">
            <v>100</v>
          </cell>
          <cell r="L138">
            <v>45894</v>
          </cell>
          <cell r="M138" t="str">
            <v>3-配货完成</v>
          </cell>
        </row>
        <row r="138">
          <cell r="O138">
            <v>0</v>
          </cell>
          <cell r="P138" t="str">
            <v>哈尔滨东安实业发展有限公司</v>
          </cell>
          <cell r="Q138" t="str">
            <v>10</v>
          </cell>
        </row>
        <row r="138">
          <cell r="U138" t="str">
            <v>010000840697</v>
          </cell>
          <cell r="V138" t="str">
            <v>PANQIFANG</v>
          </cell>
          <cell r="W138" t="str">
            <v/>
          </cell>
          <cell r="X138" t="str">
            <v>CP-108-A</v>
          </cell>
          <cell r="Y138" t="str">
            <v/>
          </cell>
          <cell r="Z138" t="str">
            <v>1906</v>
          </cell>
          <cell r="AA138" t="str">
            <v>1100149501</v>
          </cell>
          <cell r="AB138">
            <v>100</v>
          </cell>
          <cell r="AC138" t="str">
            <v/>
          </cell>
          <cell r="AD138">
            <v>50</v>
          </cell>
          <cell r="AE138" t="str">
            <v>G-100016975-250701-0028</v>
          </cell>
        </row>
        <row r="139">
          <cell r="B139" t="str">
            <v>7100998466</v>
          </cell>
          <cell r="C139" t="str">
            <v>G2501-2048</v>
          </cell>
          <cell r="D139" t="str">
            <v>000042944288039751</v>
          </cell>
          <cell r="E139" t="str">
            <v>MJ螺纹双耳游动托板自锁螺母</v>
          </cell>
          <cell r="F139" t="str">
            <v>HB8387-6</v>
          </cell>
          <cell r="G139" t="str">
            <v>6</v>
          </cell>
          <cell r="H139" t="str">
            <v/>
          </cell>
          <cell r="I139" t="str">
            <v/>
          </cell>
          <cell r="J139" t="str">
            <v>组件</v>
          </cell>
          <cell r="K139">
            <v>11</v>
          </cell>
          <cell r="L139">
            <v>45894</v>
          </cell>
          <cell r="M139" t="str">
            <v>3-配货完成</v>
          </cell>
        </row>
        <row r="139">
          <cell r="O139">
            <v>0</v>
          </cell>
          <cell r="P139" t="str">
            <v>哈尔滨东安实业发展有限公司</v>
          </cell>
          <cell r="Q139" t="str">
            <v>50</v>
          </cell>
        </row>
        <row r="139">
          <cell r="U139" t="str">
            <v>010000775747</v>
          </cell>
          <cell r="V139" t="str">
            <v>PANQIFANG</v>
          </cell>
          <cell r="W139" t="str">
            <v/>
          </cell>
          <cell r="X139" t="str">
            <v>CP-108-A</v>
          </cell>
          <cell r="Y139" t="str">
            <v/>
          </cell>
          <cell r="Z139" t="str">
            <v>1906</v>
          </cell>
          <cell r="AA139" t="str">
            <v>1100135389</v>
          </cell>
          <cell r="AB139">
            <v>135</v>
          </cell>
          <cell r="AC139" t="str">
            <v/>
          </cell>
          <cell r="AD139">
            <v>56</v>
          </cell>
          <cell r="AE139" t="str">
            <v>G-100016975-241014-0042-1</v>
          </cell>
        </row>
        <row r="140">
          <cell r="B140" t="str">
            <v>7100998464</v>
          </cell>
          <cell r="C140" t="str">
            <v>G2501-2048</v>
          </cell>
          <cell r="D140" t="str">
            <v>000042944288039751</v>
          </cell>
          <cell r="E140" t="str">
            <v>MJ螺纹双耳游动托板自锁螺母</v>
          </cell>
          <cell r="F140" t="str">
            <v>HB8387-6</v>
          </cell>
          <cell r="G140" t="str">
            <v>6</v>
          </cell>
          <cell r="H140" t="str">
            <v/>
          </cell>
          <cell r="I140" t="str">
            <v/>
          </cell>
          <cell r="J140" t="str">
            <v>组件</v>
          </cell>
          <cell r="K140">
            <v>49</v>
          </cell>
          <cell r="L140">
            <v>45894</v>
          </cell>
          <cell r="M140" t="str">
            <v>3-配货完成</v>
          </cell>
        </row>
        <row r="140">
          <cell r="O140">
            <v>0</v>
          </cell>
          <cell r="P140" t="str">
            <v>哈尔滨东安实业发展有限公司</v>
          </cell>
          <cell r="Q140" t="str">
            <v>120</v>
          </cell>
        </row>
        <row r="140">
          <cell r="U140" t="str">
            <v>010000775747</v>
          </cell>
          <cell r="V140" t="str">
            <v>PANQIFANG</v>
          </cell>
          <cell r="W140" t="str">
            <v/>
          </cell>
          <cell r="X140" t="str">
            <v>CP-108-A</v>
          </cell>
          <cell r="Y140" t="str">
            <v/>
          </cell>
          <cell r="Z140" t="str">
            <v>1906</v>
          </cell>
          <cell r="AA140" t="str">
            <v>1100124375</v>
          </cell>
          <cell r="AB140">
            <v>140</v>
          </cell>
          <cell r="AC140" t="str">
            <v/>
          </cell>
          <cell r="AD140">
            <v>56</v>
          </cell>
          <cell r="AE140" t="str">
            <v>G1302-240122-035</v>
          </cell>
        </row>
        <row r="141">
          <cell r="B141" t="str">
            <v>7100998461</v>
          </cell>
          <cell r="C141" t="str">
            <v>G2501-2048</v>
          </cell>
          <cell r="D141" t="str">
            <v>000042944288039751</v>
          </cell>
          <cell r="E141" t="str">
            <v>MJ螺纹双耳游动托板自锁螺母</v>
          </cell>
          <cell r="F141" t="str">
            <v>HB8387-6</v>
          </cell>
          <cell r="G141" t="str">
            <v>6</v>
          </cell>
          <cell r="H141" t="str">
            <v/>
          </cell>
          <cell r="I141" t="str">
            <v/>
          </cell>
          <cell r="J141" t="str">
            <v>组件</v>
          </cell>
          <cell r="K141">
            <v>120</v>
          </cell>
          <cell r="L141">
            <v>45894</v>
          </cell>
          <cell r="M141" t="str">
            <v>3-配货完成</v>
          </cell>
        </row>
        <row r="141">
          <cell r="O141">
            <v>0</v>
          </cell>
          <cell r="P141" t="str">
            <v>哈尔滨东安实业发展有限公司</v>
          </cell>
          <cell r="Q141" t="str">
            <v>10</v>
          </cell>
        </row>
        <row r="141">
          <cell r="U141" t="str">
            <v>010000775747</v>
          </cell>
          <cell r="V141" t="str">
            <v>PANQIFANG</v>
          </cell>
          <cell r="W141" t="str">
            <v/>
          </cell>
          <cell r="X141" t="str">
            <v>CP-108-A</v>
          </cell>
          <cell r="Y141" t="str">
            <v/>
          </cell>
          <cell r="Z141" t="str">
            <v>1906</v>
          </cell>
          <cell r="AA141" t="str">
            <v>1100140326</v>
          </cell>
          <cell r="AB141">
            <v>120</v>
          </cell>
          <cell r="AC141" t="str">
            <v/>
          </cell>
          <cell r="AD141">
            <v>56</v>
          </cell>
          <cell r="AE141" t="str">
            <v>G-100016975-250114-0005</v>
          </cell>
        </row>
        <row r="142">
          <cell r="B142" t="str">
            <v>7100998461</v>
          </cell>
          <cell r="C142" t="str">
            <v>G2501-2048</v>
          </cell>
          <cell r="D142" t="str">
            <v>000042944288039751</v>
          </cell>
          <cell r="E142" t="str">
            <v>MJ螺纹双耳游动托板自锁螺母</v>
          </cell>
          <cell r="F142" t="str">
            <v>HB8387-6</v>
          </cell>
          <cell r="G142" t="str">
            <v>6</v>
          </cell>
          <cell r="H142" t="str">
            <v/>
          </cell>
          <cell r="I142" t="str">
            <v/>
          </cell>
          <cell r="J142" t="str">
            <v>组件</v>
          </cell>
          <cell r="K142">
            <v>120</v>
          </cell>
          <cell r="L142">
            <v>45894</v>
          </cell>
          <cell r="M142" t="str">
            <v>3-配货完成</v>
          </cell>
        </row>
        <row r="142">
          <cell r="O142">
            <v>0</v>
          </cell>
          <cell r="P142" t="str">
            <v>哈尔滨东安实业发展有限公司</v>
          </cell>
          <cell r="Q142" t="str">
            <v>20</v>
          </cell>
        </row>
        <row r="142">
          <cell r="U142" t="str">
            <v>010000775747</v>
          </cell>
          <cell r="V142" t="str">
            <v>PANQIFANG</v>
          </cell>
          <cell r="W142" t="str">
            <v/>
          </cell>
          <cell r="X142" t="str">
            <v>CP-108-A</v>
          </cell>
          <cell r="Y142" t="str">
            <v/>
          </cell>
          <cell r="Z142" t="str">
            <v>1906</v>
          </cell>
          <cell r="AA142" t="str">
            <v>1100140326</v>
          </cell>
          <cell r="AB142">
            <v>120</v>
          </cell>
          <cell r="AC142" t="str">
            <v/>
          </cell>
          <cell r="AD142">
            <v>56</v>
          </cell>
          <cell r="AE142" t="str">
            <v>G-100016975-250114-0005</v>
          </cell>
        </row>
        <row r="143">
          <cell r="B143" t="str">
            <v>7100998390</v>
          </cell>
          <cell r="C143" t="str">
            <v>G2412-3515</v>
          </cell>
          <cell r="D143" t="str">
            <v>000042944288039751</v>
          </cell>
          <cell r="E143" t="str">
            <v>MJ螺纹双耳游动托板自锁螺母</v>
          </cell>
          <cell r="F143" t="str">
            <v>HB8387-6</v>
          </cell>
          <cell r="G143" t="str">
            <v>6</v>
          </cell>
          <cell r="H143" t="str">
            <v/>
          </cell>
          <cell r="I143" t="str">
            <v/>
          </cell>
          <cell r="J143" t="str">
            <v>组件</v>
          </cell>
          <cell r="K143">
            <v>91</v>
          </cell>
          <cell r="L143">
            <v>45893</v>
          </cell>
          <cell r="M143" t="str">
            <v>3-配货完成</v>
          </cell>
        </row>
        <row r="143">
          <cell r="O143">
            <v>0</v>
          </cell>
          <cell r="P143" t="str">
            <v>哈尔滨东安实业发展有限公司</v>
          </cell>
          <cell r="Q143" t="str">
            <v>120</v>
          </cell>
        </row>
        <row r="143">
          <cell r="U143" t="str">
            <v>010000767797</v>
          </cell>
          <cell r="V143" t="str">
            <v>PANQIFANG</v>
          </cell>
          <cell r="W143" t="str">
            <v/>
          </cell>
          <cell r="X143" t="str">
            <v>CP-108-A</v>
          </cell>
          <cell r="Y143" t="str">
            <v/>
          </cell>
          <cell r="Z143" t="str">
            <v>1906</v>
          </cell>
          <cell r="AA143" t="str">
            <v>1100124375</v>
          </cell>
          <cell r="AB143">
            <v>140</v>
          </cell>
          <cell r="AC143" t="str">
            <v/>
          </cell>
          <cell r="AD143">
            <v>56</v>
          </cell>
          <cell r="AE143" t="str">
            <v>G1302-240122-035</v>
          </cell>
        </row>
        <row r="144">
          <cell r="B144" t="str">
            <v>7100998025</v>
          </cell>
          <cell r="C144" t="str">
            <v>G2502-1844</v>
          </cell>
          <cell r="D144" t="str">
            <v>000042944319087844</v>
          </cell>
          <cell r="E144" t="str">
            <v>扩口发动机管接头用螺母</v>
          </cell>
          <cell r="F144" t="str">
            <v>AS5205(B版)</v>
          </cell>
          <cell r="G144" t="str">
            <v>AS5205R06NL</v>
          </cell>
          <cell r="H144" t="str">
            <v/>
          </cell>
          <cell r="I144" t="str">
            <v>钝化+固体膜润滑剂</v>
          </cell>
          <cell r="J144" t="str">
            <v>321</v>
          </cell>
          <cell r="K144">
            <v>50</v>
          </cell>
          <cell r="L144">
            <v>45893</v>
          </cell>
          <cell r="M144" t="str">
            <v>3-配货完成</v>
          </cell>
        </row>
        <row r="144">
          <cell r="O144">
            <v>0</v>
          </cell>
          <cell r="P144" t="str">
            <v>哈尔滨东安实业发展有限公司</v>
          </cell>
          <cell r="Q144" t="str">
            <v>30</v>
          </cell>
        </row>
        <row r="144">
          <cell r="U144" t="str">
            <v>010000784544</v>
          </cell>
          <cell r="V144" t="str">
            <v>PANQIFANG</v>
          </cell>
          <cell r="W144" t="str">
            <v/>
          </cell>
          <cell r="X144" t="str">
            <v>CP-108-A</v>
          </cell>
          <cell r="Y144" t="str">
            <v/>
          </cell>
          <cell r="Z144" t="str">
            <v>1906</v>
          </cell>
          <cell r="AA144" t="str">
            <v>1100141278</v>
          </cell>
          <cell r="AB144">
            <v>50</v>
          </cell>
          <cell r="AC144" t="str">
            <v/>
          </cell>
          <cell r="AD144">
            <v>230</v>
          </cell>
          <cell r="AE144" t="str">
            <v>G-100016975-250212-0008</v>
          </cell>
        </row>
        <row r="145">
          <cell r="B145" t="str">
            <v>7100991947</v>
          </cell>
          <cell r="C145" t="str">
            <v>G2503-0541</v>
          </cell>
          <cell r="D145" t="str">
            <v>000042944439062802</v>
          </cell>
          <cell r="E145" t="str">
            <v>齿形止动圈</v>
          </cell>
          <cell r="F145" t="str">
            <v>Q/8S1472B-12</v>
          </cell>
          <cell r="G145" t="str">
            <v>B-12</v>
          </cell>
          <cell r="H145" t="str">
            <v>σb≥1080-1230MPa,35-40HRC</v>
          </cell>
          <cell r="I145" t="str">
            <v>Ep·Cd5-8</v>
          </cell>
          <cell r="J145" t="str">
            <v>30Ni4CrMoA</v>
          </cell>
          <cell r="K145">
            <v>35</v>
          </cell>
          <cell r="L145">
            <v>45881</v>
          </cell>
          <cell r="M145" t="str">
            <v>4-检验完成</v>
          </cell>
        </row>
        <row r="145">
          <cell r="O145">
            <v>0</v>
          </cell>
          <cell r="P145" t="str">
            <v>哈尔滨东安实业发展有限公司</v>
          </cell>
          <cell r="Q145" t="str">
            <v>10</v>
          </cell>
          <cell r="R145">
            <v>45887</v>
          </cell>
        </row>
        <row r="145">
          <cell r="U145" t="str">
            <v>010000792606</v>
          </cell>
          <cell r="V145" t="str">
            <v>PANQIFANG</v>
          </cell>
          <cell r="W145" t="str">
            <v/>
          </cell>
          <cell r="X145" t="str">
            <v>CP-108-A</v>
          </cell>
          <cell r="Y145" t="str">
            <v/>
          </cell>
          <cell r="Z145" t="str">
            <v>1906</v>
          </cell>
          <cell r="AA145" t="str">
            <v>1100139777</v>
          </cell>
          <cell r="AB145">
            <v>200</v>
          </cell>
          <cell r="AC145" t="str">
            <v>GJ2503-00541</v>
          </cell>
          <cell r="AD145">
            <v>30</v>
          </cell>
          <cell r="AE145" t="str">
            <v>G-100016975-250102-0002</v>
          </cell>
        </row>
        <row r="146">
          <cell r="B146" t="str">
            <v>7100987687</v>
          </cell>
          <cell r="C146" t="str">
            <v>GW2408-003</v>
          </cell>
          <cell r="D146" t="str">
            <v>000042944360004322</v>
          </cell>
          <cell r="E146" t="str">
            <v>弹性圆柱销</v>
          </cell>
          <cell r="F146" t="str">
            <v>GB879-1986-3×8-65MN-表面氧化</v>
          </cell>
          <cell r="G146" t="str">
            <v>3×8</v>
          </cell>
          <cell r="H146" t="str">
            <v>420-560HV</v>
          </cell>
          <cell r="I146" t="str">
            <v>Ct·O</v>
          </cell>
          <cell r="J146" t="str">
            <v>65Mn</v>
          </cell>
          <cell r="K146">
            <v>190</v>
          </cell>
          <cell r="L146">
            <v>45870</v>
          </cell>
          <cell r="M146" t="str">
            <v>1-已打印</v>
          </cell>
        </row>
        <row r="146">
          <cell r="O146">
            <v>0</v>
          </cell>
          <cell r="P146" t="str">
            <v>哈尔滨东安实业发展有限公司</v>
          </cell>
          <cell r="Q146" t="str">
            <v>10</v>
          </cell>
        </row>
        <row r="146">
          <cell r="U146" t="str">
            <v/>
          </cell>
          <cell r="V146" t="str">
            <v/>
          </cell>
          <cell r="W146" t="str">
            <v/>
          </cell>
          <cell r="X146" t="str">
            <v>XH-000</v>
          </cell>
          <cell r="Y146" t="str">
            <v/>
          </cell>
          <cell r="Z146" t="str">
            <v>1906</v>
          </cell>
          <cell r="AA146" t="str">
            <v>1100122539</v>
          </cell>
          <cell r="AB146">
            <v>200</v>
          </cell>
          <cell r="AC146" t="str">
            <v/>
          </cell>
          <cell r="AD146">
            <v>0.4</v>
          </cell>
          <cell r="AE146" t="str">
            <v>G1302-231220-286-H</v>
          </cell>
        </row>
        <row r="147">
          <cell r="B147">
            <v>7100999073</v>
          </cell>
          <cell r="C147" t="str">
            <v>G2502-1651</v>
          </cell>
          <cell r="D147">
            <v>42944039095271</v>
          </cell>
          <cell r="E147" t="str">
            <v>带键自锁螺套</v>
          </cell>
          <cell r="F147" t="str">
            <v>Q/S15.1119A-6</v>
          </cell>
          <cell r="G147" t="str">
            <v>A-6</v>
          </cell>
        </row>
        <row r="147">
          <cell r="J147" t="str">
            <v>组件</v>
          </cell>
          <cell r="K147">
            <v>57</v>
          </cell>
          <cell r="L147">
            <v>45894</v>
          </cell>
          <cell r="M147" t="str">
            <v>7-发运完成</v>
          </cell>
          <cell r="N147">
            <v>45894</v>
          </cell>
          <cell r="O147">
            <v>0.900300925925926</v>
          </cell>
          <cell r="P147" t="str">
            <v>哈尔滨东安实业发展有限公司</v>
          </cell>
          <cell r="Q147">
            <v>20</v>
          </cell>
          <cell r="R147">
            <v>45894</v>
          </cell>
          <cell r="S147">
            <v>45894</v>
          </cell>
          <cell r="T147">
            <v>45894</v>
          </cell>
          <cell r="U147">
            <v>10000783740</v>
          </cell>
          <cell r="V147" t="str">
            <v>PANQIFANG</v>
          </cell>
        </row>
        <row r="147">
          <cell r="X147" t="str">
            <v>CP-108-A</v>
          </cell>
          <cell r="Y147" t="str">
            <v>FENGWENMENG</v>
          </cell>
          <cell r="Z147">
            <v>1906</v>
          </cell>
          <cell r="AA147">
            <v>1100145380</v>
          </cell>
          <cell r="AB147">
            <v>57</v>
          </cell>
        </row>
        <row r="147">
          <cell r="AD147">
            <v>90</v>
          </cell>
          <cell r="AE147" t="str">
            <v>G-100016975-250416-0020</v>
          </cell>
        </row>
        <row r="148">
          <cell r="B148">
            <v>7100999071</v>
          </cell>
          <cell r="C148" t="str">
            <v>G2502-1651</v>
          </cell>
          <cell r="D148">
            <v>42944039095271</v>
          </cell>
          <cell r="E148" t="str">
            <v>带键自锁螺套</v>
          </cell>
          <cell r="F148" t="str">
            <v>Q/S15.1119A-6</v>
          </cell>
          <cell r="G148" t="str">
            <v>A-6</v>
          </cell>
        </row>
        <row r="148">
          <cell r="J148" t="str">
            <v>组件</v>
          </cell>
          <cell r="K148">
            <v>200</v>
          </cell>
          <cell r="L148">
            <v>45894</v>
          </cell>
          <cell r="M148" t="str">
            <v>7-发运完成</v>
          </cell>
          <cell r="N148">
            <v>45894</v>
          </cell>
          <cell r="O148">
            <v>0.900185185185185</v>
          </cell>
          <cell r="P148" t="str">
            <v>哈尔滨东安实业发展有限公司</v>
          </cell>
          <cell r="Q148">
            <v>70</v>
          </cell>
          <cell r="R148">
            <v>45894</v>
          </cell>
          <cell r="S148">
            <v>45894</v>
          </cell>
          <cell r="T148">
            <v>45894</v>
          </cell>
          <cell r="U148">
            <v>10000783740</v>
          </cell>
          <cell r="V148" t="str">
            <v>PANQIFANG</v>
          </cell>
        </row>
        <row r="148">
          <cell r="X148" t="str">
            <v>CP-108-A</v>
          </cell>
          <cell r="Y148" t="str">
            <v>FENGWENMENG</v>
          </cell>
          <cell r="Z148">
            <v>1906</v>
          </cell>
          <cell r="AA148">
            <v>1100141177</v>
          </cell>
          <cell r="AB148">
            <v>200</v>
          </cell>
        </row>
        <row r="148">
          <cell r="AD148">
            <v>90</v>
          </cell>
          <cell r="AE148" t="str">
            <v>G-100016975-250210-0006-1</v>
          </cell>
        </row>
        <row r="149">
          <cell r="B149">
            <v>7100999059</v>
          </cell>
          <cell r="C149" t="str">
            <v>G2502-1651</v>
          </cell>
          <cell r="D149">
            <v>42944039095271</v>
          </cell>
          <cell r="E149" t="str">
            <v>带键自锁螺套</v>
          </cell>
          <cell r="F149" t="str">
            <v>Q/S15.1119A-6</v>
          </cell>
          <cell r="G149" t="str">
            <v>A-6</v>
          </cell>
        </row>
        <row r="149">
          <cell r="J149" t="str">
            <v>组件</v>
          </cell>
          <cell r="K149">
            <v>50</v>
          </cell>
          <cell r="L149">
            <v>45894</v>
          </cell>
          <cell r="M149" t="str">
            <v>7-发运完成</v>
          </cell>
          <cell r="N149">
            <v>45894</v>
          </cell>
          <cell r="O149">
            <v>0.900092592592593</v>
          </cell>
          <cell r="P149" t="str">
            <v>哈尔滨东安实业发展有限公司</v>
          </cell>
          <cell r="Q149">
            <v>220</v>
          </cell>
          <cell r="R149">
            <v>45894</v>
          </cell>
          <cell r="S149">
            <v>45894</v>
          </cell>
          <cell r="T149">
            <v>45894</v>
          </cell>
          <cell r="U149">
            <v>10000783740</v>
          </cell>
          <cell r="V149" t="str">
            <v>PANQIFANG</v>
          </cell>
        </row>
        <row r="149">
          <cell r="X149" t="str">
            <v>CP-108-A</v>
          </cell>
          <cell r="Y149" t="str">
            <v>FENGWENMENG</v>
          </cell>
          <cell r="Z149">
            <v>1906</v>
          </cell>
          <cell r="AA149">
            <v>1100141177</v>
          </cell>
          <cell r="AB149">
            <v>50</v>
          </cell>
        </row>
        <row r="149">
          <cell r="AD149">
            <v>90</v>
          </cell>
          <cell r="AE149" t="str">
            <v>G-100016975-250210-0006-1</v>
          </cell>
        </row>
        <row r="150">
          <cell r="B150" t="str">
            <v>7101004523</v>
          </cell>
          <cell r="C150" t="str">
            <v>G2502-1594</v>
          </cell>
          <cell r="D150" t="str">
            <v>000042944239133350</v>
          </cell>
          <cell r="E150" t="str">
            <v>双六角加长垫圈头机制螺栓</v>
          </cell>
          <cell r="F150" t="str">
            <v>AS3248-30</v>
          </cell>
          <cell r="G150" t="str">
            <v>AS3248-30</v>
          </cell>
          <cell r="H150" t="str">
            <v>σb≥185ksi</v>
          </cell>
          <cell r="I150" t="str">
            <v/>
          </cell>
          <cell r="J150" t="str">
            <v>Inconel718</v>
          </cell>
          <cell r="K150">
            <v>100</v>
          </cell>
          <cell r="L150">
            <v>45906</v>
          </cell>
          <cell r="M150" t="str">
            <v>3-配货完成</v>
          </cell>
        </row>
        <row r="150">
          <cell r="O150">
            <v>0</v>
          </cell>
          <cell r="P150" t="str">
            <v>哈尔滨东安实业发展有限公司</v>
          </cell>
          <cell r="Q150" t="str">
            <v>10</v>
          </cell>
        </row>
        <row r="150">
          <cell r="U150" t="str">
            <v>010000783661</v>
          </cell>
          <cell r="V150" t="str">
            <v>PANQIFANG</v>
          </cell>
          <cell r="W150" t="str">
            <v/>
          </cell>
          <cell r="X150" t="str">
            <v>CP-108-A</v>
          </cell>
          <cell r="Y150" t="str">
            <v/>
          </cell>
          <cell r="Z150" t="str">
            <v>1906</v>
          </cell>
          <cell r="AA150" t="str">
            <v>1100147030</v>
          </cell>
          <cell r="AB150">
            <v>100</v>
          </cell>
          <cell r="AC150" t="str">
            <v/>
          </cell>
          <cell r="AD150">
            <v>20</v>
          </cell>
          <cell r="AE150" t="str">
            <v>G-100016975-250514-0023</v>
          </cell>
        </row>
        <row r="151">
          <cell r="B151" t="str">
            <v>7101004310</v>
          </cell>
          <cell r="C151" t="str">
            <v>G2504-1954</v>
          </cell>
          <cell r="D151" t="str">
            <v>000042944239133350</v>
          </cell>
          <cell r="E151" t="str">
            <v>双六角加长垫圈头机制螺栓</v>
          </cell>
          <cell r="F151" t="str">
            <v>AS3248-30</v>
          </cell>
          <cell r="G151" t="str">
            <v>AS3248-30</v>
          </cell>
          <cell r="H151" t="str">
            <v>σb≥185ksi</v>
          </cell>
          <cell r="I151" t="str">
            <v/>
          </cell>
          <cell r="J151" t="str">
            <v>Inconel718</v>
          </cell>
          <cell r="K151">
            <v>113</v>
          </cell>
          <cell r="L151">
            <v>45905</v>
          </cell>
          <cell r="M151" t="str">
            <v>3-配货完成</v>
          </cell>
        </row>
        <row r="151">
          <cell r="O151">
            <v>0</v>
          </cell>
          <cell r="P151" t="str">
            <v>哈尔滨东安实业发展有限公司</v>
          </cell>
          <cell r="Q151" t="str">
            <v>60</v>
          </cell>
        </row>
        <row r="151">
          <cell r="U151" t="str">
            <v>010000809219</v>
          </cell>
          <cell r="V151" t="str">
            <v>PANQIFANG</v>
          </cell>
          <cell r="W151" t="str">
            <v/>
          </cell>
          <cell r="X151" t="str">
            <v>CP-108-A</v>
          </cell>
          <cell r="Y151" t="str">
            <v/>
          </cell>
          <cell r="Z151" t="str">
            <v>1906</v>
          </cell>
          <cell r="AA151" t="str">
            <v>1100125859</v>
          </cell>
          <cell r="AB151">
            <v>158</v>
          </cell>
          <cell r="AC151" t="str">
            <v/>
          </cell>
          <cell r="AD151">
            <v>20</v>
          </cell>
          <cell r="AE151" t="str">
            <v>G-100016975-240308-0004</v>
          </cell>
        </row>
        <row r="152">
          <cell r="B152" t="str">
            <v>7101004304</v>
          </cell>
          <cell r="C152" t="str">
            <v>G2504-1954</v>
          </cell>
          <cell r="D152" t="str">
            <v>000042944239133350</v>
          </cell>
          <cell r="E152" t="str">
            <v>双六角加长垫圈头机制螺栓</v>
          </cell>
          <cell r="F152" t="str">
            <v>AS3248-30</v>
          </cell>
          <cell r="G152" t="str">
            <v>AS3248-30</v>
          </cell>
          <cell r="H152" t="str">
            <v>σb≥185ksi</v>
          </cell>
          <cell r="I152" t="str">
            <v/>
          </cell>
          <cell r="J152" t="str">
            <v>Inconel718</v>
          </cell>
          <cell r="K152">
            <v>50</v>
          </cell>
          <cell r="L152">
            <v>45905</v>
          </cell>
          <cell r="M152" t="str">
            <v>3-配货完成</v>
          </cell>
        </row>
        <row r="152">
          <cell r="O152">
            <v>0</v>
          </cell>
          <cell r="P152" t="str">
            <v>哈尔滨东安实业发展有限公司</v>
          </cell>
          <cell r="Q152" t="str">
            <v>10</v>
          </cell>
        </row>
        <row r="152">
          <cell r="U152" t="str">
            <v>010000809219</v>
          </cell>
          <cell r="V152" t="str">
            <v>PANQIFANG</v>
          </cell>
          <cell r="W152" t="str">
            <v/>
          </cell>
          <cell r="X152" t="str">
            <v>CP-108-A</v>
          </cell>
          <cell r="Y152" t="str">
            <v/>
          </cell>
          <cell r="Z152" t="str">
            <v>1906</v>
          </cell>
          <cell r="AA152" t="str">
            <v>1100141278</v>
          </cell>
          <cell r="AB152">
            <v>50</v>
          </cell>
          <cell r="AC152" t="str">
            <v/>
          </cell>
          <cell r="AD152">
            <v>20</v>
          </cell>
          <cell r="AE152" t="str">
            <v>G-100016975-250212-0008</v>
          </cell>
        </row>
        <row r="153">
          <cell r="B153" t="str">
            <v>7101004301</v>
          </cell>
          <cell r="C153" t="str">
            <v>G2504-1954</v>
          </cell>
          <cell r="D153" t="str">
            <v>000042944239133350</v>
          </cell>
          <cell r="E153" t="str">
            <v>双六角加长垫圈头机制螺栓</v>
          </cell>
          <cell r="F153" t="str">
            <v>AS3248-30</v>
          </cell>
          <cell r="G153" t="str">
            <v>AS3248-30</v>
          </cell>
          <cell r="H153" t="str">
            <v>σb≥185ksi</v>
          </cell>
          <cell r="I153" t="str">
            <v/>
          </cell>
          <cell r="J153" t="str">
            <v>Inconel718</v>
          </cell>
          <cell r="K153">
            <v>50</v>
          </cell>
          <cell r="L153">
            <v>45905</v>
          </cell>
          <cell r="M153" t="str">
            <v>3-配货完成</v>
          </cell>
        </row>
        <row r="153">
          <cell r="O153">
            <v>0</v>
          </cell>
          <cell r="P153" t="str">
            <v>哈尔滨东安实业发展有限公司</v>
          </cell>
          <cell r="Q153" t="str">
            <v>20</v>
          </cell>
        </row>
        <row r="153">
          <cell r="U153" t="str">
            <v>010000809219</v>
          </cell>
          <cell r="V153" t="str">
            <v>PANQIFANG</v>
          </cell>
          <cell r="W153" t="str">
            <v/>
          </cell>
          <cell r="X153" t="str">
            <v>CP-108-A</v>
          </cell>
          <cell r="Y153" t="str">
            <v/>
          </cell>
          <cell r="Z153" t="str">
            <v>1906</v>
          </cell>
          <cell r="AA153" t="str">
            <v>1100141633</v>
          </cell>
          <cell r="AB153">
            <v>50</v>
          </cell>
          <cell r="AC153" t="str">
            <v/>
          </cell>
          <cell r="AD153">
            <v>20</v>
          </cell>
          <cell r="AE153" t="str">
            <v>G-100016975-250217-0009</v>
          </cell>
        </row>
        <row r="154">
          <cell r="B154" t="str">
            <v>7100998555</v>
          </cell>
          <cell r="C154" t="str">
            <v>G2502-1635</v>
          </cell>
          <cell r="D154" t="str">
            <v>000042944360046158</v>
          </cell>
          <cell r="E154" t="str">
            <v>止动销</v>
          </cell>
          <cell r="F154" t="str">
            <v>2523310</v>
          </cell>
          <cell r="G154" t="str">
            <v>Ⅰ</v>
          </cell>
          <cell r="H154" t="str">
            <v/>
          </cell>
          <cell r="I154" t="str">
            <v>Ep·Zn·c2C</v>
          </cell>
          <cell r="J154" t="str">
            <v>HPb59-1</v>
          </cell>
          <cell r="K154">
            <v>58</v>
          </cell>
          <cell r="L154">
            <v>45894</v>
          </cell>
          <cell r="M154" t="str">
            <v>3-配货完成</v>
          </cell>
        </row>
        <row r="154">
          <cell r="O154">
            <v>0</v>
          </cell>
          <cell r="P154" t="str">
            <v>哈尔滨东安实业发展有限公司</v>
          </cell>
          <cell r="Q154" t="str">
            <v>170</v>
          </cell>
        </row>
        <row r="154">
          <cell r="U154" t="str">
            <v>010000783778</v>
          </cell>
          <cell r="V154" t="str">
            <v>PANQIFANG</v>
          </cell>
          <cell r="W154" t="str">
            <v/>
          </cell>
          <cell r="X154" t="str">
            <v>CP-108-A</v>
          </cell>
          <cell r="Y154" t="str">
            <v/>
          </cell>
          <cell r="Z154" t="str">
            <v>1906</v>
          </cell>
          <cell r="AA154" t="str">
            <v>1100141177</v>
          </cell>
          <cell r="AB154">
            <v>58</v>
          </cell>
          <cell r="AC154" t="str">
            <v/>
          </cell>
          <cell r="AD154">
            <v>50</v>
          </cell>
          <cell r="AE154" t="str">
            <v>G-100016975-250210-0006-1</v>
          </cell>
        </row>
        <row r="155">
          <cell r="B155" t="str">
            <v>7100998025</v>
          </cell>
          <cell r="C155" t="str">
            <v>G2502-1844</v>
          </cell>
          <cell r="D155" t="str">
            <v>000042944319087844</v>
          </cell>
          <cell r="E155" t="str">
            <v>扩口发动机管接头用螺母</v>
          </cell>
          <cell r="F155" t="str">
            <v>AS5205(B版)</v>
          </cell>
          <cell r="G155" t="str">
            <v>AS5205R06NL</v>
          </cell>
          <cell r="H155" t="str">
            <v/>
          </cell>
          <cell r="I155" t="str">
            <v>钝化+固体膜润滑剂</v>
          </cell>
          <cell r="J155" t="str">
            <v>321</v>
          </cell>
          <cell r="K155">
            <v>50</v>
          </cell>
          <cell r="L155">
            <v>45893</v>
          </cell>
          <cell r="M155" t="str">
            <v>4-检验完成</v>
          </cell>
        </row>
        <row r="155">
          <cell r="O155">
            <v>0</v>
          </cell>
          <cell r="P155" t="str">
            <v>哈尔滨东安实业发展有限公司</v>
          </cell>
          <cell r="Q155" t="str">
            <v>30</v>
          </cell>
          <cell r="R155">
            <v>45899</v>
          </cell>
        </row>
        <row r="155">
          <cell r="U155" t="str">
            <v>010000784544</v>
          </cell>
          <cell r="V155" t="str">
            <v>PANQIFANG</v>
          </cell>
          <cell r="W155" t="str">
            <v/>
          </cell>
          <cell r="X155" t="str">
            <v>CP-108-A</v>
          </cell>
          <cell r="Y155" t="str">
            <v/>
          </cell>
          <cell r="Z155" t="str">
            <v>1906</v>
          </cell>
          <cell r="AA155" t="str">
            <v>1100141278</v>
          </cell>
          <cell r="AB155">
            <v>50</v>
          </cell>
          <cell r="AC155" t="str">
            <v/>
          </cell>
          <cell r="AD155">
            <v>230</v>
          </cell>
          <cell r="AE155" t="str">
            <v>G-100016975-250212-0008</v>
          </cell>
        </row>
        <row r="156">
          <cell r="B156" t="str">
            <v>7100991947</v>
          </cell>
          <cell r="C156" t="str">
            <v>G2503-0541</v>
          </cell>
          <cell r="D156" t="str">
            <v>000042944439062802</v>
          </cell>
          <cell r="E156" t="str">
            <v>齿形止动圈</v>
          </cell>
          <cell r="F156" t="str">
            <v>Q/8S1472B-12</v>
          </cell>
          <cell r="G156" t="str">
            <v>B-12</v>
          </cell>
          <cell r="H156" t="str">
            <v>σb≥1080-1230MPa,35-40HRC</v>
          </cell>
          <cell r="I156" t="str">
            <v>Ep·Cd5-8</v>
          </cell>
          <cell r="J156" t="str">
            <v>30Ni4CrMoA</v>
          </cell>
          <cell r="K156">
            <v>35</v>
          </cell>
          <cell r="L156">
            <v>45881</v>
          </cell>
          <cell r="M156" t="str">
            <v>4-检验完成</v>
          </cell>
        </row>
        <row r="156">
          <cell r="O156">
            <v>0</v>
          </cell>
          <cell r="P156" t="str">
            <v>哈尔滨东安实业发展有限公司</v>
          </cell>
          <cell r="Q156" t="str">
            <v>10</v>
          </cell>
          <cell r="R156">
            <v>45887</v>
          </cell>
        </row>
        <row r="156">
          <cell r="U156" t="str">
            <v>010000792606</v>
          </cell>
          <cell r="V156" t="str">
            <v>PANQIFANG</v>
          </cell>
          <cell r="W156" t="str">
            <v/>
          </cell>
          <cell r="X156" t="str">
            <v>CP-108-A</v>
          </cell>
          <cell r="Y156" t="str">
            <v/>
          </cell>
          <cell r="Z156" t="str">
            <v>1906</v>
          </cell>
          <cell r="AA156" t="str">
            <v>1100139777</v>
          </cell>
          <cell r="AB156">
            <v>200</v>
          </cell>
          <cell r="AC156" t="str">
            <v>GJ2503-00541</v>
          </cell>
          <cell r="AD156">
            <v>30</v>
          </cell>
          <cell r="AE156" t="str">
            <v>G-100016975-250102-0002</v>
          </cell>
        </row>
        <row r="157">
          <cell r="B157" t="str">
            <v>7101005607</v>
          </cell>
          <cell r="C157" t="str">
            <v>G2502-0820</v>
          </cell>
          <cell r="D157" t="str">
            <v>000042944320119139</v>
          </cell>
          <cell r="E157" t="str">
            <v>铆钉</v>
          </cell>
          <cell r="F157" t="str">
            <v>11S70294</v>
          </cell>
          <cell r="G157" t="str">
            <v>-</v>
          </cell>
          <cell r="H157" t="str">
            <v>固溶</v>
          </cell>
          <cell r="I157" t="str">
            <v/>
          </cell>
          <cell r="J157" t="str">
            <v>06Cr18Ni9</v>
          </cell>
          <cell r="K157">
            <v>10</v>
          </cell>
          <cell r="L157">
            <v>45909</v>
          </cell>
          <cell r="M157" t="str">
            <v>3-配货完成</v>
          </cell>
        </row>
        <row r="157">
          <cell r="O157">
            <v>0</v>
          </cell>
          <cell r="P157" t="str">
            <v>哈尔滨东安实业发展有限公司</v>
          </cell>
          <cell r="Q157" t="str">
            <v>20</v>
          </cell>
        </row>
        <row r="157">
          <cell r="U157" t="str">
            <v>010000781066</v>
          </cell>
          <cell r="V157" t="str">
            <v>PANQIFANG</v>
          </cell>
          <cell r="W157" t="str">
            <v/>
          </cell>
          <cell r="X157" t="str">
            <v>CP-46-2-1-2</v>
          </cell>
          <cell r="Y157" t="str">
            <v/>
          </cell>
          <cell r="Z157" t="str">
            <v>1906</v>
          </cell>
          <cell r="AA157" t="str">
            <v>1100152545</v>
          </cell>
          <cell r="AB157">
            <v>10</v>
          </cell>
          <cell r="AC157" t="str">
            <v/>
          </cell>
          <cell r="AD157">
            <v>90</v>
          </cell>
          <cell r="AE157" t="str">
            <v>G-100016975-250905-0043</v>
          </cell>
        </row>
        <row r="158">
          <cell r="B158" t="str">
            <v>7101007129</v>
          </cell>
          <cell r="C158" t="str">
            <v>G2502-0074</v>
          </cell>
          <cell r="D158" t="str">
            <v>000042944319132758</v>
          </cell>
          <cell r="E158" t="str">
            <v>环槽螺母</v>
          </cell>
          <cell r="F158" t="str">
            <v>AS4370(F版)</v>
          </cell>
          <cell r="G158" t="str">
            <v>AS4370S06-NL</v>
          </cell>
          <cell r="H158" t="str">
            <v/>
          </cell>
          <cell r="I158" t="str">
            <v>钝化+涂固体膜润滑</v>
          </cell>
          <cell r="J158" t="str">
            <v>AISI347</v>
          </cell>
          <cell r="K158">
            <v>6</v>
          </cell>
          <cell r="L158">
            <v>45911</v>
          </cell>
          <cell r="M158" t="str">
            <v>3-配货完成</v>
          </cell>
        </row>
        <row r="158">
          <cell r="O158">
            <v>0</v>
          </cell>
          <cell r="P158" t="str">
            <v>哈尔滨东安实业发展有限公司</v>
          </cell>
          <cell r="Q158" t="str">
            <v>10</v>
          </cell>
        </row>
        <row r="158">
          <cell r="U158" t="str">
            <v>010000780296</v>
          </cell>
          <cell r="V158" t="str">
            <v>PANQIFANG</v>
          </cell>
          <cell r="W158" t="str">
            <v/>
          </cell>
          <cell r="X158" t="str">
            <v>CP-19-2-4-7</v>
          </cell>
          <cell r="Y158" t="str">
            <v/>
          </cell>
          <cell r="Z158" t="str">
            <v>1906</v>
          </cell>
          <cell r="AA158" t="str">
            <v>1100152712</v>
          </cell>
          <cell r="AB158">
            <v>6</v>
          </cell>
          <cell r="AC158" t="str">
            <v/>
          </cell>
          <cell r="AD158">
            <v>180</v>
          </cell>
          <cell r="AE158" t="str">
            <v>G-100016975-250905-0044</v>
          </cell>
        </row>
        <row r="159">
          <cell r="B159" t="str">
            <v>7101006453</v>
          </cell>
          <cell r="C159" t="str">
            <v>G2508-0688</v>
          </cell>
          <cell r="D159" t="str">
            <v>000042944319000220</v>
          </cell>
          <cell r="E159" t="str">
            <v>托板螺母组件</v>
          </cell>
          <cell r="F159" t="str">
            <v>8S.DFD21.4.803</v>
          </cell>
          <cell r="G159" t="str">
            <v>-</v>
          </cell>
          <cell r="H159" t="str">
            <v/>
          </cell>
          <cell r="I159" t="str">
            <v/>
          </cell>
          <cell r="J159" t="str">
            <v>组件</v>
          </cell>
          <cell r="K159">
            <v>10</v>
          </cell>
          <cell r="L159">
            <v>45910</v>
          </cell>
          <cell r="M159" t="str">
            <v>3-配货完成</v>
          </cell>
        </row>
        <row r="159">
          <cell r="O159">
            <v>0</v>
          </cell>
          <cell r="P159" t="str">
            <v>哈尔滨东安实业发展有限公司</v>
          </cell>
          <cell r="Q159" t="str">
            <v>60</v>
          </cell>
        </row>
        <row r="159">
          <cell r="U159" t="str">
            <v>010000853245</v>
          </cell>
          <cell r="V159" t="str">
            <v>PANQIFANG</v>
          </cell>
          <cell r="W159" t="str">
            <v/>
          </cell>
          <cell r="X159" t="str">
            <v>CP-18-2-2-4</v>
          </cell>
          <cell r="Y159" t="str">
            <v/>
          </cell>
          <cell r="Z159" t="str">
            <v>1906</v>
          </cell>
          <cell r="AA159" t="str">
            <v>1100124375</v>
          </cell>
          <cell r="AB159">
            <v>100</v>
          </cell>
          <cell r="AC159" t="str">
            <v/>
          </cell>
          <cell r="AD159">
            <v>180.4</v>
          </cell>
          <cell r="AE159" t="str">
            <v>G1302-240122-035</v>
          </cell>
        </row>
        <row r="160">
          <cell r="B160" t="str">
            <v>7101005607</v>
          </cell>
          <cell r="C160" t="str">
            <v>G2502-0820</v>
          </cell>
          <cell r="D160" t="str">
            <v>000042944320119139</v>
          </cell>
          <cell r="E160" t="str">
            <v>铆钉</v>
          </cell>
          <cell r="F160" t="str">
            <v>11S70294</v>
          </cell>
          <cell r="G160" t="str">
            <v>-</v>
          </cell>
          <cell r="H160" t="str">
            <v>固溶</v>
          </cell>
          <cell r="I160" t="str">
            <v/>
          </cell>
          <cell r="J160" t="str">
            <v>06Cr18Ni9</v>
          </cell>
          <cell r="K160">
            <v>10</v>
          </cell>
          <cell r="L160">
            <v>45909</v>
          </cell>
          <cell r="M160" t="str">
            <v>4-检验完成</v>
          </cell>
        </row>
        <row r="160">
          <cell r="O160">
            <v>0</v>
          </cell>
          <cell r="P160" t="str">
            <v>哈尔滨东安实业发展有限公司</v>
          </cell>
          <cell r="Q160" t="str">
            <v>20</v>
          </cell>
          <cell r="R160">
            <v>45911</v>
          </cell>
        </row>
        <row r="160">
          <cell r="U160" t="str">
            <v>010000781066</v>
          </cell>
          <cell r="V160" t="str">
            <v>PANQIFANG</v>
          </cell>
          <cell r="W160" t="str">
            <v/>
          </cell>
          <cell r="X160" t="str">
            <v>CP-46-2-1-2</v>
          </cell>
          <cell r="Y160" t="str">
            <v/>
          </cell>
          <cell r="Z160" t="str">
            <v>1906</v>
          </cell>
          <cell r="AA160" t="str">
            <v>1100152545</v>
          </cell>
          <cell r="AB160">
            <v>10</v>
          </cell>
          <cell r="AC160" t="str">
            <v/>
          </cell>
          <cell r="AD160">
            <v>90</v>
          </cell>
          <cell r="AE160" t="str">
            <v>G-100016975-250905-0043</v>
          </cell>
        </row>
        <row r="161">
          <cell r="B161" t="str">
            <v>7100998555</v>
          </cell>
          <cell r="C161" t="str">
            <v>G2502-1635</v>
          </cell>
          <cell r="D161" t="str">
            <v>000042944360046158</v>
          </cell>
          <cell r="E161" t="str">
            <v>止动销</v>
          </cell>
          <cell r="F161" t="str">
            <v>2523310</v>
          </cell>
          <cell r="G161" t="str">
            <v>Ⅰ</v>
          </cell>
          <cell r="H161" t="str">
            <v/>
          </cell>
          <cell r="I161" t="str">
            <v>Ep·Zn·c2C</v>
          </cell>
          <cell r="J161" t="str">
            <v>HPb59-1</v>
          </cell>
          <cell r="K161">
            <v>58</v>
          </cell>
          <cell r="L161">
            <v>45894</v>
          </cell>
          <cell r="M161" t="str">
            <v>3-配货完成</v>
          </cell>
        </row>
        <row r="161">
          <cell r="O161">
            <v>0</v>
          </cell>
          <cell r="P161" t="str">
            <v>哈尔滨东安实业发展有限公司</v>
          </cell>
          <cell r="Q161" t="str">
            <v>170</v>
          </cell>
        </row>
        <row r="161">
          <cell r="U161" t="str">
            <v>010000783778</v>
          </cell>
          <cell r="V161" t="str">
            <v>PANQIFANG</v>
          </cell>
          <cell r="W161" t="str">
            <v/>
          </cell>
          <cell r="X161" t="str">
            <v>CP-108-A</v>
          </cell>
          <cell r="Y161" t="str">
            <v/>
          </cell>
          <cell r="Z161" t="str">
            <v>1906</v>
          </cell>
          <cell r="AA161" t="str">
            <v>1100141177</v>
          </cell>
          <cell r="AB161">
            <v>58</v>
          </cell>
          <cell r="AC161" t="str">
            <v/>
          </cell>
          <cell r="AD161">
            <v>50</v>
          </cell>
          <cell r="AE161" t="str">
            <v>G-100016975-250210-0006-1</v>
          </cell>
        </row>
        <row r="162">
          <cell r="B162" t="str">
            <v>7101009241</v>
          </cell>
          <cell r="C162" t="str">
            <v>G2502-1629</v>
          </cell>
          <cell r="D162" t="str">
            <v>000043213302030024</v>
          </cell>
          <cell r="E162" t="str">
            <v>21MPa无扩口A型拧入式变径直通管接头</v>
          </cell>
          <cell r="F162" t="str">
            <v>HB5988-10×8</v>
          </cell>
          <cell r="G162" t="str">
            <v>10×8</v>
          </cell>
          <cell r="H162" t="str">
            <v/>
          </cell>
          <cell r="I162" t="str">
            <v>Ct·P</v>
          </cell>
          <cell r="J162" t="str">
            <v>1Cr18Ni9Ti</v>
          </cell>
          <cell r="K162">
            <v>26</v>
          </cell>
          <cell r="L162">
            <v>45916</v>
          </cell>
          <cell r="M162" t="str">
            <v>4-检验完成</v>
          </cell>
        </row>
        <row r="162">
          <cell r="O162">
            <v>0</v>
          </cell>
          <cell r="P162" t="str">
            <v>哈尔滨东安实业发展有限公司</v>
          </cell>
          <cell r="Q162" t="str">
            <v>50</v>
          </cell>
          <cell r="R162">
            <v>45923</v>
          </cell>
        </row>
        <row r="162">
          <cell r="U162" t="str">
            <v>010000783771</v>
          </cell>
          <cell r="V162" t="str">
            <v>PANQIFANG</v>
          </cell>
          <cell r="W162" t="str">
            <v/>
          </cell>
          <cell r="X162" t="str">
            <v>CP-108-A</v>
          </cell>
          <cell r="Y162" t="str">
            <v/>
          </cell>
          <cell r="Z162" t="str">
            <v>1906</v>
          </cell>
          <cell r="AA162" t="str">
            <v>1100141177</v>
          </cell>
          <cell r="AB162">
            <v>26</v>
          </cell>
          <cell r="AC162" t="str">
            <v/>
          </cell>
          <cell r="AD162">
            <v>30</v>
          </cell>
          <cell r="AE162" t="str">
            <v>G-100016975-250210-0006-1</v>
          </cell>
        </row>
        <row r="163">
          <cell r="B163" t="str">
            <v>7101008466</v>
          </cell>
          <cell r="C163" t="str">
            <v>G2501-2547</v>
          </cell>
          <cell r="D163" t="str">
            <v>000042944319134853</v>
          </cell>
          <cell r="E163" t="str">
            <v>外套螺母</v>
          </cell>
          <cell r="F163" t="str">
            <v>SPE4006(D版)</v>
          </cell>
          <cell r="G163" t="str">
            <v>CEE4006R05NL</v>
          </cell>
          <cell r="H163" t="str">
            <v/>
          </cell>
          <cell r="I163" t="str">
            <v>钝化+干膜润滑</v>
          </cell>
          <cell r="J163" t="str">
            <v>321</v>
          </cell>
          <cell r="K163">
            <v>50</v>
          </cell>
          <cell r="L163">
            <v>45915</v>
          </cell>
          <cell r="M163" t="str">
            <v>3-配货完成</v>
          </cell>
        </row>
        <row r="163">
          <cell r="O163">
            <v>0</v>
          </cell>
          <cell r="P163" t="str">
            <v>哈尔滨东安实业发展有限公司</v>
          </cell>
          <cell r="Q163" t="str">
            <v>10</v>
          </cell>
        </row>
        <row r="163">
          <cell r="U163" t="str">
            <v>010000777484</v>
          </cell>
          <cell r="V163" t="str">
            <v>PANQIFANG</v>
          </cell>
          <cell r="W163" t="str">
            <v/>
          </cell>
          <cell r="X163" t="str">
            <v>CP-K4-1-5-3</v>
          </cell>
          <cell r="Y163" t="str">
            <v/>
          </cell>
          <cell r="Z163" t="str">
            <v>1906</v>
          </cell>
          <cell r="AA163" t="str">
            <v>1100152856</v>
          </cell>
          <cell r="AB163">
            <v>50</v>
          </cell>
          <cell r="AC163" t="str">
            <v/>
          </cell>
          <cell r="AD163">
            <v>20</v>
          </cell>
          <cell r="AE163" t="str">
            <v>G-100016975-250911-0047</v>
          </cell>
        </row>
        <row r="164">
          <cell r="B164" t="str">
            <v>7101007984</v>
          </cell>
          <cell r="C164" t="str">
            <v>G2504-3532</v>
          </cell>
          <cell r="D164" t="str">
            <v>000042944360000238</v>
          </cell>
          <cell r="E164" t="str">
            <v>止动销</v>
          </cell>
          <cell r="F164" t="str">
            <v>8S.DFD20.7.009</v>
          </cell>
          <cell r="G164" t="str">
            <v>-</v>
          </cell>
          <cell r="H164" t="str">
            <v/>
          </cell>
          <cell r="I164" t="str">
            <v/>
          </cell>
          <cell r="J164" t="str">
            <v>0Cr18Ni9</v>
          </cell>
          <cell r="K164">
            <v>10</v>
          </cell>
          <cell r="L164">
            <v>45912</v>
          </cell>
          <cell r="M164" t="str">
            <v>3-配货完成</v>
          </cell>
        </row>
        <row r="164">
          <cell r="O164">
            <v>0</v>
          </cell>
          <cell r="P164" t="str">
            <v>哈尔滨东安实业发展有限公司</v>
          </cell>
          <cell r="Q164" t="str">
            <v>10</v>
          </cell>
        </row>
        <row r="164">
          <cell r="U164" t="str">
            <v>010000814110</v>
          </cell>
          <cell r="V164" t="str">
            <v>PANQIFANG</v>
          </cell>
          <cell r="W164" t="str">
            <v/>
          </cell>
          <cell r="X164" t="str">
            <v>CP-108-A</v>
          </cell>
          <cell r="Y164" t="str">
            <v/>
          </cell>
          <cell r="Z164" t="str">
            <v>1906</v>
          </cell>
          <cell r="AA164" t="str">
            <v>1100145380</v>
          </cell>
          <cell r="AB164">
            <v>10</v>
          </cell>
          <cell r="AC164" t="str">
            <v/>
          </cell>
          <cell r="AD164">
            <v>10.66</v>
          </cell>
          <cell r="AE164" t="str">
            <v>G-100016975-250416-0020</v>
          </cell>
        </row>
        <row r="165">
          <cell r="B165" t="str">
            <v>7101012657</v>
          </cell>
          <cell r="C165" t="str">
            <v>G2407-1008</v>
          </cell>
          <cell r="D165" t="str">
            <v>000042944039122089</v>
          </cell>
          <cell r="E165" t="str">
            <v>加长带键自锁螺套</v>
          </cell>
          <cell r="F165" t="str">
            <v>Q/S15.1120A-6</v>
          </cell>
          <cell r="G165" t="str">
            <v>A-6</v>
          </cell>
          <cell r="H165" t="str">
            <v/>
          </cell>
          <cell r="I165" t="str">
            <v/>
          </cell>
          <cell r="J165" t="str">
            <v>组件</v>
          </cell>
          <cell r="K165">
            <v>26</v>
          </cell>
          <cell r="L165">
            <v>45923</v>
          </cell>
          <cell r="M165" t="str">
            <v>3-配货完成</v>
          </cell>
        </row>
        <row r="165">
          <cell r="O165">
            <v>0</v>
          </cell>
          <cell r="P165" t="str">
            <v>哈尔滨东安实业发展有限公司</v>
          </cell>
          <cell r="Q165" t="str">
            <v>10</v>
          </cell>
        </row>
        <row r="165">
          <cell r="U165" t="str">
            <v>010000717814</v>
          </cell>
          <cell r="V165" t="str">
            <v>PANQIFANG</v>
          </cell>
          <cell r="W165" t="str">
            <v/>
          </cell>
          <cell r="X165" t="str">
            <v>CP-108-A</v>
          </cell>
          <cell r="Y165" t="str">
            <v/>
          </cell>
          <cell r="Z165" t="str">
            <v>1906</v>
          </cell>
          <cell r="AA165" t="str">
            <v>1100148082</v>
          </cell>
          <cell r="AB165">
            <v>100</v>
          </cell>
          <cell r="AC165" t="str">
            <v/>
          </cell>
          <cell r="AD165">
            <v>225</v>
          </cell>
          <cell r="AE165" t="str">
            <v>G-100016975-250603-0025</v>
          </cell>
        </row>
        <row r="166">
          <cell r="B166" t="str">
            <v>7101012657</v>
          </cell>
          <cell r="C166" t="str">
            <v>G2401-2692</v>
          </cell>
          <cell r="D166" t="str">
            <v>000042944039122089</v>
          </cell>
          <cell r="E166" t="str">
            <v>加长带键自锁螺套</v>
          </cell>
          <cell r="F166" t="str">
            <v>Q/S15.1120A-6</v>
          </cell>
          <cell r="G166" t="str">
            <v>A-6</v>
          </cell>
          <cell r="H166" t="str">
            <v/>
          </cell>
          <cell r="I166" t="str">
            <v/>
          </cell>
          <cell r="J166" t="str">
            <v>组件</v>
          </cell>
          <cell r="K166">
            <v>8</v>
          </cell>
          <cell r="L166">
            <v>45923</v>
          </cell>
          <cell r="M166" t="str">
            <v>3-配货完成</v>
          </cell>
        </row>
        <row r="166">
          <cell r="O166">
            <v>0</v>
          </cell>
          <cell r="P166" t="str">
            <v>哈尔滨东安实业发展有限公司</v>
          </cell>
          <cell r="Q166" t="str">
            <v>10</v>
          </cell>
        </row>
        <row r="166">
          <cell r="U166" t="str">
            <v>010000672120</v>
          </cell>
          <cell r="V166" t="str">
            <v>PANQIFANG</v>
          </cell>
          <cell r="W166" t="str">
            <v/>
          </cell>
          <cell r="X166" t="str">
            <v>CP-59-2-3-12</v>
          </cell>
          <cell r="Y166" t="str">
            <v/>
          </cell>
          <cell r="Z166" t="str">
            <v>1906</v>
          </cell>
          <cell r="AA166" t="str">
            <v>1100148082</v>
          </cell>
          <cell r="AB166">
            <v>100</v>
          </cell>
          <cell r="AC166" t="str">
            <v/>
          </cell>
          <cell r="AD166">
            <v>225</v>
          </cell>
          <cell r="AE166" t="str">
            <v>G-100016975-250603-0025</v>
          </cell>
        </row>
        <row r="167">
          <cell r="B167" t="str">
            <v>7101012657</v>
          </cell>
          <cell r="C167" t="str">
            <v>G2309-1609</v>
          </cell>
          <cell r="D167" t="str">
            <v>000042944039122089</v>
          </cell>
          <cell r="E167" t="str">
            <v>加长带键自锁螺套</v>
          </cell>
          <cell r="F167" t="str">
            <v>Q/S15.1120A-6</v>
          </cell>
          <cell r="G167" t="str">
            <v>A-6</v>
          </cell>
          <cell r="H167" t="str">
            <v/>
          </cell>
          <cell r="I167" t="str">
            <v/>
          </cell>
          <cell r="J167" t="str">
            <v>组件</v>
          </cell>
          <cell r="K167">
            <v>8</v>
          </cell>
          <cell r="L167">
            <v>45923</v>
          </cell>
          <cell r="M167" t="str">
            <v>3-配货完成</v>
          </cell>
        </row>
        <row r="167">
          <cell r="O167">
            <v>0</v>
          </cell>
          <cell r="P167" t="str">
            <v>哈尔滨东安实业发展有限公司</v>
          </cell>
          <cell r="Q167" t="str">
            <v>10</v>
          </cell>
        </row>
        <row r="167">
          <cell r="U167" t="str">
            <v>010000634957</v>
          </cell>
          <cell r="V167" t="str">
            <v>PANQIFANG</v>
          </cell>
          <cell r="W167" t="str">
            <v/>
          </cell>
          <cell r="X167" t="str">
            <v>CP-36-2-4-13</v>
          </cell>
          <cell r="Y167" t="str">
            <v/>
          </cell>
          <cell r="Z167" t="str">
            <v>1906</v>
          </cell>
          <cell r="AA167" t="str">
            <v>1100148082</v>
          </cell>
          <cell r="AB167">
            <v>100</v>
          </cell>
          <cell r="AC167" t="str">
            <v>GJ2309-01609</v>
          </cell>
          <cell r="AD167">
            <v>225</v>
          </cell>
          <cell r="AE167" t="str">
            <v>G-100016975-250603-0025</v>
          </cell>
        </row>
        <row r="168">
          <cell r="B168" t="str">
            <v>7101008466</v>
          </cell>
          <cell r="C168" t="str">
            <v>G2501-2547</v>
          </cell>
          <cell r="D168" t="str">
            <v>000042944319134853</v>
          </cell>
          <cell r="E168" t="str">
            <v>外套螺母</v>
          </cell>
          <cell r="F168" t="str">
            <v>SPE4006(D版)</v>
          </cell>
          <cell r="G168" t="str">
            <v>CEE4006R05NL</v>
          </cell>
          <cell r="H168" t="str">
            <v/>
          </cell>
          <cell r="I168" t="str">
            <v>钝化+干膜润滑</v>
          </cell>
          <cell r="J168" t="str">
            <v>321</v>
          </cell>
          <cell r="K168">
            <v>50</v>
          </cell>
          <cell r="L168">
            <v>45915</v>
          </cell>
          <cell r="M168" t="str">
            <v>3-配货完成</v>
          </cell>
        </row>
        <row r="168">
          <cell r="O168">
            <v>0</v>
          </cell>
          <cell r="P168" t="str">
            <v>哈尔滨东安实业发展有限公司</v>
          </cell>
          <cell r="Q168" t="str">
            <v>10</v>
          </cell>
        </row>
        <row r="168">
          <cell r="U168" t="str">
            <v>010000777484</v>
          </cell>
          <cell r="V168" t="str">
            <v>PANQIFANG</v>
          </cell>
          <cell r="W168" t="str">
            <v/>
          </cell>
          <cell r="X168" t="str">
            <v>CP-K4-1-5-3</v>
          </cell>
          <cell r="Y168" t="str">
            <v/>
          </cell>
          <cell r="Z168" t="str">
            <v>1906</v>
          </cell>
          <cell r="AA168" t="str">
            <v>1100152856</v>
          </cell>
          <cell r="AB168">
            <v>50</v>
          </cell>
          <cell r="AC168" t="str">
            <v/>
          </cell>
          <cell r="AD168">
            <v>20</v>
          </cell>
          <cell r="AE168" t="str">
            <v>G-100016975-250911-0047</v>
          </cell>
        </row>
        <row r="169">
          <cell r="B169" t="str">
            <v>7101007984</v>
          </cell>
          <cell r="C169" t="str">
            <v>G2504-3532</v>
          </cell>
          <cell r="D169" t="str">
            <v>000042944360000238</v>
          </cell>
          <cell r="E169" t="str">
            <v>止动销</v>
          </cell>
          <cell r="F169" t="str">
            <v>8S.DFD20.7.009</v>
          </cell>
          <cell r="G169" t="str">
            <v>-</v>
          </cell>
          <cell r="H169" t="str">
            <v/>
          </cell>
          <cell r="I169" t="str">
            <v/>
          </cell>
          <cell r="J169" t="str">
            <v>0Cr18Ni9</v>
          </cell>
          <cell r="K169">
            <v>10</v>
          </cell>
          <cell r="L169">
            <v>45912</v>
          </cell>
          <cell r="M169" t="str">
            <v>3-配货完成</v>
          </cell>
        </row>
        <row r="169">
          <cell r="O169">
            <v>0</v>
          </cell>
          <cell r="P169" t="str">
            <v>哈尔滨东安实业发展有限公司</v>
          </cell>
          <cell r="Q169" t="str">
            <v>10</v>
          </cell>
        </row>
        <row r="169">
          <cell r="U169" t="str">
            <v>010000814110</v>
          </cell>
          <cell r="V169" t="str">
            <v>PANQIFANG</v>
          </cell>
          <cell r="W169" t="str">
            <v/>
          </cell>
          <cell r="X169" t="str">
            <v>CP-108-A</v>
          </cell>
          <cell r="Y169" t="str">
            <v/>
          </cell>
          <cell r="Z169" t="str">
            <v>1906</v>
          </cell>
          <cell r="AA169" t="str">
            <v>1100145380</v>
          </cell>
          <cell r="AB169">
            <v>10</v>
          </cell>
          <cell r="AC169" t="str">
            <v/>
          </cell>
          <cell r="AD169">
            <v>10.66</v>
          </cell>
          <cell r="AE169" t="str">
            <v>G-100016975-250416-0020</v>
          </cell>
        </row>
        <row r="170">
          <cell r="B170">
            <v>7101015714</v>
          </cell>
          <cell r="C170" t="str">
            <v>G2411-2338</v>
          </cell>
          <cell r="D170">
            <v>42944039095271</v>
          </cell>
          <cell r="E170" t="str">
            <v>带键自锁螺套</v>
          </cell>
          <cell r="F170" t="str">
            <v>Q/S15.1119A-6</v>
          </cell>
          <cell r="G170" t="str">
            <v>A-6</v>
          </cell>
        </row>
        <row r="170">
          <cell r="J170" t="str">
            <v>组件</v>
          </cell>
          <cell r="K170">
            <v>128</v>
          </cell>
          <cell r="L170">
            <v>45927</v>
          </cell>
          <cell r="M170" t="str">
            <v>4-检验完成</v>
          </cell>
        </row>
        <row r="170">
          <cell r="P170" t="str">
            <v>哈尔滨东安实业发展有限公司</v>
          </cell>
          <cell r="Q170">
            <v>10</v>
          </cell>
          <cell r="R170">
            <v>45927</v>
          </cell>
        </row>
        <row r="170">
          <cell r="U170">
            <v>10000754260</v>
          </cell>
          <cell r="V170" t="str">
            <v>PANQIFANG</v>
          </cell>
        </row>
        <row r="170">
          <cell r="X170" t="str">
            <v>CP-108-A</v>
          </cell>
        </row>
        <row r="170">
          <cell r="Z170">
            <v>1906</v>
          </cell>
          <cell r="AA170">
            <v>1100153106</v>
          </cell>
          <cell r="AB170">
            <v>300</v>
          </cell>
          <cell r="AC170" t="str">
            <v>GJ2411-02338</v>
          </cell>
          <cell r="AD170">
            <v>90</v>
          </cell>
          <cell r="AE170" t="str">
            <v>G-100016975-250917-0049</v>
          </cell>
        </row>
        <row r="171">
          <cell r="B171">
            <v>7101015713</v>
          </cell>
          <cell r="C171" t="str">
            <v>G2508-1745</v>
          </cell>
          <cell r="D171">
            <v>42944288117418</v>
          </cell>
          <cell r="E171" t="str">
            <v>双耳游动自锁托板螺母</v>
          </cell>
          <cell r="F171" t="str">
            <v>AS3481-04</v>
          </cell>
          <cell r="G171" t="str">
            <v>AS3481-04</v>
          </cell>
        </row>
        <row r="171">
          <cell r="J171" t="str">
            <v>组件</v>
          </cell>
          <cell r="K171">
            <v>50</v>
          </cell>
          <cell r="L171">
            <v>45927</v>
          </cell>
          <cell r="M171" t="str">
            <v>4-检验完成</v>
          </cell>
        </row>
        <row r="171">
          <cell r="P171" t="str">
            <v>哈尔滨东安实业发展有限公司</v>
          </cell>
          <cell r="Q171">
            <v>40</v>
          </cell>
          <cell r="R171">
            <v>45927</v>
          </cell>
        </row>
        <row r="171">
          <cell r="U171">
            <v>10000857214</v>
          </cell>
          <cell r="V171" t="str">
            <v>PANQIFANG</v>
          </cell>
        </row>
        <row r="171">
          <cell r="X171" t="str">
            <v>CP-108-A</v>
          </cell>
        </row>
        <row r="171">
          <cell r="Z171">
            <v>1906</v>
          </cell>
          <cell r="AA171">
            <v>1100152712</v>
          </cell>
          <cell r="AB171">
            <v>150</v>
          </cell>
        </row>
        <row r="171">
          <cell r="AD171">
            <v>41.52</v>
          </cell>
          <cell r="AE171" t="str">
            <v>G-100016975-250905-0044</v>
          </cell>
        </row>
        <row r="172">
          <cell r="B172">
            <v>7101015712</v>
          </cell>
          <cell r="C172" t="str">
            <v>G2508-1745</v>
          </cell>
          <cell r="D172">
            <v>42944288117418</v>
          </cell>
          <cell r="E172" t="str">
            <v>双耳游动自锁托板螺母</v>
          </cell>
          <cell r="F172" t="str">
            <v>AS3481-04</v>
          </cell>
          <cell r="G172" t="str">
            <v>AS3481-04</v>
          </cell>
        </row>
        <row r="172">
          <cell r="J172" t="str">
            <v>组件</v>
          </cell>
          <cell r="K172">
            <v>100</v>
          </cell>
          <cell r="L172">
            <v>45927</v>
          </cell>
          <cell r="M172" t="str">
            <v>4-检验完成</v>
          </cell>
        </row>
        <row r="172">
          <cell r="P172" t="str">
            <v>哈尔滨东安实业发展有限公司</v>
          </cell>
          <cell r="Q172">
            <v>10</v>
          </cell>
          <cell r="R172">
            <v>45927</v>
          </cell>
        </row>
        <row r="172">
          <cell r="U172">
            <v>10000857214</v>
          </cell>
          <cell r="V172" t="str">
            <v>PANQIFANG</v>
          </cell>
        </row>
        <row r="172">
          <cell r="X172" t="str">
            <v>CP-108-A</v>
          </cell>
        </row>
        <row r="172">
          <cell r="Z172">
            <v>1906</v>
          </cell>
          <cell r="AA172">
            <v>1100151697</v>
          </cell>
          <cell r="AB172">
            <v>100</v>
          </cell>
        </row>
        <row r="172">
          <cell r="AD172">
            <v>41.52</v>
          </cell>
          <cell r="AE172" t="str">
            <v>G-100016975-250820-0040</v>
          </cell>
        </row>
        <row r="173">
          <cell r="B173">
            <v>7101015711</v>
          </cell>
          <cell r="C173" t="str">
            <v>G2508-1745</v>
          </cell>
          <cell r="D173">
            <v>42944288117418</v>
          </cell>
          <cell r="E173" t="str">
            <v>双耳游动自锁托板螺母</v>
          </cell>
          <cell r="F173" t="str">
            <v>AS3481-04</v>
          </cell>
          <cell r="G173" t="str">
            <v>AS3481-04</v>
          </cell>
        </row>
        <row r="173">
          <cell r="J173" t="str">
            <v>组件</v>
          </cell>
          <cell r="K173">
            <v>82</v>
          </cell>
          <cell r="L173">
            <v>45927</v>
          </cell>
          <cell r="M173" t="str">
            <v>4-检验完成</v>
          </cell>
        </row>
        <row r="173">
          <cell r="P173" t="str">
            <v>哈尔滨东安实业发展有限公司</v>
          </cell>
          <cell r="Q173">
            <v>10</v>
          </cell>
          <cell r="R173">
            <v>45927</v>
          </cell>
        </row>
        <row r="173">
          <cell r="U173">
            <v>10000857214</v>
          </cell>
          <cell r="V173" t="str">
            <v>PANQIFANG</v>
          </cell>
        </row>
        <row r="173">
          <cell r="X173" t="str">
            <v>CP-108-A</v>
          </cell>
        </row>
        <row r="173">
          <cell r="Z173">
            <v>1906</v>
          </cell>
          <cell r="AA173">
            <v>1100142186</v>
          </cell>
          <cell r="AB173">
            <v>82</v>
          </cell>
        </row>
        <row r="173">
          <cell r="AD173">
            <v>41.52</v>
          </cell>
          <cell r="AE173" t="str">
            <v>G-100016975-250225-0014</v>
          </cell>
        </row>
        <row r="174">
          <cell r="B174">
            <v>7101015710</v>
          </cell>
          <cell r="C174" t="str">
            <v>G2508-1745</v>
          </cell>
          <cell r="D174">
            <v>42944288117418</v>
          </cell>
          <cell r="E174" t="str">
            <v>双耳游动自锁托板螺母</v>
          </cell>
          <cell r="F174" t="str">
            <v>AS3481-04</v>
          </cell>
          <cell r="G174" t="str">
            <v>AS3481-04</v>
          </cell>
        </row>
        <row r="174">
          <cell r="J174" t="str">
            <v>组件</v>
          </cell>
          <cell r="K174">
            <v>50</v>
          </cell>
          <cell r="L174">
            <v>45927</v>
          </cell>
          <cell r="M174" t="str">
            <v>4-检验完成</v>
          </cell>
        </row>
        <row r="174">
          <cell r="P174" t="str">
            <v>哈尔滨东安实业发展有限公司</v>
          </cell>
          <cell r="Q174">
            <v>30</v>
          </cell>
          <cell r="R174">
            <v>45927</v>
          </cell>
        </row>
        <row r="174">
          <cell r="U174">
            <v>10000857214</v>
          </cell>
          <cell r="V174" t="str">
            <v>PANQIFANG</v>
          </cell>
        </row>
        <row r="174">
          <cell r="X174" t="str">
            <v>CP-108-A</v>
          </cell>
        </row>
        <row r="174">
          <cell r="Z174">
            <v>1906</v>
          </cell>
          <cell r="AA174">
            <v>1100139149</v>
          </cell>
          <cell r="AB174">
            <v>50</v>
          </cell>
        </row>
        <row r="174">
          <cell r="AD174">
            <v>41.52</v>
          </cell>
          <cell r="AE174" t="str">
            <v>G-100016975-241223-0215</v>
          </cell>
        </row>
        <row r="175">
          <cell r="B175">
            <v>7101015709</v>
          </cell>
          <cell r="C175" t="str">
            <v>G2502-1648</v>
          </cell>
          <cell r="D175">
            <v>42944000046747</v>
          </cell>
          <cell r="E175" t="str">
            <v>带键锁紧螺套</v>
          </cell>
          <cell r="F175" t="str">
            <v>HCB-42-819</v>
          </cell>
          <cell r="G175" t="str">
            <v>-</v>
          </cell>
        </row>
        <row r="175">
          <cell r="J175" t="str">
            <v>组件</v>
          </cell>
          <cell r="K175">
            <v>21</v>
          </cell>
          <cell r="L175">
            <v>45927</v>
          </cell>
          <cell r="M175" t="str">
            <v>4-检验完成</v>
          </cell>
        </row>
        <row r="175">
          <cell r="P175" t="str">
            <v>哈尔滨东安实业发展有限公司</v>
          </cell>
          <cell r="Q175">
            <v>190</v>
          </cell>
          <cell r="R175">
            <v>45927</v>
          </cell>
        </row>
        <row r="175">
          <cell r="U175">
            <v>10000783713</v>
          </cell>
          <cell r="V175" t="str">
            <v>PANQIFANG</v>
          </cell>
        </row>
        <row r="175">
          <cell r="X175" t="str">
            <v>CP-108-A</v>
          </cell>
        </row>
        <row r="175">
          <cell r="Z175">
            <v>1906</v>
          </cell>
          <cell r="AA175">
            <v>1100141177</v>
          </cell>
          <cell r="AB175">
            <v>50</v>
          </cell>
        </row>
        <row r="175">
          <cell r="AD175">
            <v>50</v>
          </cell>
          <cell r="AE175" t="str">
            <v>G-100016975-250210-0006-1</v>
          </cell>
        </row>
        <row r="176">
          <cell r="B176">
            <v>7101016189</v>
          </cell>
          <cell r="C176" t="str">
            <v>G2409-2571</v>
          </cell>
          <cell r="D176">
            <v>42944000046748</v>
          </cell>
          <cell r="E176" t="str">
            <v>带键锁紧螺套</v>
          </cell>
          <cell r="F176" t="str">
            <v>HCB-42-820</v>
          </cell>
          <cell r="G176" t="str">
            <v>-</v>
          </cell>
        </row>
        <row r="176">
          <cell r="J176" t="str">
            <v>组件</v>
          </cell>
          <cell r="K176">
            <v>12</v>
          </cell>
          <cell r="L176">
            <v>45928</v>
          </cell>
          <cell r="M176" t="str">
            <v>3-配货完成</v>
          </cell>
        </row>
        <row r="176">
          <cell r="P176" t="str">
            <v>哈尔滨东安实业发展有限公司</v>
          </cell>
          <cell r="Q176">
            <v>20</v>
          </cell>
        </row>
        <row r="176">
          <cell r="U176">
            <v>10000738840</v>
          </cell>
          <cell r="V176" t="str">
            <v>PANQIFANG</v>
          </cell>
        </row>
        <row r="176">
          <cell r="X176" t="str">
            <v>CP-108-A</v>
          </cell>
        </row>
        <row r="176">
          <cell r="Z176">
            <v>1906</v>
          </cell>
          <cell r="AA176">
            <v>1100149659</v>
          </cell>
          <cell r="AB176">
            <v>36</v>
          </cell>
          <cell r="AC176" t="str">
            <v>GJ2409-02571</v>
          </cell>
          <cell r="AD176">
            <v>70</v>
          </cell>
          <cell r="AE176" t="str">
            <v>G-100016975-250704-0030</v>
          </cell>
        </row>
        <row r="177">
          <cell r="B177" t="str">
            <v>7101016897</v>
          </cell>
          <cell r="C177" t="str">
            <v>G2507-0402</v>
          </cell>
          <cell r="D177" t="str">
            <v>000042944288117418</v>
          </cell>
          <cell r="E177" t="str">
            <v>双耳游动自锁托板螺母</v>
          </cell>
          <cell r="F177" t="str">
            <v>AS3481-04</v>
          </cell>
          <cell r="G177" t="str">
            <v>AS3481-04</v>
          </cell>
          <cell r="H177" t="str">
            <v/>
          </cell>
          <cell r="I177" t="str">
            <v/>
          </cell>
          <cell r="J177" t="str">
            <v>组件</v>
          </cell>
          <cell r="K177">
            <v>13</v>
          </cell>
          <cell r="L177">
            <v>45929</v>
          </cell>
          <cell r="M177" t="str">
            <v>4-检验完成</v>
          </cell>
        </row>
        <row r="177">
          <cell r="O177">
            <v>0</v>
          </cell>
          <cell r="P177" t="str">
            <v>哈尔滨东安实业发展有限公司</v>
          </cell>
          <cell r="Q177" t="str">
            <v>10</v>
          </cell>
          <cell r="R177">
            <v>45930</v>
          </cell>
        </row>
        <row r="177">
          <cell r="U177" t="str">
            <v>010000841122</v>
          </cell>
          <cell r="V177" t="str">
            <v>PANQIFANG</v>
          </cell>
          <cell r="W177" t="str">
            <v/>
          </cell>
          <cell r="X177" t="str">
            <v>CP-32-2-1-6</v>
          </cell>
          <cell r="Y177" t="str">
            <v/>
          </cell>
          <cell r="Z177" t="str">
            <v>1906</v>
          </cell>
          <cell r="AA177" t="str">
            <v>1100153593</v>
          </cell>
          <cell r="AB177">
            <v>16</v>
          </cell>
          <cell r="AC177" t="str">
            <v/>
          </cell>
          <cell r="AD177">
            <v>41.52</v>
          </cell>
          <cell r="AE177" t="str">
            <v>G-100016975-250928-0055</v>
          </cell>
        </row>
        <row r="178">
          <cell r="B178" t="str">
            <v>7101016174</v>
          </cell>
          <cell r="C178" t="str">
            <v>G2501-3259</v>
          </cell>
          <cell r="D178" t="str">
            <v>000042944039095271</v>
          </cell>
          <cell r="E178" t="str">
            <v>带键自锁螺套</v>
          </cell>
          <cell r="F178" t="str">
            <v>Q/S15.1119A-6</v>
          </cell>
          <cell r="G178" t="str">
            <v>A-6</v>
          </cell>
          <cell r="H178" t="str">
            <v/>
          </cell>
          <cell r="I178" t="str">
            <v/>
          </cell>
          <cell r="J178" t="str">
            <v>组件</v>
          </cell>
          <cell r="K178">
            <v>172</v>
          </cell>
          <cell r="L178">
            <v>45928</v>
          </cell>
          <cell r="M178" t="str">
            <v>3-配货完成</v>
          </cell>
        </row>
        <row r="178">
          <cell r="O178">
            <v>0</v>
          </cell>
          <cell r="P178" t="str">
            <v>哈尔滨东安实业发展有限公司</v>
          </cell>
          <cell r="Q178" t="str">
            <v>10</v>
          </cell>
        </row>
        <row r="178">
          <cell r="U178" t="str">
            <v>010000779168</v>
          </cell>
          <cell r="V178" t="str">
            <v>PANQIFANG</v>
          </cell>
          <cell r="W178" t="str">
            <v/>
          </cell>
          <cell r="X178" t="str">
            <v>CP-108-A</v>
          </cell>
          <cell r="Y178" t="str">
            <v/>
          </cell>
          <cell r="Z178" t="str">
            <v>1906</v>
          </cell>
          <cell r="AA178" t="str">
            <v>1100153106</v>
          </cell>
          <cell r="AB178">
            <v>300</v>
          </cell>
          <cell r="AC178" t="str">
            <v/>
          </cell>
          <cell r="AD178">
            <v>90</v>
          </cell>
          <cell r="AE178" t="str">
            <v>G-100016975-250917-0049</v>
          </cell>
        </row>
        <row r="179">
          <cell r="B179" t="str">
            <v>7101015982</v>
          </cell>
          <cell r="C179" t="str">
            <v>G2502-0074</v>
          </cell>
          <cell r="D179" t="str">
            <v>000042944319132758</v>
          </cell>
          <cell r="E179" t="str">
            <v>环槽螺母</v>
          </cell>
          <cell r="F179" t="str">
            <v>AS4370S06-NL</v>
          </cell>
          <cell r="G179" t="str">
            <v>AS4370S06-NL</v>
          </cell>
          <cell r="H179" t="str">
            <v/>
          </cell>
          <cell r="I179" t="str">
            <v>钝化+涂固体膜润滑</v>
          </cell>
          <cell r="J179" t="str">
            <v>AISI347</v>
          </cell>
          <cell r="K179">
            <v>14</v>
          </cell>
          <cell r="L179">
            <v>45928</v>
          </cell>
          <cell r="M179" t="str">
            <v>3-配货完成</v>
          </cell>
        </row>
        <row r="179">
          <cell r="O179">
            <v>0</v>
          </cell>
          <cell r="P179" t="str">
            <v>哈尔滨东安实业发展有限公司</v>
          </cell>
          <cell r="Q179" t="str">
            <v>10</v>
          </cell>
        </row>
        <row r="179">
          <cell r="U179" t="str">
            <v>010000780296</v>
          </cell>
          <cell r="V179" t="str">
            <v>PANQIFANG</v>
          </cell>
          <cell r="W179" t="str">
            <v/>
          </cell>
          <cell r="X179" t="str">
            <v>CP-19-2-4-7</v>
          </cell>
          <cell r="Y179" t="str">
            <v/>
          </cell>
          <cell r="Z179" t="str">
            <v>1906</v>
          </cell>
          <cell r="AA179" t="str">
            <v>1100153447</v>
          </cell>
          <cell r="AB179">
            <v>44</v>
          </cell>
          <cell r="AC179" t="str">
            <v/>
          </cell>
          <cell r="AD179">
            <v>180</v>
          </cell>
          <cell r="AE179" t="str">
            <v>G-100016975-250924-0052</v>
          </cell>
        </row>
        <row r="180">
          <cell r="B180" t="str">
            <v>7101008466</v>
          </cell>
          <cell r="C180" t="str">
            <v>G2501-2547</v>
          </cell>
          <cell r="D180" t="str">
            <v>000042944319134853</v>
          </cell>
          <cell r="E180" t="str">
            <v>外套螺母</v>
          </cell>
          <cell r="F180" t="str">
            <v>SPE4006(D版)</v>
          </cell>
          <cell r="G180" t="str">
            <v>CEE4006R05NL</v>
          </cell>
          <cell r="H180" t="str">
            <v/>
          </cell>
          <cell r="I180" t="str">
            <v>钝化+干膜润滑</v>
          </cell>
          <cell r="J180" t="str">
            <v>321</v>
          </cell>
          <cell r="K180">
            <v>50</v>
          </cell>
          <cell r="L180">
            <v>45915</v>
          </cell>
          <cell r="M180" t="str">
            <v>3-配货完成</v>
          </cell>
        </row>
        <row r="180">
          <cell r="O180">
            <v>0</v>
          </cell>
          <cell r="P180" t="str">
            <v>哈尔滨东安实业发展有限公司</v>
          </cell>
          <cell r="Q180" t="str">
            <v>10</v>
          </cell>
        </row>
        <row r="180">
          <cell r="U180" t="str">
            <v>010000777484</v>
          </cell>
          <cell r="V180" t="str">
            <v>PANQIFANG</v>
          </cell>
          <cell r="W180" t="str">
            <v/>
          </cell>
          <cell r="X180" t="str">
            <v>CP-K4-1-5-3</v>
          </cell>
          <cell r="Y180" t="str">
            <v/>
          </cell>
          <cell r="Z180" t="str">
            <v>1906</v>
          </cell>
          <cell r="AA180" t="str">
            <v>1100152856</v>
          </cell>
          <cell r="AB180">
            <v>50</v>
          </cell>
          <cell r="AC180" t="str">
            <v/>
          </cell>
          <cell r="AD180">
            <v>20</v>
          </cell>
          <cell r="AE180" t="str">
            <v>G-100016975-250911-0047</v>
          </cell>
        </row>
        <row r="181">
          <cell r="B181" t="str">
            <v>7101007984</v>
          </cell>
          <cell r="C181" t="str">
            <v>G2504-3532</v>
          </cell>
          <cell r="D181" t="str">
            <v>000042944360000238</v>
          </cell>
          <cell r="E181" t="str">
            <v>止动销</v>
          </cell>
          <cell r="F181" t="str">
            <v>8S.DFD20.7.009</v>
          </cell>
          <cell r="G181" t="str">
            <v>-</v>
          </cell>
          <cell r="H181" t="str">
            <v/>
          </cell>
          <cell r="I181" t="str">
            <v/>
          </cell>
          <cell r="J181" t="str">
            <v>0Cr18Ni9</v>
          </cell>
          <cell r="K181">
            <v>10</v>
          </cell>
          <cell r="L181">
            <v>45912</v>
          </cell>
          <cell r="M181" t="str">
            <v>3-配货完成</v>
          </cell>
        </row>
        <row r="181">
          <cell r="O181">
            <v>0</v>
          </cell>
          <cell r="P181" t="str">
            <v>哈尔滨东安实业发展有限公司</v>
          </cell>
          <cell r="Q181" t="str">
            <v>10</v>
          </cell>
        </row>
        <row r="181">
          <cell r="U181" t="str">
            <v>010000814110</v>
          </cell>
          <cell r="V181" t="str">
            <v>PANQIFANG</v>
          </cell>
          <cell r="W181" t="str">
            <v/>
          </cell>
          <cell r="X181" t="str">
            <v>CP-108-A</v>
          </cell>
          <cell r="Y181" t="str">
            <v/>
          </cell>
          <cell r="Z181" t="str">
            <v>1906</v>
          </cell>
          <cell r="AA181" t="str">
            <v>1100145380</v>
          </cell>
          <cell r="AB181">
            <v>10</v>
          </cell>
          <cell r="AC181" t="str">
            <v/>
          </cell>
          <cell r="AD181">
            <v>10.66</v>
          </cell>
          <cell r="AE181" t="str">
            <v>G-100016975-250416-0020</v>
          </cell>
        </row>
        <row r="182">
          <cell r="B182" t="str">
            <v>7101024511</v>
          </cell>
          <cell r="C182" t="str">
            <v>G2510-0682</v>
          </cell>
          <cell r="D182" t="str">
            <v>000042944288117418</v>
          </cell>
          <cell r="E182" t="str">
            <v>双耳游动自锁托板螺母</v>
          </cell>
          <cell r="F182" t="str">
            <v>AS3481-04</v>
          </cell>
          <cell r="G182" t="str">
            <v>AS3481-04</v>
          </cell>
          <cell r="H182" t="str">
            <v/>
          </cell>
          <cell r="I182" t="str">
            <v/>
          </cell>
          <cell r="J182" t="str">
            <v>组件</v>
          </cell>
          <cell r="K182">
            <v>3</v>
          </cell>
          <cell r="L182">
            <v>45950</v>
          </cell>
          <cell r="M182" t="str">
            <v>3-配货完成</v>
          </cell>
        </row>
        <row r="182">
          <cell r="O182">
            <v>0</v>
          </cell>
          <cell r="P182" t="str">
            <v>哈尔滨东安实业发展有限公司</v>
          </cell>
          <cell r="Q182" t="str">
            <v>10</v>
          </cell>
        </row>
        <row r="182">
          <cell r="U182" t="str">
            <v>010000873800</v>
          </cell>
          <cell r="V182" t="str">
            <v>BIAOQIAN1</v>
          </cell>
          <cell r="W182" t="str">
            <v/>
          </cell>
          <cell r="X182" t="str">
            <v>CP-108-A</v>
          </cell>
          <cell r="Y182" t="str">
            <v/>
          </cell>
          <cell r="Z182" t="str">
            <v>1906</v>
          </cell>
          <cell r="AA182" t="str">
            <v>1100153593</v>
          </cell>
          <cell r="AB182">
            <v>16</v>
          </cell>
          <cell r="AC182" t="str">
            <v/>
          </cell>
          <cell r="AD182">
            <v>41.52</v>
          </cell>
          <cell r="AE182" t="str">
            <v>G-100016975-250928-0055</v>
          </cell>
        </row>
        <row r="183">
          <cell r="B183" t="str">
            <v>7101024508</v>
          </cell>
          <cell r="C183" t="str">
            <v>G2510-0682</v>
          </cell>
          <cell r="D183" t="str">
            <v>000042944288117418</v>
          </cell>
          <cell r="E183" t="str">
            <v>双耳游动自锁托板螺母</v>
          </cell>
          <cell r="F183" t="str">
            <v>AS3481-04</v>
          </cell>
          <cell r="G183" t="str">
            <v>AS3481-04</v>
          </cell>
          <cell r="H183" t="str">
            <v/>
          </cell>
          <cell r="I183" t="str">
            <v/>
          </cell>
          <cell r="J183" t="str">
            <v>组件</v>
          </cell>
          <cell r="K183">
            <v>100</v>
          </cell>
          <cell r="L183">
            <v>45950</v>
          </cell>
          <cell r="M183" t="str">
            <v>3-配货完成</v>
          </cell>
        </row>
        <row r="183">
          <cell r="O183">
            <v>0</v>
          </cell>
          <cell r="P183" t="str">
            <v>哈尔滨东安实业发展有限公司</v>
          </cell>
          <cell r="Q183" t="str">
            <v>40</v>
          </cell>
        </row>
        <row r="183">
          <cell r="U183" t="str">
            <v>010000873800</v>
          </cell>
          <cell r="V183" t="str">
            <v>BIAOQIAN1</v>
          </cell>
          <cell r="W183" t="str">
            <v/>
          </cell>
          <cell r="X183" t="str">
            <v>CP-108-A</v>
          </cell>
          <cell r="Y183" t="str">
            <v/>
          </cell>
          <cell r="Z183" t="str">
            <v>1906</v>
          </cell>
          <cell r="AA183" t="str">
            <v>1100152712</v>
          </cell>
          <cell r="AB183">
            <v>150</v>
          </cell>
          <cell r="AC183" t="str">
            <v/>
          </cell>
          <cell r="AD183">
            <v>41.52</v>
          </cell>
          <cell r="AE183" t="str">
            <v>G-100016975-250905-0044</v>
          </cell>
        </row>
        <row r="184">
          <cell r="B184" t="str">
            <v>7101022912</v>
          </cell>
          <cell r="C184" t="str">
            <v>G2404-1980</v>
          </cell>
          <cell r="D184" t="str">
            <v>000042944999027928</v>
          </cell>
          <cell r="E184" t="str">
            <v>螺桩</v>
          </cell>
          <cell r="F184" t="str">
            <v>1BRZA12375</v>
          </cell>
          <cell r="G184" t="str">
            <v>06-034</v>
          </cell>
          <cell r="H184" t="str">
            <v>σb=980±100MPa</v>
          </cell>
          <cell r="I184" t="str">
            <v>Ep·Cd5-8·c2C</v>
          </cell>
          <cell r="J184" t="str">
            <v>40CrNiMoA</v>
          </cell>
          <cell r="K184">
            <v>22</v>
          </cell>
          <cell r="L184">
            <v>45947</v>
          </cell>
          <cell r="M184" t="str">
            <v>3-配货完成</v>
          </cell>
        </row>
        <row r="184">
          <cell r="O184">
            <v>0</v>
          </cell>
          <cell r="P184" t="str">
            <v>哈尔滨东安实业发展有限公司</v>
          </cell>
          <cell r="Q184" t="str">
            <v>110</v>
          </cell>
        </row>
        <row r="184">
          <cell r="U184" t="str">
            <v>010000693485</v>
          </cell>
          <cell r="V184" t="str">
            <v>BIAOQIAN1</v>
          </cell>
          <cell r="W184" t="str">
            <v/>
          </cell>
          <cell r="X184" t="str">
            <v>CP-108-A</v>
          </cell>
          <cell r="Y184" t="str">
            <v/>
          </cell>
          <cell r="Z184" t="str">
            <v>1906</v>
          </cell>
          <cell r="AA184" t="str">
            <v>1100141177</v>
          </cell>
          <cell r="AB184">
            <v>800</v>
          </cell>
          <cell r="AC184" t="str">
            <v/>
          </cell>
          <cell r="AD184">
            <v>80</v>
          </cell>
          <cell r="AE184" t="str">
            <v>G-100016975-250210-0006-1</v>
          </cell>
        </row>
        <row r="185">
          <cell r="B185" t="str">
            <v>7101022910</v>
          </cell>
          <cell r="C185" t="str">
            <v>G2505-1321</v>
          </cell>
          <cell r="D185" t="str">
            <v>000042944360151880</v>
          </cell>
          <cell r="E185" t="str">
            <v>圆柱销</v>
          </cell>
          <cell r="F185" t="str">
            <v>Q/8S1337.1-2024</v>
          </cell>
          <cell r="G185" t="str">
            <v>A-014</v>
          </cell>
          <cell r="H185" t="str">
            <v>27-35HRC</v>
          </cell>
          <cell r="I185" t="str">
            <v>Ct·P</v>
          </cell>
          <cell r="J185" t="str">
            <v>GH2132</v>
          </cell>
          <cell r="K185">
            <v>15</v>
          </cell>
          <cell r="L185">
            <v>45947</v>
          </cell>
          <cell r="M185" t="str">
            <v>1-已打印</v>
          </cell>
        </row>
        <row r="185">
          <cell r="O185">
            <v>0</v>
          </cell>
          <cell r="P185" t="str">
            <v>哈尔滨东安实业发展有限公司</v>
          </cell>
          <cell r="Q185" t="str">
            <v>30</v>
          </cell>
        </row>
        <row r="185">
          <cell r="U185" t="str">
            <v>010000827084</v>
          </cell>
          <cell r="V185" t="str">
            <v/>
          </cell>
          <cell r="W185" t="str">
            <v/>
          </cell>
          <cell r="X185" t="str">
            <v>CP-108-A</v>
          </cell>
          <cell r="Y185" t="str">
            <v/>
          </cell>
          <cell r="Z185" t="str">
            <v>1906</v>
          </cell>
          <cell r="AA185" t="str">
            <v>1100141949</v>
          </cell>
          <cell r="AB185">
            <v>15</v>
          </cell>
          <cell r="AC185" t="str">
            <v/>
          </cell>
          <cell r="AD185">
            <v>34.83</v>
          </cell>
          <cell r="AE185" t="str">
            <v>G-100016975-250221-0010-1</v>
          </cell>
        </row>
        <row r="186">
          <cell r="B186" t="str">
            <v>7101022908</v>
          </cell>
          <cell r="C186" t="str">
            <v>G2504-0208</v>
          </cell>
          <cell r="D186" t="str">
            <v>000042944360046158</v>
          </cell>
          <cell r="E186" t="str">
            <v>止动销</v>
          </cell>
          <cell r="F186" t="str">
            <v>2523310</v>
          </cell>
          <cell r="G186" t="str">
            <v>Ⅰ</v>
          </cell>
          <cell r="H186" t="str">
            <v/>
          </cell>
          <cell r="I186" t="str">
            <v>Ep·Zn·c2C</v>
          </cell>
          <cell r="J186" t="str">
            <v>HPb59-1</v>
          </cell>
          <cell r="K186">
            <v>58</v>
          </cell>
          <cell r="L186">
            <v>45947</v>
          </cell>
          <cell r="M186" t="str">
            <v>3-配货完成</v>
          </cell>
        </row>
        <row r="186">
          <cell r="O186">
            <v>0</v>
          </cell>
          <cell r="P186" t="str">
            <v>哈尔滨东安实业发展有限公司</v>
          </cell>
          <cell r="Q186" t="str">
            <v>170</v>
          </cell>
        </row>
        <row r="186">
          <cell r="U186" t="str">
            <v>010000804897</v>
          </cell>
          <cell r="V186" t="str">
            <v>PANQIFANG</v>
          </cell>
          <cell r="W186" t="str">
            <v/>
          </cell>
          <cell r="X186" t="str">
            <v>CP-K6-2-4-5</v>
          </cell>
          <cell r="Y186" t="str">
            <v/>
          </cell>
          <cell r="Z186" t="str">
            <v>1906</v>
          </cell>
          <cell r="AA186" t="str">
            <v>1100141177</v>
          </cell>
          <cell r="AB186">
            <v>58</v>
          </cell>
          <cell r="AC186" t="str">
            <v/>
          </cell>
          <cell r="AD186">
            <v>50</v>
          </cell>
          <cell r="AE186" t="str">
            <v>G-100016975-250210-0006-1</v>
          </cell>
        </row>
        <row r="187">
          <cell r="B187" t="str">
            <v>7101022902</v>
          </cell>
          <cell r="C187" t="str">
            <v>GW2408-003</v>
          </cell>
          <cell r="D187" t="str">
            <v>000042944360004322</v>
          </cell>
          <cell r="E187" t="str">
            <v>弹性圆柱销</v>
          </cell>
          <cell r="F187" t="str">
            <v>GB879-1986</v>
          </cell>
          <cell r="G187" t="str">
            <v>3×8</v>
          </cell>
          <cell r="H187" t="str">
            <v>420-560HV</v>
          </cell>
          <cell r="I187" t="str">
            <v>Ct·O</v>
          </cell>
          <cell r="J187" t="str">
            <v>65Mn</v>
          </cell>
          <cell r="K187">
            <v>190</v>
          </cell>
          <cell r="L187">
            <v>45947</v>
          </cell>
          <cell r="M187" t="str">
            <v>3-配货完成</v>
          </cell>
        </row>
        <row r="187">
          <cell r="O187">
            <v>0</v>
          </cell>
          <cell r="P187" t="str">
            <v>哈尔滨东安实业发展有限公司</v>
          </cell>
          <cell r="Q187" t="str">
            <v>10</v>
          </cell>
        </row>
        <row r="187">
          <cell r="U187" t="str">
            <v/>
          </cell>
          <cell r="V187" t="str">
            <v>BIAOQIAN1</v>
          </cell>
          <cell r="W187" t="str">
            <v/>
          </cell>
          <cell r="X187" t="str">
            <v>XH-000/CP-27-5-2-2</v>
          </cell>
          <cell r="Y187" t="str">
            <v/>
          </cell>
          <cell r="Z187" t="str">
            <v>1906</v>
          </cell>
          <cell r="AA187" t="str">
            <v>1100122539</v>
          </cell>
          <cell r="AB187">
            <v>200</v>
          </cell>
          <cell r="AC187" t="str">
            <v/>
          </cell>
          <cell r="AD187">
            <v>0.4</v>
          </cell>
          <cell r="AE187" t="str">
            <v>G1302-231220-286-H</v>
          </cell>
        </row>
        <row r="188">
          <cell r="B188" t="str">
            <v>7101022897</v>
          </cell>
          <cell r="C188" t="str">
            <v>GW2505-040</v>
          </cell>
          <cell r="D188" t="str">
            <v>000042944239004239</v>
          </cell>
          <cell r="E188" t="str">
            <v>光杆公差带r6抗剪型100°沉头高锁螺栓</v>
          </cell>
          <cell r="F188" t="str">
            <v>GJB134.2-1986</v>
          </cell>
          <cell r="G188" t="str">
            <v>6×14</v>
          </cell>
          <cell r="H188" t="str">
            <v>σb=1175±100MPa</v>
          </cell>
          <cell r="I188" t="str">
            <v>Ct·O+Dp·CA</v>
          </cell>
          <cell r="J188" t="str">
            <v>ML30CrMnSiA</v>
          </cell>
          <cell r="K188">
            <v>34</v>
          </cell>
          <cell r="L188">
            <v>45947</v>
          </cell>
          <cell r="M188" t="str">
            <v>3-配货完成</v>
          </cell>
        </row>
        <row r="188">
          <cell r="O188">
            <v>0</v>
          </cell>
          <cell r="P188" t="str">
            <v>哈尔滨东安实业发展有限公司</v>
          </cell>
          <cell r="Q188" t="str">
            <v>10</v>
          </cell>
        </row>
        <row r="188">
          <cell r="U188" t="str">
            <v/>
          </cell>
          <cell r="V188" t="str">
            <v>PANQIFANG</v>
          </cell>
          <cell r="W188" t="str">
            <v/>
          </cell>
          <cell r="X188" t="str">
            <v>XH-91-4-2-3</v>
          </cell>
          <cell r="Y188" t="str">
            <v/>
          </cell>
          <cell r="Z188" t="str">
            <v>1906</v>
          </cell>
          <cell r="AA188" t="str">
            <v>1100153644</v>
          </cell>
          <cell r="AB188">
            <v>85</v>
          </cell>
          <cell r="AC188" t="str">
            <v/>
          </cell>
          <cell r="AD188">
            <v>101.44</v>
          </cell>
          <cell r="AE188" t="str">
            <v>G-100016975-250925-0053</v>
          </cell>
        </row>
        <row r="189">
          <cell r="B189" t="str">
            <v>7101022886</v>
          </cell>
          <cell r="C189" t="str">
            <v>GW2505-040</v>
          </cell>
          <cell r="D189" t="str">
            <v>000042944239004239</v>
          </cell>
          <cell r="E189" t="str">
            <v>高锁螺栓</v>
          </cell>
          <cell r="F189" t="str">
            <v>GJB134.2-6×14</v>
          </cell>
          <cell r="G189" t="str">
            <v>6×14</v>
          </cell>
          <cell r="H189" t="str">
            <v>σb=1175±100MPa</v>
          </cell>
          <cell r="I189" t="str">
            <v>Ct·O+Dp·CA</v>
          </cell>
          <cell r="J189" t="str">
            <v>ML30CrMnSiA</v>
          </cell>
          <cell r="K189">
            <v>51</v>
          </cell>
          <cell r="L189">
            <v>45947</v>
          </cell>
          <cell r="M189" t="str">
            <v>3-配货完成</v>
          </cell>
        </row>
        <row r="189">
          <cell r="O189">
            <v>0</v>
          </cell>
          <cell r="P189" t="str">
            <v>哈尔滨东安实业发展有限公司</v>
          </cell>
          <cell r="Q189" t="str">
            <v>30</v>
          </cell>
        </row>
        <row r="189">
          <cell r="U189" t="str">
            <v/>
          </cell>
          <cell r="V189" t="str">
            <v>PANQIFANG</v>
          </cell>
          <cell r="W189" t="str">
            <v/>
          </cell>
          <cell r="X189" t="str">
            <v>XH-91-4-2-3</v>
          </cell>
          <cell r="Y189" t="str">
            <v/>
          </cell>
          <cell r="Z189" t="str">
            <v>1906</v>
          </cell>
          <cell r="AA189" t="str">
            <v>1100145380</v>
          </cell>
          <cell r="AB189">
            <v>51</v>
          </cell>
          <cell r="AC189" t="str">
            <v/>
          </cell>
          <cell r="AD189">
            <v>101.4</v>
          </cell>
          <cell r="AE189" t="str">
            <v>G-100016975-250416-0020</v>
          </cell>
        </row>
        <row r="190">
          <cell r="B190" t="str">
            <v>7101022868</v>
          </cell>
          <cell r="C190" t="str">
            <v>G2501-0040</v>
          </cell>
          <cell r="D190" t="str">
            <v>000042944440114463</v>
          </cell>
          <cell r="E190" t="str">
            <v>钢丝挡圈</v>
          </cell>
          <cell r="F190" t="str">
            <v>Q/2S5335-2013</v>
          </cell>
          <cell r="G190" t="str">
            <v>6</v>
          </cell>
          <cell r="H190" t="str">
            <v/>
          </cell>
          <cell r="I190" t="str">
            <v/>
          </cell>
          <cell r="J190" t="str">
            <v>GH4145</v>
          </cell>
          <cell r="K190">
            <v>86</v>
          </cell>
          <cell r="L190">
            <v>45947</v>
          </cell>
          <cell r="M190" t="str">
            <v>3-配货完成</v>
          </cell>
        </row>
        <row r="190">
          <cell r="O190">
            <v>0</v>
          </cell>
          <cell r="P190" t="str">
            <v>哈尔滨东安实业发展有限公司</v>
          </cell>
          <cell r="Q190" t="str">
            <v>10</v>
          </cell>
        </row>
        <row r="190">
          <cell r="U190" t="str">
            <v>010000768764</v>
          </cell>
          <cell r="V190" t="str">
            <v>PANQIFANG</v>
          </cell>
          <cell r="W190" t="str">
            <v/>
          </cell>
          <cell r="X190" t="str">
            <v>CP-C5-3-3-4</v>
          </cell>
          <cell r="Y190" t="str">
            <v/>
          </cell>
          <cell r="Z190" t="str">
            <v>1906</v>
          </cell>
          <cell r="AA190" t="str">
            <v>1100153577</v>
          </cell>
          <cell r="AB190">
            <v>300</v>
          </cell>
          <cell r="AC190" t="str">
            <v/>
          </cell>
          <cell r="AD190">
            <v>25</v>
          </cell>
          <cell r="AE190" t="str">
            <v>G-100016975-250926-0054</v>
          </cell>
        </row>
        <row r="191">
          <cell r="B191" t="str">
            <v>7101021860</v>
          </cell>
          <cell r="C191" t="str">
            <v>GW2503-067</v>
          </cell>
          <cell r="D191" t="str">
            <v>000042944360002185</v>
          </cell>
          <cell r="E191" t="str">
            <v>弹性圆柱销-直槽-重型</v>
          </cell>
          <cell r="F191" t="str">
            <v>GB/T879.1-2000</v>
          </cell>
          <cell r="G191" t="str">
            <v>3×12</v>
          </cell>
          <cell r="H191" t="str">
            <v>420-520HV30</v>
          </cell>
          <cell r="I191" t="str">
            <v>Ct·O</v>
          </cell>
          <cell r="J191" t="str">
            <v>65Mn</v>
          </cell>
          <cell r="K191">
            <v>100</v>
          </cell>
          <cell r="L191">
            <v>45946</v>
          </cell>
          <cell r="M191" t="str">
            <v>3-配货完成</v>
          </cell>
        </row>
        <row r="191">
          <cell r="O191">
            <v>0</v>
          </cell>
          <cell r="P191" t="str">
            <v>哈尔滨东安实业发展有限公司</v>
          </cell>
          <cell r="Q191" t="str">
            <v>20</v>
          </cell>
        </row>
        <row r="191">
          <cell r="U191" t="str">
            <v/>
          </cell>
          <cell r="V191" t="str">
            <v>PANQIFANG</v>
          </cell>
          <cell r="W191" t="str">
            <v/>
          </cell>
          <cell r="X191" t="str">
            <v>CP-C8-4-4-3</v>
          </cell>
          <cell r="Y191" t="str">
            <v/>
          </cell>
          <cell r="Z191" t="str">
            <v>1906</v>
          </cell>
          <cell r="AA191" t="str">
            <v>1100122539</v>
          </cell>
          <cell r="AB191">
            <v>100</v>
          </cell>
          <cell r="AC191" t="str">
            <v/>
          </cell>
          <cell r="AD191">
            <v>0.35</v>
          </cell>
          <cell r="AE191" t="str">
            <v>G1302-231220-286-H</v>
          </cell>
        </row>
        <row r="192">
          <cell r="B192" t="str">
            <v>7101021859</v>
          </cell>
          <cell r="C192" t="str">
            <v>G2402-1226</v>
          </cell>
          <cell r="D192" t="str">
            <v>000042944999002605</v>
          </cell>
          <cell r="E192" t="str">
            <v>带键锁紧螺桩</v>
          </cell>
          <cell r="F192" t="str">
            <v>8S.DFD20.3.802</v>
          </cell>
          <cell r="G192" t="str">
            <v>-</v>
          </cell>
          <cell r="H192" t="str">
            <v/>
          </cell>
          <cell r="I192" t="str">
            <v/>
          </cell>
          <cell r="J192" t="str">
            <v>组件</v>
          </cell>
          <cell r="K192">
            <v>150</v>
          </cell>
          <cell r="L192">
            <v>45946</v>
          </cell>
          <cell r="M192" t="str">
            <v>1-已打印</v>
          </cell>
        </row>
        <row r="192">
          <cell r="O192">
            <v>0</v>
          </cell>
          <cell r="P192" t="str">
            <v>哈尔滨东安实业发展有限公司</v>
          </cell>
          <cell r="Q192" t="str">
            <v>90</v>
          </cell>
        </row>
        <row r="192">
          <cell r="U192" t="str">
            <v>010000675296</v>
          </cell>
          <cell r="V192" t="str">
            <v/>
          </cell>
          <cell r="W192" t="str">
            <v/>
          </cell>
          <cell r="X192" t="str">
            <v>CP-108-A</v>
          </cell>
          <cell r="Y192" t="str">
            <v/>
          </cell>
          <cell r="Z192" t="str">
            <v>1906</v>
          </cell>
          <cell r="AA192" t="str">
            <v>1100124770</v>
          </cell>
          <cell r="AB192">
            <v>150</v>
          </cell>
          <cell r="AC192" t="str">
            <v/>
          </cell>
          <cell r="AD192">
            <v>197</v>
          </cell>
          <cell r="AE192" t="str">
            <v>G1302-240205-037</v>
          </cell>
        </row>
        <row r="193">
          <cell r="B193" t="str">
            <v>7101020770</v>
          </cell>
          <cell r="C193" t="str">
            <v>G2411-2338</v>
          </cell>
          <cell r="D193" t="str">
            <v>000042944039095271</v>
          </cell>
          <cell r="E193" t="str">
            <v>带键自锁螺套</v>
          </cell>
          <cell r="F193" t="str">
            <v>Q/S15.1119A-6</v>
          </cell>
          <cell r="G193" t="str">
            <v>A-6</v>
          </cell>
          <cell r="H193" t="str">
            <v/>
          </cell>
          <cell r="I193" t="str">
            <v/>
          </cell>
          <cell r="J193" t="str">
            <v>组件</v>
          </cell>
          <cell r="K193">
            <v>120</v>
          </cell>
          <cell r="L193">
            <v>45944</v>
          </cell>
          <cell r="M193" t="str">
            <v>1-已打印</v>
          </cell>
        </row>
        <row r="193">
          <cell r="O193">
            <v>0</v>
          </cell>
          <cell r="P193" t="str">
            <v>哈尔滨东安实业发展有限公司</v>
          </cell>
          <cell r="Q193" t="str">
            <v>20</v>
          </cell>
        </row>
        <row r="193">
          <cell r="U193" t="str">
            <v>010000754260</v>
          </cell>
          <cell r="V193" t="str">
            <v/>
          </cell>
          <cell r="W193" t="str">
            <v/>
          </cell>
          <cell r="X193" t="str">
            <v>CP-C8-4-4-4</v>
          </cell>
          <cell r="Y193" t="str">
            <v/>
          </cell>
          <cell r="Z193" t="str">
            <v>1906</v>
          </cell>
          <cell r="AA193" t="str">
            <v>1100153106</v>
          </cell>
          <cell r="AB193">
            <v>120</v>
          </cell>
          <cell r="AC193" t="str">
            <v>GJ2411-02338</v>
          </cell>
          <cell r="AD193">
            <v>90</v>
          </cell>
          <cell r="AE193" t="str">
            <v>G-100016975-250917-0049</v>
          </cell>
        </row>
        <row r="194">
          <cell r="B194" t="str">
            <v>7101019505</v>
          </cell>
          <cell r="C194" t="str">
            <v>G2411-1016</v>
          </cell>
          <cell r="D194" t="str">
            <v>000042944240000517</v>
          </cell>
          <cell r="E194" t="str">
            <v>双头螺柱</v>
          </cell>
          <cell r="F194" t="str">
            <v>Q/8S1209C-060120</v>
          </cell>
          <cell r="G194" t="str">
            <v>C-060120</v>
          </cell>
          <cell r="H194" t="str">
            <v/>
          </cell>
          <cell r="I194" t="str">
            <v>涂铝</v>
          </cell>
          <cell r="J194" t="str">
            <v>组件</v>
          </cell>
          <cell r="K194">
            <v>9</v>
          </cell>
          <cell r="L194">
            <v>45940</v>
          </cell>
          <cell r="M194" t="str">
            <v>3-配货完成</v>
          </cell>
        </row>
        <row r="194">
          <cell r="O194">
            <v>0</v>
          </cell>
          <cell r="P194" t="str">
            <v>哈尔滨东安实业发展有限公司</v>
          </cell>
          <cell r="Q194" t="str">
            <v>20</v>
          </cell>
        </row>
        <row r="194">
          <cell r="U194" t="str">
            <v>010000750642</v>
          </cell>
          <cell r="V194" t="str">
            <v>PANQIFANG</v>
          </cell>
          <cell r="W194" t="str">
            <v/>
          </cell>
          <cell r="X194" t="str">
            <v>CP-108-A</v>
          </cell>
          <cell r="Y194" t="str">
            <v/>
          </cell>
          <cell r="Z194" t="str">
            <v>1906</v>
          </cell>
          <cell r="AA194" t="str">
            <v>1100131570</v>
          </cell>
          <cell r="AB194">
            <v>50</v>
          </cell>
          <cell r="AC194" t="str">
            <v/>
          </cell>
          <cell r="AD194">
            <v>125</v>
          </cell>
          <cell r="AE194" t="str">
            <v>G-100016975-240708-0024-1</v>
          </cell>
        </row>
        <row r="195">
          <cell r="B195" t="str">
            <v>7101008466</v>
          </cell>
          <cell r="C195" t="str">
            <v>G2501-2547</v>
          </cell>
          <cell r="D195" t="str">
            <v>000042944319134853</v>
          </cell>
          <cell r="E195" t="str">
            <v>外套螺母</v>
          </cell>
          <cell r="F195" t="str">
            <v>SPE4006(D版)</v>
          </cell>
          <cell r="G195" t="str">
            <v>CEE4006R05NL</v>
          </cell>
          <cell r="H195" t="str">
            <v/>
          </cell>
          <cell r="I195" t="str">
            <v>钝化+干膜润滑</v>
          </cell>
          <cell r="J195" t="str">
            <v>321</v>
          </cell>
          <cell r="K195">
            <v>50</v>
          </cell>
          <cell r="L195">
            <v>45915</v>
          </cell>
          <cell r="M195" t="str">
            <v>4-检验完成</v>
          </cell>
        </row>
        <row r="195">
          <cell r="O195">
            <v>0</v>
          </cell>
          <cell r="P195" t="str">
            <v>哈尔滨东安实业发展有限公司</v>
          </cell>
          <cell r="Q195" t="str">
            <v>10</v>
          </cell>
          <cell r="R195">
            <v>45944</v>
          </cell>
        </row>
        <row r="195">
          <cell r="U195" t="str">
            <v>010000777484</v>
          </cell>
          <cell r="V195" t="str">
            <v>PANQIFANG</v>
          </cell>
          <cell r="W195" t="str">
            <v/>
          </cell>
          <cell r="X195" t="str">
            <v>CP-K4-1-5-3</v>
          </cell>
          <cell r="Y195" t="str">
            <v/>
          </cell>
          <cell r="Z195" t="str">
            <v>1906</v>
          </cell>
          <cell r="AA195" t="str">
            <v>1100152856</v>
          </cell>
          <cell r="AB195">
            <v>50</v>
          </cell>
          <cell r="AC195" t="str">
            <v/>
          </cell>
          <cell r="AD195">
            <v>20</v>
          </cell>
          <cell r="AE195" t="str">
            <v>G-100016975-250911-0047</v>
          </cell>
        </row>
        <row r="196">
          <cell r="B196" t="str">
            <v>7101007984</v>
          </cell>
          <cell r="C196" t="str">
            <v>G2504-3532</v>
          </cell>
          <cell r="D196" t="str">
            <v>000042944360000238</v>
          </cell>
          <cell r="E196" t="str">
            <v>止动销</v>
          </cell>
          <cell r="F196" t="str">
            <v>8S.DFD20.7.009</v>
          </cell>
          <cell r="G196" t="str">
            <v>-</v>
          </cell>
          <cell r="H196" t="str">
            <v/>
          </cell>
          <cell r="I196" t="str">
            <v/>
          </cell>
          <cell r="J196" t="str">
            <v>0Cr18Ni9</v>
          </cell>
          <cell r="K196">
            <v>10</v>
          </cell>
          <cell r="L196">
            <v>45912</v>
          </cell>
          <cell r="M196" t="str">
            <v>3-配货完成</v>
          </cell>
        </row>
        <row r="196">
          <cell r="O196">
            <v>0</v>
          </cell>
          <cell r="P196" t="str">
            <v>哈尔滨东安实业发展有限公司</v>
          </cell>
          <cell r="Q196" t="str">
            <v>10</v>
          </cell>
        </row>
        <row r="196">
          <cell r="U196" t="str">
            <v>010000814110</v>
          </cell>
          <cell r="V196" t="str">
            <v>PANQIFANG</v>
          </cell>
          <cell r="W196" t="str">
            <v/>
          </cell>
          <cell r="X196" t="str">
            <v>CP-108-A</v>
          </cell>
          <cell r="Y196" t="str">
            <v/>
          </cell>
          <cell r="Z196" t="str">
            <v>1906</v>
          </cell>
          <cell r="AA196" t="str">
            <v>1100145380</v>
          </cell>
          <cell r="AB196">
            <v>10</v>
          </cell>
          <cell r="AC196" t="str">
            <v/>
          </cell>
          <cell r="AD196">
            <v>10.66</v>
          </cell>
          <cell r="AE196" t="str">
            <v>G-100016975-250416-0020</v>
          </cell>
        </row>
        <row r="197">
          <cell r="B197" t="str">
            <v>7101024511</v>
          </cell>
          <cell r="C197" t="str">
            <v>G2510-0682</v>
          </cell>
          <cell r="D197" t="str">
            <v>000042944288117418</v>
          </cell>
          <cell r="E197" t="str">
            <v>双耳游动自锁托板螺母</v>
          </cell>
          <cell r="F197" t="str">
            <v>AS3481-04</v>
          </cell>
          <cell r="G197" t="str">
            <v>AS3481-04</v>
          </cell>
          <cell r="H197" t="str">
            <v/>
          </cell>
          <cell r="I197" t="str">
            <v/>
          </cell>
          <cell r="J197" t="str">
            <v>组件</v>
          </cell>
          <cell r="K197">
            <v>3</v>
          </cell>
          <cell r="L197">
            <v>45950</v>
          </cell>
          <cell r="M197" t="str">
            <v>4-检验完成</v>
          </cell>
        </row>
        <row r="197">
          <cell r="O197">
            <v>0</v>
          </cell>
          <cell r="P197" t="str">
            <v>哈尔滨东安实业发展有限公司</v>
          </cell>
          <cell r="Q197" t="str">
            <v>10</v>
          </cell>
          <cell r="R197">
            <v>45952</v>
          </cell>
        </row>
        <row r="197">
          <cell r="U197" t="str">
            <v>010000873800</v>
          </cell>
          <cell r="V197" t="str">
            <v>BIAOQIAN1</v>
          </cell>
          <cell r="W197" t="str">
            <v/>
          </cell>
          <cell r="X197" t="str">
            <v>CP-108-A</v>
          </cell>
          <cell r="Y197" t="str">
            <v/>
          </cell>
          <cell r="Z197" t="str">
            <v>1906</v>
          </cell>
          <cell r="AA197" t="str">
            <v>1100153593</v>
          </cell>
          <cell r="AB197">
            <v>16</v>
          </cell>
          <cell r="AC197" t="str">
            <v/>
          </cell>
          <cell r="AD197">
            <v>41.52</v>
          </cell>
          <cell r="AE197" t="str">
            <v>G-100016975-250928-0055</v>
          </cell>
        </row>
        <row r="198">
          <cell r="B198" t="str">
            <v>7101024508</v>
          </cell>
          <cell r="C198" t="str">
            <v>G2510-0682</v>
          </cell>
          <cell r="D198" t="str">
            <v>000042944288117418</v>
          </cell>
          <cell r="E198" t="str">
            <v>双耳游动自锁托板螺母</v>
          </cell>
          <cell r="F198" t="str">
            <v>AS3481-04</v>
          </cell>
          <cell r="G198" t="str">
            <v>AS3481-04</v>
          </cell>
          <cell r="H198" t="str">
            <v/>
          </cell>
          <cell r="I198" t="str">
            <v/>
          </cell>
          <cell r="J198" t="str">
            <v>组件</v>
          </cell>
          <cell r="K198">
            <v>100</v>
          </cell>
          <cell r="L198">
            <v>45950</v>
          </cell>
          <cell r="M198" t="str">
            <v>3-配货完成</v>
          </cell>
        </row>
        <row r="198">
          <cell r="O198">
            <v>0</v>
          </cell>
          <cell r="P198" t="str">
            <v>哈尔滨东安实业发展有限公司</v>
          </cell>
          <cell r="Q198" t="str">
            <v>40</v>
          </cell>
        </row>
        <row r="198">
          <cell r="U198" t="str">
            <v>010000873800</v>
          </cell>
          <cell r="V198" t="str">
            <v>BIAOQIAN1</v>
          </cell>
          <cell r="W198" t="str">
            <v/>
          </cell>
          <cell r="X198" t="str">
            <v>CP-108-A</v>
          </cell>
          <cell r="Y198" t="str">
            <v/>
          </cell>
          <cell r="Z198" t="str">
            <v>1906</v>
          </cell>
          <cell r="AA198" t="str">
            <v>1100152712</v>
          </cell>
          <cell r="AB198">
            <v>150</v>
          </cell>
          <cell r="AC198" t="str">
            <v/>
          </cell>
          <cell r="AD198">
            <v>41.52</v>
          </cell>
          <cell r="AE198" t="str">
            <v>G-100016975-250905-0044</v>
          </cell>
        </row>
        <row r="199">
          <cell r="B199" t="str">
            <v>7101022912</v>
          </cell>
          <cell r="C199" t="str">
            <v>G2404-1980</v>
          </cell>
          <cell r="D199" t="str">
            <v>000042944999027928</v>
          </cell>
          <cell r="E199" t="str">
            <v>螺桩</v>
          </cell>
          <cell r="F199" t="str">
            <v>1BRZA12375</v>
          </cell>
          <cell r="G199" t="str">
            <v>06-034</v>
          </cell>
          <cell r="H199" t="str">
            <v>σb=980±100MPa</v>
          </cell>
          <cell r="I199" t="str">
            <v>Ep·Cd5-8·c2C</v>
          </cell>
          <cell r="J199" t="str">
            <v>40CrNiMoA</v>
          </cell>
          <cell r="K199">
            <v>22</v>
          </cell>
          <cell r="L199">
            <v>45947</v>
          </cell>
          <cell r="M199" t="str">
            <v>3-配货完成</v>
          </cell>
        </row>
        <row r="199">
          <cell r="O199">
            <v>0</v>
          </cell>
          <cell r="P199" t="str">
            <v>哈尔滨东安实业发展有限公司</v>
          </cell>
          <cell r="Q199" t="str">
            <v>110</v>
          </cell>
        </row>
        <row r="199">
          <cell r="U199" t="str">
            <v>010000693485</v>
          </cell>
          <cell r="V199" t="str">
            <v>BIAOQIAN1</v>
          </cell>
          <cell r="W199" t="str">
            <v/>
          </cell>
          <cell r="X199" t="str">
            <v>CP-108-A</v>
          </cell>
          <cell r="Y199" t="str">
            <v/>
          </cell>
          <cell r="Z199" t="str">
            <v>1906</v>
          </cell>
          <cell r="AA199" t="str">
            <v>1100141177</v>
          </cell>
          <cell r="AB199">
            <v>800</v>
          </cell>
          <cell r="AC199" t="str">
            <v/>
          </cell>
          <cell r="AD199">
            <v>80</v>
          </cell>
          <cell r="AE199" t="str">
            <v>G-100016975-250210-0006-1</v>
          </cell>
        </row>
        <row r="200">
          <cell r="B200" t="str">
            <v>7101022910</v>
          </cell>
          <cell r="C200" t="str">
            <v>G2505-1321</v>
          </cell>
          <cell r="D200" t="str">
            <v>000042944360151880</v>
          </cell>
          <cell r="E200" t="str">
            <v>圆柱销</v>
          </cell>
          <cell r="F200" t="str">
            <v>Q/8S1337.1-2024</v>
          </cell>
          <cell r="G200" t="str">
            <v>A-014</v>
          </cell>
          <cell r="H200" t="str">
            <v>27-35HRC</v>
          </cell>
          <cell r="I200" t="str">
            <v>Ct·P</v>
          </cell>
          <cell r="J200" t="str">
            <v>GH2132</v>
          </cell>
          <cell r="K200">
            <v>15</v>
          </cell>
          <cell r="L200">
            <v>45947</v>
          </cell>
          <cell r="M200" t="str">
            <v>1-已打印</v>
          </cell>
        </row>
        <row r="200">
          <cell r="O200">
            <v>0</v>
          </cell>
          <cell r="P200" t="str">
            <v>哈尔滨东安实业发展有限公司</v>
          </cell>
          <cell r="Q200" t="str">
            <v>30</v>
          </cell>
        </row>
        <row r="200">
          <cell r="U200" t="str">
            <v>010000827084</v>
          </cell>
          <cell r="V200" t="str">
            <v/>
          </cell>
          <cell r="W200" t="str">
            <v/>
          </cell>
          <cell r="X200" t="str">
            <v>CP-108-A</v>
          </cell>
          <cell r="Y200" t="str">
            <v/>
          </cell>
          <cell r="Z200" t="str">
            <v>1906</v>
          </cell>
          <cell r="AA200" t="str">
            <v>1100141949</v>
          </cell>
          <cell r="AB200">
            <v>15</v>
          </cell>
          <cell r="AC200" t="str">
            <v/>
          </cell>
          <cell r="AD200">
            <v>34.83</v>
          </cell>
          <cell r="AE200" t="str">
            <v>G-100016975-250221-0010-1</v>
          </cell>
        </row>
        <row r="201">
          <cell r="B201" t="str">
            <v>7101022908</v>
          </cell>
          <cell r="C201" t="str">
            <v>G2504-0208</v>
          </cell>
          <cell r="D201" t="str">
            <v>000042944360046158</v>
          </cell>
          <cell r="E201" t="str">
            <v>止动销</v>
          </cell>
          <cell r="F201" t="str">
            <v>2523310</v>
          </cell>
          <cell r="G201" t="str">
            <v>Ⅰ</v>
          </cell>
          <cell r="H201" t="str">
            <v/>
          </cell>
          <cell r="I201" t="str">
            <v>Ep·Zn·c2C</v>
          </cell>
          <cell r="J201" t="str">
            <v>HPb59-1</v>
          </cell>
          <cell r="K201">
            <v>58</v>
          </cell>
          <cell r="L201">
            <v>45947</v>
          </cell>
          <cell r="M201" t="str">
            <v>3-配货完成</v>
          </cell>
        </row>
        <row r="201">
          <cell r="O201">
            <v>0</v>
          </cell>
          <cell r="P201" t="str">
            <v>哈尔滨东安实业发展有限公司</v>
          </cell>
          <cell r="Q201" t="str">
            <v>170</v>
          </cell>
        </row>
        <row r="201">
          <cell r="U201" t="str">
            <v>010000804897</v>
          </cell>
          <cell r="V201" t="str">
            <v>PANQIFANG</v>
          </cell>
          <cell r="W201" t="str">
            <v/>
          </cell>
          <cell r="X201" t="str">
            <v>CP-K6-2-4-5</v>
          </cell>
          <cell r="Y201" t="str">
            <v/>
          </cell>
          <cell r="Z201" t="str">
            <v>1906</v>
          </cell>
          <cell r="AA201" t="str">
            <v>1100141177</v>
          </cell>
          <cell r="AB201">
            <v>58</v>
          </cell>
          <cell r="AC201" t="str">
            <v/>
          </cell>
          <cell r="AD201">
            <v>50</v>
          </cell>
          <cell r="AE201" t="str">
            <v>G-100016975-250210-0006-1</v>
          </cell>
        </row>
        <row r="202">
          <cell r="B202" t="str">
            <v>7101022902</v>
          </cell>
          <cell r="C202" t="str">
            <v>GW2408-003</v>
          </cell>
          <cell r="D202" t="str">
            <v>000042944360004322</v>
          </cell>
          <cell r="E202" t="str">
            <v>弹性圆柱销</v>
          </cell>
          <cell r="F202" t="str">
            <v>GB879-1986</v>
          </cell>
          <cell r="G202" t="str">
            <v>3×8</v>
          </cell>
          <cell r="H202" t="str">
            <v>420-560HV</v>
          </cell>
          <cell r="I202" t="str">
            <v>Ct·O</v>
          </cell>
          <cell r="J202" t="str">
            <v>65Mn</v>
          </cell>
          <cell r="K202">
            <v>190</v>
          </cell>
          <cell r="L202">
            <v>45947</v>
          </cell>
          <cell r="M202" t="str">
            <v>3-配货完成</v>
          </cell>
        </row>
        <row r="202">
          <cell r="O202">
            <v>0</v>
          </cell>
          <cell r="P202" t="str">
            <v>哈尔滨东安实业发展有限公司</v>
          </cell>
          <cell r="Q202" t="str">
            <v>10</v>
          </cell>
        </row>
        <row r="202">
          <cell r="U202" t="str">
            <v/>
          </cell>
          <cell r="V202" t="str">
            <v>BIAOQIAN1</v>
          </cell>
          <cell r="W202" t="str">
            <v/>
          </cell>
          <cell r="X202" t="str">
            <v>XH-000/CP-27-5-2-2</v>
          </cell>
          <cell r="Y202" t="str">
            <v/>
          </cell>
          <cell r="Z202" t="str">
            <v>1906</v>
          </cell>
          <cell r="AA202" t="str">
            <v>1100122539</v>
          </cell>
          <cell r="AB202">
            <v>200</v>
          </cell>
          <cell r="AC202" t="str">
            <v/>
          </cell>
          <cell r="AD202">
            <v>0.4</v>
          </cell>
          <cell r="AE202" t="str">
            <v>G1302-231220-286-H</v>
          </cell>
        </row>
        <row r="203">
          <cell r="B203" t="str">
            <v>7101022897</v>
          </cell>
          <cell r="C203" t="str">
            <v>GW2505-040</v>
          </cell>
          <cell r="D203" t="str">
            <v>000042944239004239</v>
          </cell>
          <cell r="E203" t="str">
            <v>光杆公差带r6抗剪型100°沉头高锁螺栓</v>
          </cell>
          <cell r="F203" t="str">
            <v>GJB134.2-1986</v>
          </cell>
          <cell r="G203" t="str">
            <v>6×14</v>
          </cell>
          <cell r="H203" t="str">
            <v>σb=1175±100MPa</v>
          </cell>
          <cell r="I203" t="str">
            <v>Ct·O+Dp·CA</v>
          </cell>
          <cell r="J203" t="str">
            <v>ML30CrMnSiA</v>
          </cell>
          <cell r="K203">
            <v>34</v>
          </cell>
          <cell r="L203">
            <v>45947</v>
          </cell>
          <cell r="M203" t="str">
            <v>3-配货完成</v>
          </cell>
        </row>
        <row r="203">
          <cell r="O203">
            <v>0</v>
          </cell>
          <cell r="P203" t="str">
            <v>哈尔滨东安实业发展有限公司</v>
          </cell>
          <cell r="Q203" t="str">
            <v>10</v>
          </cell>
        </row>
        <row r="203">
          <cell r="U203" t="str">
            <v/>
          </cell>
          <cell r="V203" t="str">
            <v>PANQIFANG</v>
          </cell>
          <cell r="W203" t="str">
            <v/>
          </cell>
          <cell r="X203" t="str">
            <v>XH-91-4-2-3</v>
          </cell>
          <cell r="Y203" t="str">
            <v/>
          </cell>
          <cell r="Z203" t="str">
            <v>1906</v>
          </cell>
          <cell r="AA203" t="str">
            <v>1100153644</v>
          </cell>
          <cell r="AB203">
            <v>85</v>
          </cell>
          <cell r="AC203" t="str">
            <v/>
          </cell>
          <cell r="AD203">
            <v>101.44</v>
          </cell>
          <cell r="AE203" t="str">
            <v>G-100016975-250925-0053</v>
          </cell>
        </row>
        <row r="204">
          <cell r="B204" t="str">
            <v>7101022886</v>
          </cell>
          <cell r="C204" t="str">
            <v>GW2505-040</v>
          </cell>
          <cell r="D204" t="str">
            <v>000042944239004239</v>
          </cell>
          <cell r="E204" t="str">
            <v>高锁螺栓</v>
          </cell>
          <cell r="F204" t="str">
            <v>GJB134.2-6×14</v>
          </cell>
          <cell r="G204" t="str">
            <v>6×14</v>
          </cell>
          <cell r="H204" t="str">
            <v>σb=1175±100MPa</v>
          </cell>
          <cell r="I204" t="str">
            <v>Ct·O+Dp·CA</v>
          </cell>
          <cell r="J204" t="str">
            <v>ML30CrMnSiA</v>
          </cell>
          <cell r="K204">
            <v>51</v>
          </cell>
          <cell r="L204">
            <v>45947</v>
          </cell>
          <cell r="M204" t="str">
            <v>3-配货完成</v>
          </cell>
        </row>
        <row r="204">
          <cell r="O204">
            <v>0</v>
          </cell>
          <cell r="P204" t="str">
            <v>哈尔滨东安实业发展有限公司</v>
          </cell>
          <cell r="Q204" t="str">
            <v>30</v>
          </cell>
        </row>
        <row r="204">
          <cell r="U204" t="str">
            <v/>
          </cell>
          <cell r="V204" t="str">
            <v>PANQIFANG</v>
          </cell>
          <cell r="W204" t="str">
            <v/>
          </cell>
          <cell r="X204" t="str">
            <v>XH-91-4-2-3</v>
          </cell>
          <cell r="Y204" t="str">
            <v/>
          </cell>
          <cell r="Z204" t="str">
            <v>1906</v>
          </cell>
          <cell r="AA204" t="str">
            <v>1100145380</v>
          </cell>
          <cell r="AB204">
            <v>51</v>
          </cell>
          <cell r="AC204" t="str">
            <v/>
          </cell>
          <cell r="AD204">
            <v>101.4</v>
          </cell>
          <cell r="AE204" t="str">
            <v>G-100016975-250416-0020</v>
          </cell>
        </row>
        <row r="205">
          <cell r="B205" t="str">
            <v>7101022868</v>
          </cell>
          <cell r="C205" t="str">
            <v>G2501-0040</v>
          </cell>
          <cell r="D205" t="str">
            <v>000042944440114463</v>
          </cell>
          <cell r="E205" t="str">
            <v>钢丝挡圈</v>
          </cell>
          <cell r="F205" t="str">
            <v>Q/2S5335-2013</v>
          </cell>
          <cell r="G205" t="str">
            <v>6</v>
          </cell>
          <cell r="H205" t="str">
            <v/>
          </cell>
          <cell r="I205" t="str">
            <v/>
          </cell>
          <cell r="J205" t="str">
            <v>GH4145</v>
          </cell>
          <cell r="K205">
            <v>86</v>
          </cell>
          <cell r="L205">
            <v>45947</v>
          </cell>
          <cell r="M205" t="str">
            <v>3-配货完成</v>
          </cell>
        </row>
        <row r="205">
          <cell r="O205">
            <v>0</v>
          </cell>
          <cell r="P205" t="str">
            <v>哈尔滨东安实业发展有限公司</v>
          </cell>
          <cell r="Q205" t="str">
            <v>10</v>
          </cell>
        </row>
        <row r="205">
          <cell r="U205" t="str">
            <v>010000768764</v>
          </cell>
          <cell r="V205" t="str">
            <v>PANQIFANG</v>
          </cell>
          <cell r="W205" t="str">
            <v/>
          </cell>
          <cell r="X205" t="str">
            <v>CP-C5-3-3-4</v>
          </cell>
          <cell r="Y205" t="str">
            <v/>
          </cell>
          <cell r="Z205" t="str">
            <v>1906</v>
          </cell>
          <cell r="AA205" t="str">
            <v>1100153577</v>
          </cell>
          <cell r="AB205">
            <v>300</v>
          </cell>
          <cell r="AC205" t="str">
            <v/>
          </cell>
          <cell r="AD205">
            <v>25</v>
          </cell>
          <cell r="AE205" t="str">
            <v>G-100016975-250926-0054</v>
          </cell>
        </row>
        <row r="206">
          <cell r="B206" t="str">
            <v>7101021860</v>
          </cell>
          <cell r="C206" t="str">
            <v>GW2503-067</v>
          </cell>
          <cell r="D206" t="str">
            <v>000042944360002185</v>
          </cell>
          <cell r="E206" t="str">
            <v>弹性圆柱销-直槽-重型</v>
          </cell>
          <cell r="F206" t="str">
            <v>GB/T879.1-2000</v>
          </cell>
          <cell r="G206" t="str">
            <v>3×12</v>
          </cell>
          <cell r="H206" t="str">
            <v>420-520HV30</v>
          </cell>
          <cell r="I206" t="str">
            <v>Ct·O</v>
          </cell>
          <cell r="J206" t="str">
            <v>65Mn</v>
          </cell>
          <cell r="K206">
            <v>100</v>
          </cell>
          <cell r="L206">
            <v>45946</v>
          </cell>
          <cell r="M206" t="str">
            <v>3-配货完成</v>
          </cell>
        </row>
        <row r="206">
          <cell r="O206">
            <v>0</v>
          </cell>
          <cell r="P206" t="str">
            <v>哈尔滨东安实业发展有限公司</v>
          </cell>
          <cell r="Q206" t="str">
            <v>20</v>
          </cell>
        </row>
        <row r="206">
          <cell r="U206" t="str">
            <v/>
          </cell>
          <cell r="V206" t="str">
            <v>PANQIFANG</v>
          </cell>
          <cell r="W206" t="str">
            <v/>
          </cell>
          <cell r="X206" t="str">
            <v>CP-C8-4-4-3</v>
          </cell>
          <cell r="Y206" t="str">
            <v/>
          </cell>
          <cell r="Z206" t="str">
            <v>1906</v>
          </cell>
          <cell r="AA206" t="str">
            <v>1100122539</v>
          </cell>
          <cell r="AB206">
            <v>100</v>
          </cell>
          <cell r="AC206" t="str">
            <v/>
          </cell>
          <cell r="AD206">
            <v>0.35</v>
          </cell>
          <cell r="AE206" t="str">
            <v>G1302-231220-286-H</v>
          </cell>
        </row>
        <row r="207">
          <cell r="B207" t="str">
            <v>7101021859</v>
          </cell>
          <cell r="C207" t="str">
            <v>G2402-1226</v>
          </cell>
          <cell r="D207" t="str">
            <v>000042944999002605</v>
          </cell>
          <cell r="E207" t="str">
            <v>带键锁紧螺桩</v>
          </cell>
          <cell r="F207" t="str">
            <v>8S.DFD20.3.802</v>
          </cell>
          <cell r="G207" t="str">
            <v>-</v>
          </cell>
          <cell r="H207" t="str">
            <v/>
          </cell>
          <cell r="I207" t="str">
            <v/>
          </cell>
          <cell r="J207" t="str">
            <v>组件</v>
          </cell>
          <cell r="K207">
            <v>150</v>
          </cell>
          <cell r="L207">
            <v>45946</v>
          </cell>
          <cell r="M207" t="str">
            <v>1-已打印</v>
          </cell>
        </row>
        <row r="207">
          <cell r="O207">
            <v>0</v>
          </cell>
          <cell r="P207" t="str">
            <v>哈尔滨东安实业发展有限公司</v>
          </cell>
          <cell r="Q207" t="str">
            <v>90</v>
          </cell>
        </row>
        <row r="207">
          <cell r="U207" t="str">
            <v>010000675296</v>
          </cell>
          <cell r="V207" t="str">
            <v/>
          </cell>
          <cell r="W207" t="str">
            <v/>
          </cell>
          <cell r="X207" t="str">
            <v>CP-108-A</v>
          </cell>
          <cell r="Y207" t="str">
            <v/>
          </cell>
          <cell r="Z207" t="str">
            <v>1906</v>
          </cell>
          <cell r="AA207" t="str">
            <v>1100124770</v>
          </cell>
          <cell r="AB207">
            <v>150</v>
          </cell>
          <cell r="AC207" t="str">
            <v/>
          </cell>
          <cell r="AD207">
            <v>197</v>
          </cell>
          <cell r="AE207" t="str">
            <v>G1302-240205-037</v>
          </cell>
        </row>
        <row r="208">
          <cell r="B208" t="str">
            <v>7101020770</v>
          </cell>
          <cell r="C208" t="str">
            <v>G2411-2338</v>
          </cell>
          <cell r="D208" t="str">
            <v>000042944039095271</v>
          </cell>
          <cell r="E208" t="str">
            <v>带键自锁螺套</v>
          </cell>
          <cell r="F208" t="str">
            <v>Q/S15.1119A-6</v>
          </cell>
          <cell r="G208" t="str">
            <v>A-6</v>
          </cell>
          <cell r="H208" t="str">
            <v/>
          </cell>
          <cell r="I208" t="str">
            <v/>
          </cell>
          <cell r="J208" t="str">
            <v>组件</v>
          </cell>
          <cell r="K208">
            <v>120</v>
          </cell>
          <cell r="L208">
            <v>45944</v>
          </cell>
          <cell r="M208" t="str">
            <v>1-已打印</v>
          </cell>
        </row>
        <row r="208">
          <cell r="O208">
            <v>0</v>
          </cell>
          <cell r="P208" t="str">
            <v>哈尔滨东安实业发展有限公司</v>
          </cell>
          <cell r="Q208" t="str">
            <v>20</v>
          </cell>
        </row>
        <row r="208">
          <cell r="U208" t="str">
            <v>010000754260</v>
          </cell>
          <cell r="V208" t="str">
            <v/>
          </cell>
          <cell r="W208" t="str">
            <v/>
          </cell>
          <cell r="X208" t="str">
            <v>CP-C8-4-4-4</v>
          </cell>
          <cell r="Y208" t="str">
            <v/>
          </cell>
          <cell r="Z208" t="str">
            <v>1906</v>
          </cell>
          <cell r="AA208" t="str">
            <v>1100153106</v>
          </cell>
          <cell r="AB208">
            <v>120</v>
          </cell>
          <cell r="AC208" t="str">
            <v>GJ2411-02338</v>
          </cell>
          <cell r="AD208">
            <v>90</v>
          </cell>
          <cell r="AE208" t="str">
            <v>G-100016975-250917-0049</v>
          </cell>
        </row>
        <row r="209">
          <cell r="B209" t="str">
            <v>7101008466</v>
          </cell>
          <cell r="C209" t="str">
            <v>G2501-2547</v>
          </cell>
          <cell r="D209" t="str">
            <v>000042944319134853</v>
          </cell>
          <cell r="E209" t="str">
            <v>外套螺母</v>
          </cell>
          <cell r="F209" t="str">
            <v>SPE4006(D版)</v>
          </cell>
          <cell r="G209" t="str">
            <v>CEE4006R05NL</v>
          </cell>
          <cell r="H209" t="str">
            <v/>
          </cell>
          <cell r="I209" t="str">
            <v>钝化+干膜润滑</v>
          </cell>
          <cell r="J209" t="str">
            <v>321</v>
          </cell>
          <cell r="K209">
            <v>50</v>
          </cell>
          <cell r="L209">
            <v>45915</v>
          </cell>
          <cell r="M209" t="str">
            <v>4-检验完成</v>
          </cell>
        </row>
        <row r="209">
          <cell r="O209">
            <v>0</v>
          </cell>
          <cell r="P209" t="str">
            <v>哈尔滨东安实业发展有限公司</v>
          </cell>
          <cell r="Q209" t="str">
            <v>10</v>
          </cell>
          <cell r="R209">
            <v>45944</v>
          </cell>
        </row>
        <row r="209">
          <cell r="U209" t="str">
            <v>010000777484</v>
          </cell>
          <cell r="V209" t="str">
            <v>PANQIFANG</v>
          </cell>
          <cell r="W209" t="str">
            <v/>
          </cell>
          <cell r="X209" t="str">
            <v>CP-K4-1-5-3</v>
          </cell>
          <cell r="Y209" t="str">
            <v/>
          </cell>
          <cell r="Z209" t="str">
            <v>1906</v>
          </cell>
          <cell r="AA209" t="str">
            <v>1100152856</v>
          </cell>
          <cell r="AB209">
            <v>50</v>
          </cell>
          <cell r="AC209" t="str">
            <v/>
          </cell>
          <cell r="AD209">
            <v>20</v>
          </cell>
          <cell r="AE209" t="str">
            <v>G-100016975-250911-0047</v>
          </cell>
        </row>
        <row r="210">
          <cell r="B210" t="str">
            <v>7101007984</v>
          </cell>
          <cell r="C210" t="str">
            <v>G2504-3532</v>
          </cell>
          <cell r="D210" t="str">
            <v>000042944360000238</v>
          </cell>
          <cell r="E210" t="str">
            <v>止动销</v>
          </cell>
          <cell r="F210" t="str">
            <v>8S.DFD20.7.009</v>
          </cell>
          <cell r="G210" t="str">
            <v>-</v>
          </cell>
          <cell r="H210" t="str">
            <v/>
          </cell>
          <cell r="I210" t="str">
            <v/>
          </cell>
          <cell r="J210" t="str">
            <v>0Cr18Ni9</v>
          </cell>
          <cell r="K210">
            <v>10</v>
          </cell>
          <cell r="L210">
            <v>45912</v>
          </cell>
          <cell r="M210" t="str">
            <v>3-配货完成</v>
          </cell>
        </row>
        <row r="210">
          <cell r="O210">
            <v>0</v>
          </cell>
          <cell r="P210" t="str">
            <v>哈尔滨东安实业发展有限公司</v>
          </cell>
          <cell r="Q210" t="str">
            <v>10</v>
          </cell>
        </row>
        <row r="210">
          <cell r="U210" t="str">
            <v>010000814110</v>
          </cell>
          <cell r="V210" t="str">
            <v>PANQIFANG</v>
          </cell>
          <cell r="W210" t="str">
            <v/>
          </cell>
          <cell r="X210" t="str">
            <v>CP-108-A</v>
          </cell>
          <cell r="Y210" t="str">
            <v/>
          </cell>
          <cell r="Z210" t="str">
            <v>1906</v>
          </cell>
          <cell r="AA210" t="str">
            <v>1100145380</v>
          </cell>
          <cell r="AB210">
            <v>10</v>
          </cell>
          <cell r="AC210" t="str">
            <v/>
          </cell>
          <cell r="AD210">
            <v>10.66</v>
          </cell>
          <cell r="AE210" t="str">
            <v>G-100016975-250416-0020</v>
          </cell>
        </row>
        <row r="211">
          <cell r="B211" t="str">
            <v>7101008466</v>
          </cell>
          <cell r="C211" t="str">
            <v>G2501-2547</v>
          </cell>
          <cell r="D211" t="str">
            <v>000042944319134853</v>
          </cell>
          <cell r="E211" t="str">
            <v>外套螺母</v>
          </cell>
          <cell r="F211" t="str">
            <v>SPE4006(D版)</v>
          </cell>
          <cell r="G211" t="str">
            <v>CEE4006R05NL</v>
          </cell>
          <cell r="H211" t="str">
            <v/>
          </cell>
          <cell r="I211" t="str">
            <v>钝化+干膜润滑</v>
          </cell>
          <cell r="J211" t="str">
            <v>321</v>
          </cell>
          <cell r="K211">
            <v>50</v>
          </cell>
          <cell r="L211">
            <v>45915</v>
          </cell>
          <cell r="M211" t="str">
            <v>4-检验完成</v>
          </cell>
        </row>
        <row r="211">
          <cell r="O211">
            <v>0</v>
          </cell>
          <cell r="P211" t="str">
            <v>哈尔滨东安实业发展有限公司</v>
          </cell>
          <cell r="Q211" t="str">
            <v>10</v>
          </cell>
          <cell r="R211">
            <v>45944</v>
          </cell>
        </row>
        <row r="211">
          <cell r="U211" t="str">
            <v>010000777484</v>
          </cell>
          <cell r="V211" t="str">
            <v>PANQIFANG</v>
          </cell>
          <cell r="W211" t="str">
            <v/>
          </cell>
          <cell r="X211" t="str">
            <v>CP-K4-1-5-3</v>
          </cell>
          <cell r="Y211" t="str">
            <v/>
          </cell>
          <cell r="Z211" t="str">
            <v>1906</v>
          </cell>
          <cell r="AA211" t="str">
            <v>1100152856</v>
          </cell>
          <cell r="AB211">
            <v>50</v>
          </cell>
          <cell r="AC211" t="str">
            <v/>
          </cell>
          <cell r="AD211">
            <v>20</v>
          </cell>
          <cell r="AE211" t="str">
            <v>G-100016975-250911-0047</v>
          </cell>
        </row>
        <row r="212">
          <cell r="B212" t="str">
            <v>7101020770</v>
          </cell>
          <cell r="C212" t="str">
            <v>G2411-2338</v>
          </cell>
          <cell r="D212" t="str">
            <v>000042944039095271</v>
          </cell>
          <cell r="E212" t="str">
            <v>带键自锁螺套</v>
          </cell>
          <cell r="F212" t="str">
            <v>Q/S15.1119A-6</v>
          </cell>
          <cell r="G212" t="str">
            <v>A-6</v>
          </cell>
          <cell r="H212" t="str">
            <v/>
          </cell>
          <cell r="I212" t="str">
            <v/>
          </cell>
          <cell r="J212" t="str">
            <v>组件</v>
          </cell>
          <cell r="K212">
            <v>120</v>
          </cell>
          <cell r="L212">
            <v>45944</v>
          </cell>
          <cell r="M212" t="str">
            <v>1-已打印</v>
          </cell>
        </row>
        <row r="212">
          <cell r="O212">
            <v>0</v>
          </cell>
          <cell r="P212" t="str">
            <v>哈尔滨东安实业发展有限公司</v>
          </cell>
          <cell r="Q212" t="str">
            <v>20</v>
          </cell>
        </row>
        <row r="212">
          <cell r="U212" t="str">
            <v>010000754260</v>
          </cell>
          <cell r="V212" t="str">
            <v/>
          </cell>
          <cell r="W212" t="str">
            <v/>
          </cell>
          <cell r="X212" t="str">
            <v>CP-C8-4-4-4</v>
          </cell>
          <cell r="Y212" t="str">
            <v/>
          </cell>
          <cell r="Z212" t="str">
            <v>1906</v>
          </cell>
          <cell r="AA212" t="str">
            <v>1100153106</v>
          </cell>
          <cell r="AB212">
            <v>120</v>
          </cell>
          <cell r="AC212" t="str">
            <v>GJ2411-02338</v>
          </cell>
          <cell r="AD212">
            <v>90</v>
          </cell>
          <cell r="AE212" t="str">
            <v>G-100016975-250917-0049</v>
          </cell>
        </row>
        <row r="213">
          <cell r="B213" t="str">
            <v>7101021859</v>
          </cell>
          <cell r="C213" t="str">
            <v>G2402-1226</v>
          </cell>
          <cell r="D213" t="str">
            <v>000042944999002605</v>
          </cell>
          <cell r="E213" t="str">
            <v>带键锁紧螺桩</v>
          </cell>
          <cell r="F213" t="str">
            <v>8S.DFD20.3.802</v>
          </cell>
          <cell r="G213" t="str">
            <v>-</v>
          </cell>
          <cell r="H213" t="str">
            <v/>
          </cell>
          <cell r="I213" t="str">
            <v/>
          </cell>
          <cell r="J213" t="str">
            <v>组件</v>
          </cell>
          <cell r="K213">
            <v>150</v>
          </cell>
          <cell r="L213">
            <v>45946</v>
          </cell>
          <cell r="M213" t="str">
            <v>3-配货完成</v>
          </cell>
        </row>
        <row r="213">
          <cell r="O213">
            <v>0</v>
          </cell>
          <cell r="P213" t="str">
            <v>哈尔滨东安实业发展有限公司</v>
          </cell>
          <cell r="Q213" t="str">
            <v>90</v>
          </cell>
        </row>
        <row r="213">
          <cell r="U213" t="str">
            <v>010000675296</v>
          </cell>
          <cell r="V213" t="str">
            <v>BIAOQIAN4</v>
          </cell>
          <cell r="W213" t="str">
            <v/>
          </cell>
          <cell r="X213" t="str">
            <v>CP-108-A</v>
          </cell>
          <cell r="Y213" t="str">
            <v/>
          </cell>
          <cell r="Z213" t="str">
            <v>1906</v>
          </cell>
          <cell r="AA213" t="str">
            <v>1100124770</v>
          </cell>
          <cell r="AB213">
            <v>150</v>
          </cell>
          <cell r="AC213" t="str">
            <v/>
          </cell>
          <cell r="AD213">
            <v>197</v>
          </cell>
          <cell r="AE213" t="str">
            <v>G1302-240205-037</v>
          </cell>
        </row>
        <row r="214">
          <cell r="B214" t="str">
            <v>7101021860</v>
          </cell>
          <cell r="C214" t="str">
            <v>GW2503-067</v>
          </cell>
          <cell r="D214" t="str">
            <v>000042944360002185</v>
          </cell>
          <cell r="E214" t="str">
            <v>弹性圆柱销-直槽-重型</v>
          </cell>
          <cell r="F214" t="str">
            <v>GB/T879.1-2000</v>
          </cell>
          <cell r="G214" t="str">
            <v>3×12</v>
          </cell>
          <cell r="H214" t="str">
            <v>420-520HV30</v>
          </cell>
          <cell r="I214" t="str">
            <v>Ct·O</v>
          </cell>
          <cell r="J214" t="str">
            <v>65Mn</v>
          </cell>
          <cell r="K214">
            <v>100</v>
          </cell>
          <cell r="L214">
            <v>45946</v>
          </cell>
          <cell r="M214" t="str">
            <v>4-检验完成</v>
          </cell>
        </row>
        <row r="214">
          <cell r="O214">
            <v>0</v>
          </cell>
          <cell r="P214" t="str">
            <v>哈尔滨东安实业发展有限公司</v>
          </cell>
          <cell r="Q214" t="str">
            <v>20</v>
          </cell>
          <cell r="R214">
            <v>45952</v>
          </cell>
        </row>
        <row r="214">
          <cell r="U214" t="str">
            <v/>
          </cell>
          <cell r="V214" t="str">
            <v>PANQIFANG</v>
          </cell>
          <cell r="W214" t="str">
            <v/>
          </cell>
          <cell r="X214" t="str">
            <v>CP-C8-4-4-3</v>
          </cell>
          <cell r="Y214" t="str">
            <v/>
          </cell>
          <cell r="Z214" t="str">
            <v>1906</v>
          </cell>
          <cell r="AA214" t="str">
            <v>1100122539</v>
          </cell>
          <cell r="AB214">
            <v>100</v>
          </cell>
          <cell r="AC214" t="str">
            <v/>
          </cell>
          <cell r="AD214">
            <v>0.35</v>
          </cell>
          <cell r="AE214" t="str">
            <v>G1302-231220-286-H</v>
          </cell>
        </row>
        <row r="215">
          <cell r="B215" t="str">
            <v>7101022868</v>
          </cell>
          <cell r="C215" t="str">
            <v>G2501-0040</v>
          </cell>
          <cell r="D215" t="str">
            <v>000042944440114463</v>
          </cell>
          <cell r="E215" t="str">
            <v>钢丝挡圈</v>
          </cell>
          <cell r="F215" t="str">
            <v>Q/2S5335-2013</v>
          </cell>
          <cell r="G215" t="str">
            <v>6</v>
          </cell>
          <cell r="H215" t="str">
            <v/>
          </cell>
          <cell r="I215" t="str">
            <v/>
          </cell>
          <cell r="J215" t="str">
            <v>GH4145</v>
          </cell>
          <cell r="K215">
            <v>86</v>
          </cell>
          <cell r="L215">
            <v>45947</v>
          </cell>
          <cell r="M215" t="str">
            <v>4-检验完成</v>
          </cell>
        </row>
        <row r="215">
          <cell r="O215">
            <v>0</v>
          </cell>
          <cell r="P215" t="str">
            <v>哈尔滨东安实业发展有限公司</v>
          </cell>
          <cell r="Q215" t="str">
            <v>10</v>
          </cell>
          <cell r="R215">
            <v>45954</v>
          </cell>
        </row>
        <row r="215">
          <cell r="U215" t="str">
            <v>010000768764</v>
          </cell>
          <cell r="V215" t="str">
            <v>PANQIFANG</v>
          </cell>
          <cell r="W215" t="str">
            <v/>
          </cell>
          <cell r="X215" t="str">
            <v>CP-C5-3-3-4</v>
          </cell>
          <cell r="Y215" t="str">
            <v/>
          </cell>
          <cell r="Z215" t="str">
            <v>1906</v>
          </cell>
          <cell r="AA215" t="str">
            <v>1100153577</v>
          </cell>
          <cell r="AB215">
            <v>300</v>
          </cell>
          <cell r="AC215" t="str">
            <v/>
          </cell>
          <cell r="AD215">
            <v>25</v>
          </cell>
          <cell r="AE215" t="str">
            <v>G-100016975-250926-0054</v>
          </cell>
        </row>
        <row r="216">
          <cell r="B216" t="str">
            <v>7101022886</v>
          </cell>
          <cell r="C216" t="str">
            <v>GW2505-040</v>
          </cell>
          <cell r="D216" t="str">
            <v>000042944239004239</v>
          </cell>
          <cell r="E216" t="str">
            <v>高锁螺栓</v>
          </cell>
          <cell r="F216" t="str">
            <v>GJB134.2-6×14</v>
          </cell>
          <cell r="G216" t="str">
            <v>6×14</v>
          </cell>
          <cell r="H216" t="str">
            <v>σb=1175±100MPa</v>
          </cell>
          <cell r="I216" t="str">
            <v>Ct·O+Dp·CA</v>
          </cell>
          <cell r="J216" t="str">
            <v>ML30CrMnSiA</v>
          </cell>
          <cell r="K216">
            <v>51</v>
          </cell>
          <cell r="L216">
            <v>45947</v>
          </cell>
          <cell r="M216" t="str">
            <v>3-配货完成</v>
          </cell>
        </row>
        <row r="216">
          <cell r="O216">
            <v>0</v>
          </cell>
          <cell r="P216" t="str">
            <v>哈尔滨东安实业发展有限公司</v>
          </cell>
          <cell r="Q216" t="str">
            <v>30</v>
          </cell>
        </row>
        <row r="216">
          <cell r="U216" t="str">
            <v/>
          </cell>
          <cell r="V216" t="str">
            <v>PANQIFANG</v>
          </cell>
          <cell r="W216" t="str">
            <v/>
          </cell>
          <cell r="X216" t="str">
            <v>XH-91-4-2-3</v>
          </cell>
          <cell r="Y216" t="str">
            <v/>
          </cell>
          <cell r="Z216" t="str">
            <v>1906</v>
          </cell>
          <cell r="AA216" t="str">
            <v>1100145380</v>
          </cell>
          <cell r="AB216">
            <v>51</v>
          </cell>
          <cell r="AC216" t="str">
            <v/>
          </cell>
          <cell r="AD216">
            <v>101.4</v>
          </cell>
          <cell r="AE216" t="str">
            <v>G-100016975-250416-0020</v>
          </cell>
        </row>
        <row r="217">
          <cell r="B217" t="str">
            <v>7101022897</v>
          </cell>
          <cell r="C217" t="str">
            <v>GW2505-040</v>
          </cell>
          <cell r="D217" t="str">
            <v>000042944239004239</v>
          </cell>
          <cell r="E217" t="str">
            <v>光杆公差带r6抗剪型100°沉头高锁螺栓</v>
          </cell>
          <cell r="F217" t="str">
            <v>GJB134.2-1986</v>
          </cell>
          <cell r="G217" t="str">
            <v>6×14</v>
          </cell>
          <cell r="H217" t="str">
            <v>σb=1175±100MPa</v>
          </cell>
          <cell r="I217" t="str">
            <v>Ct·O+Dp·CA</v>
          </cell>
          <cell r="J217" t="str">
            <v>ML30CrMnSiA</v>
          </cell>
          <cell r="K217">
            <v>34</v>
          </cell>
          <cell r="L217">
            <v>45947</v>
          </cell>
          <cell r="M217" t="str">
            <v>3-配货完成</v>
          </cell>
        </row>
        <row r="217">
          <cell r="O217">
            <v>0</v>
          </cell>
          <cell r="P217" t="str">
            <v>哈尔滨东安实业发展有限公司</v>
          </cell>
          <cell r="Q217" t="str">
            <v>10</v>
          </cell>
        </row>
        <row r="217">
          <cell r="U217" t="str">
            <v/>
          </cell>
          <cell r="V217" t="str">
            <v>PANQIFANG</v>
          </cell>
          <cell r="W217" t="str">
            <v/>
          </cell>
          <cell r="X217" t="str">
            <v>XH-91-4-2-3</v>
          </cell>
          <cell r="Y217" t="str">
            <v/>
          </cell>
          <cell r="Z217" t="str">
            <v>1906</v>
          </cell>
          <cell r="AA217" t="str">
            <v>1100153644</v>
          </cell>
          <cell r="AB217">
            <v>85</v>
          </cell>
          <cell r="AC217" t="str">
            <v/>
          </cell>
          <cell r="AD217">
            <v>101.44</v>
          </cell>
          <cell r="AE217" t="str">
            <v>G-100016975-250925-0053</v>
          </cell>
        </row>
        <row r="218">
          <cell r="B218" t="str">
            <v>7101022902</v>
          </cell>
          <cell r="C218" t="str">
            <v>GW2408-003</v>
          </cell>
          <cell r="D218" t="str">
            <v>000042944360004322</v>
          </cell>
          <cell r="E218" t="str">
            <v>弹性圆柱销</v>
          </cell>
          <cell r="F218" t="str">
            <v>GB879-1986</v>
          </cell>
          <cell r="G218" t="str">
            <v>3×8</v>
          </cell>
          <cell r="H218" t="str">
            <v>420-560HV</v>
          </cell>
          <cell r="I218" t="str">
            <v>Ct·O</v>
          </cell>
          <cell r="J218" t="str">
            <v>65Mn</v>
          </cell>
          <cell r="K218">
            <v>190</v>
          </cell>
          <cell r="L218">
            <v>45947</v>
          </cell>
          <cell r="M218" t="str">
            <v>3-配货完成</v>
          </cell>
        </row>
        <row r="218">
          <cell r="O218">
            <v>0</v>
          </cell>
          <cell r="P218" t="str">
            <v>哈尔滨东安实业发展有限公司</v>
          </cell>
          <cell r="Q218" t="str">
            <v>10</v>
          </cell>
        </row>
        <row r="218">
          <cell r="U218" t="str">
            <v/>
          </cell>
          <cell r="V218" t="str">
            <v>BIAOQIAN1</v>
          </cell>
          <cell r="W218" t="str">
            <v/>
          </cell>
          <cell r="X218" t="str">
            <v>XH-000/CP-27-5-2-2</v>
          </cell>
          <cell r="Y218" t="str">
            <v/>
          </cell>
          <cell r="Z218" t="str">
            <v>1906</v>
          </cell>
          <cell r="AA218" t="str">
            <v>1100122539</v>
          </cell>
          <cell r="AB218">
            <v>200</v>
          </cell>
          <cell r="AC218" t="str">
            <v/>
          </cell>
          <cell r="AD218">
            <v>0.4</v>
          </cell>
          <cell r="AE218" t="str">
            <v>G1302-231220-286-H</v>
          </cell>
        </row>
        <row r="219">
          <cell r="B219" t="str">
            <v>7101022908</v>
          </cell>
          <cell r="C219" t="str">
            <v>G2504-0208</v>
          </cell>
          <cell r="D219" t="str">
            <v>000042944360046158</v>
          </cell>
          <cell r="E219" t="str">
            <v>止动销</v>
          </cell>
          <cell r="F219" t="str">
            <v>2523310</v>
          </cell>
          <cell r="G219" t="str">
            <v>Ⅰ</v>
          </cell>
          <cell r="H219" t="str">
            <v/>
          </cell>
          <cell r="I219" t="str">
            <v>Ep·Zn·c2C</v>
          </cell>
          <cell r="J219" t="str">
            <v>HPb59-1</v>
          </cell>
          <cell r="K219">
            <v>58</v>
          </cell>
          <cell r="L219">
            <v>45947</v>
          </cell>
          <cell r="M219" t="str">
            <v>3-配货完成</v>
          </cell>
        </row>
        <row r="219">
          <cell r="O219">
            <v>0</v>
          </cell>
          <cell r="P219" t="str">
            <v>哈尔滨东安实业发展有限公司</v>
          </cell>
          <cell r="Q219" t="str">
            <v>170</v>
          </cell>
        </row>
        <row r="219">
          <cell r="U219" t="str">
            <v>010000804897</v>
          </cell>
          <cell r="V219" t="str">
            <v>PANQIFANG</v>
          </cell>
          <cell r="W219" t="str">
            <v/>
          </cell>
          <cell r="X219" t="str">
            <v>CP-K6-2-4-5</v>
          </cell>
          <cell r="Y219" t="str">
            <v/>
          </cell>
          <cell r="Z219" t="str">
            <v>1906</v>
          </cell>
          <cell r="AA219" t="str">
            <v>1100141177</v>
          </cell>
          <cell r="AB219">
            <v>58</v>
          </cell>
          <cell r="AC219" t="str">
            <v/>
          </cell>
          <cell r="AD219">
            <v>50</v>
          </cell>
          <cell r="AE219" t="str">
            <v>G-100016975-250210-0006-1</v>
          </cell>
        </row>
        <row r="220">
          <cell r="B220" t="str">
            <v>7101022910</v>
          </cell>
          <cell r="C220" t="str">
            <v>G2505-1321</v>
          </cell>
          <cell r="D220" t="str">
            <v>000042944360151880</v>
          </cell>
          <cell r="E220" t="str">
            <v>圆柱销</v>
          </cell>
          <cell r="F220" t="str">
            <v>Q/8S1337.1-2024</v>
          </cell>
          <cell r="G220" t="str">
            <v>A-014</v>
          </cell>
          <cell r="H220" t="str">
            <v>27-35HRC</v>
          </cell>
          <cell r="I220" t="str">
            <v>Ct·P</v>
          </cell>
          <cell r="J220" t="str">
            <v>GH2132</v>
          </cell>
          <cell r="K220">
            <v>15</v>
          </cell>
          <cell r="L220">
            <v>45947</v>
          </cell>
          <cell r="M220" t="str">
            <v>1-已打印</v>
          </cell>
        </row>
        <row r="220">
          <cell r="O220">
            <v>0</v>
          </cell>
          <cell r="P220" t="str">
            <v>哈尔滨东安实业发展有限公司</v>
          </cell>
          <cell r="Q220" t="str">
            <v>30</v>
          </cell>
        </row>
        <row r="220">
          <cell r="U220" t="str">
            <v>010000827084</v>
          </cell>
          <cell r="V220" t="str">
            <v/>
          </cell>
          <cell r="W220" t="str">
            <v/>
          </cell>
          <cell r="X220" t="str">
            <v>CP-108-A</v>
          </cell>
          <cell r="Y220" t="str">
            <v/>
          </cell>
          <cell r="Z220" t="str">
            <v>1906</v>
          </cell>
          <cell r="AA220" t="str">
            <v>1100141949</v>
          </cell>
          <cell r="AB220">
            <v>15</v>
          </cell>
          <cell r="AC220" t="str">
            <v/>
          </cell>
          <cell r="AD220">
            <v>34.83</v>
          </cell>
          <cell r="AE220" t="str">
            <v>G-100016975-250221-0010-1</v>
          </cell>
        </row>
        <row r="221">
          <cell r="B221" t="str">
            <v>7101022912</v>
          </cell>
          <cell r="C221" t="str">
            <v>G2404-1980</v>
          </cell>
          <cell r="D221" t="str">
            <v>000042944999027928</v>
          </cell>
          <cell r="E221" t="str">
            <v>螺桩</v>
          </cell>
          <cell r="F221" t="str">
            <v>1BRZA12375</v>
          </cell>
          <cell r="G221" t="str">
            <v>06-034</v>
          </cell>
          <cell r="H221" t="str">
            <v>σb=980±100MPa</v>
          </cell>
          <cell r="I221" t="str">
            <v>Ep·Cd5-8·c2C</v>
          </cell>
          <cell r="J221" t="str">
            <v>40CrNiMoA</v>
          </cell>
          <cell r="K221">
            <v>22</v>
          </cell>
          <cell r="L221">
            <v>45947</v>
          </cell>
          <cell r="M221" t="str">
            <v>4-检验完成</v>
          </cell>
        </row>
        <row r="221">
          <cell r="O221">
            <v>0</v>
          </cell>
          <cell r="P221" t="str">
            <v>哈尔滨东安实业发展有限公司</v>
          </cell>
          <cell r="Q221" t="str">
            <v>110</v>
          </cell>
          <cell r="R221">
            <v>45954</v>
          </cell>
        </row>
        <row r="221">
          <cell r="U221" t="str">
            <v>010000693485</v>
          </cell>
          <cell r="V221" t="str">
            <v>BIAOQIAN1</v>
          </cell>
          <cell r="W221" t="str">
            <v/>
          </cell>
          <cell r="X221" t="str">
            <v>CP-108-A</v>
          </cell>
          <cell r="Y221" t="str">
            <v/>
          </cell>
          <cell r="Z221" t="str">
            <v>1906</v>
          </cell>
          <cell r="AA221" t="str">
            <v>1100141177</v>
          </cell>
          <cell r="AB221">
            <v>800</v>
          </cell>
          <cell r="AC221" t="str">
            <v/>
          </cell>
          <cell r="AD221">
            <v>80</v>
          </cell>
          <cell r="AE221" t="str">
            <v>G-100016975-250210-0006-1</v>
          </cell>
        </row>
        <row r="222">
          <cell r="B222" t="str">
            <v>7101026930</v>
          </cell>
          <cell r="C222" t="str">
            <v>G2502-1654</v>
          </cell>
          <cell r="D222" t="str">
            <v>000042944039098250</v>
          </cell>
          <cell r="E222" t="str">
            <v>轻型带键锁紧螺套(细牙内螺纹)</v>
          </cell>
          <cell r="F222" t="str">
            <v>Q/2S5436-5</v>
          </cell>
          <cell r="G222" t="str">
            <v>5</v>
          </cell>
          <cell r="H222" t="str">
            <v/>
          </cell>
          <cell r="I222" t="str">
            <v/>
          </cell>
          <cell r="J222" t="str">
            <v>组件</v>
          </cell>
          <cell r="K222">
            <v>50</v>
          </cell>
          <cell r="L222">
            <v>45954</v>
          </cell>
          <cell r="M222" t="str">
            <v>3-配货完成</v>
          </cell>
        </row>
        <row r="222">
          <cell r="O222">
            <v>0</v>
          </cell>
          <cell r="P222" t="str">
            <v>哈尔滨东安实业发展有限公司</v>
          </cell>
          <cell r="Q222" t="str">
            <v>210</v>
          </cell>
        </row>
        <row r="222">
          <cell r="U222" t="str">
            <v>010000783746</v>
          </cell>
          <cell r="V222" t="str">
            <v>BIAOQIAN2</v>
          </cell>
          <cell r="W222" t="str">
            <v/>
          </cell>
          <cell r="X222" t="str">
            <v>CP-108-A</v>
          </cell>
          <cell r="Y222" t="str">
            <v/>
          </cell>
          <cell r="Z222" t="str">
            <v>1906</v>
          </cell>
          <cell r="AA222" t="str">
            <v>1100141177</v>
          </cell>
          <cell r="AB222">
            <v>50</v>
          </cell>
          <cell r="AC222" t="str">
            <v/>
          </cell>
          <cell r="AD222">
            <v>195</v>
          </cell>
          <cell r="AE222" t="str">
            <v>G-100016975-250210-0006-1</v>
          </cell>
        </row>
        <row r="223">
          <cell r="B223" t="str">
            <v>7101026930</v>
          </cell>
          <cell r="C223" t="str">
            <v>G2502-1654</v>
          </cell>
          <cell r="D223" t="str">
            <v>000042944039098250</v>
          </cell>
          <cell r="E223" t="str">
            <v>轻型带键锁紧螺套(细牙内螺纹)</v>
          </cell>
          <cell r="F223" t="str">
            <v>Q/2S5436-5</v>
          </cell>
          <cell r="G223" t="str">
            <v>5</v>
          </cell>
          <cell r="H223" t="str">
            <v/>
          </cell>
          <cell r="I223" t="str">
            <v/>
          </cell>
          <cell r="J223" t="str">
            <v>组件</v>
          </cell>
          <cell r="K223">
            <v>16</v>
          </cell>
          <cell r="L223">
            <v>45954</v>
          </cell>
          <cell r="M223" t="str">
            <v>3-配货完成</v>
          </cell>
        </row>
        <row r="223">
          <cell r="O223">
            <v>0</v>
          </cell>
          <cell r="P223" t="str">
            <v>哈尔滨东安实业发展有限公司</v>
          </cell>
          <cell r="Q223" t="str">
            <v>140</v>
          </cell>
        </row>
        <row r="223">
          <cell r="U223" t="str">
            <v>010000783746</v>
          </cell>
          <cell r="V223" t="str">
            <v>BIAOQIAN2</v>
          </cell>
          <cell r="W223" t="str">
            <v/>
          </cell>
          <cell r="X223" t="str">
            <v>CP-108-A</v>
          </cell>
          <cell r="Y223" t="str">
            <v/>
          </cell>
          <cell r="Z223" t="str">
            <v>1906</v>
          </cell>
          <cell r="AA223" t="str">
            <v>1100141177</v>
          </cell>
          <cell r="AB223">
            <v>64</v>
          </cell>
          <cell r="AC223" t="str">
            <v/>
          </cell>
          <cell r="AD223">
            <v>195</v>
          </cell>
          <cell r="AE223" t="str">
            <v>G-100016975-250210-0006-1</v>
          </cell>
        </row>
        <row r="224">
          <cell r="B224" t="str">
            <v>7101026949</v>
          </cell>
          <cell r="C224" t="str">
            <v>G2509-3364</v>
          </cell>
          <cell r="D224" t="str">
            <v>000042944000046748</v>
          </cell>
          <cell r="E224" t="str">
            <v>带键锁紧螺套</v>
          </cell>
          <cell r="F224" t="str">
            <v>HCB-42-820</v>
          </cell>
          <cell r="G224" t="str">
            <v>-</v>
          </cell>
          <cell r="H224" t="str">
            <v/>
          </cell>
          <cell r="I224" t="str">
            <v/>
          </cell>
          <cell r="J224" t="str">
            <v>组件</v>
          </cell>
          <cell r="K224">
            <v>14</v>
          </cell>
          <cell r="L224">
            <v>45954</v>
          </cell>
          <cell r="M224" t="str">
            <v>3-配货完成</v>
          </cell>
        </row>
        <row r="224">
          <cell r="O224">
            <v>0</v>
          </cell>
          <cell r="P224" t="str">
            <v>哈尔滨东安实业发展有限公司</v>
          </cell>
          <cell r="Q224" t="str">
            <v>20</v>
          </cell>
        </row>
        <row r="224">
          <cell r="U224" t="str">
            <v>010000869715</v>
          </cell>
          <cell r="V224" t="str">
            <v>BIAOQIAN2</v>
          </cell>
          <cell r="W224" t="str">
            <v/>
          </cell>
          <cell r="X224" t="str">
            <v>CP-108-A</v>
          </cell>
          <cell r="Y224" t="str">
            <v/>
          </cell>
          <cell r="Z224" t="str">
            <v>1906</v>
          </cell>
          <cell r="AA224" t="str">
            <v>1100149659</v>
          </cell>
          <cell r="AB224">
            <v>36</v>
          </cell>
          <cell r="AC224" t="str">
            <v>GJ2509-03364 C 1A</v>
          </cell>
          <cell r="AD224">
            <v>70</v>
          </cell>
          <cell r="AE224" t="str">
            <v>G-100016975-250704-0030</v>
          </cell>
        </row>
        <row r="225">
          <cell r="B225" t="str">
            <v>7101030097</v>
          </cell>
          <cell r="C225" t="str">
            <v>G2407-2313</v>
          </cell>
          <cell r="D225" t="str">
            <v>000042944288039751</v>
          </cell>
          <cell r="E225" t="str">
            <v>MJ螺纹双耳游动托板自锁螺母</v>
          </cell>
          <cell r="F225" t="str">
            <v>HB8387-2013</v>
          </cell>
          <cell r="G225" t="str">
            <v>6</v>
          </cell>
          <cell r="H225" t="str">
            <v/>
          </cell>
          <cell r="I225" t="str">
            <v/>
          </cell>
          <cell r="J225" t="str">
            <v>组件</v>
          </cell>
          <cell r="K225">
            <v>91</v>
          </cell>
          <cell r="L225">
            <v>45961</v>
          </cell>
          <cell r="M225" t="str">
            <v>1-已打印</v>
          </cell>
        </row>
        <row r="225">
          <cell r="O225">
            <v>0</v>
          </cell>
          <cell r="P225" t="str">
            <v>哈尔滨东安实业发展有限公司</v>
          </cell>
          <cell r="Q225" t="str">
            <v>50</v>
          </cell>
        </row>
        <row r="225">
          <cell r="U225" t="str">
            <v>010000721131</v>
          </cell>
          <cell r="V225" t="str">
            <v/>
          </cell>
          <cell r="W225" t="str">
            <v/>
          </cell>
          <cell r="X225" t="str">
            <v>CP-108-A</v>
          </cell>
          <cell r="Y225" t="str">
            <v/>
          </cell>
          <cell r="Z225" t="str">
            <v>1906</v>
          </cell>
          <cell r="AA225" t="str">
            <v>1100135389</v>
          </cell>
          <cell r="AB225">
            <v>135</v>
          </cell>
          <cell r="AC225" t="str">
            <v/>
          </cell>
          <cell r="AD225">
            <v>56</v>
          </cell>
          <cell r="AE225" t="str">
            <v>G-100016975-241014-0042-1</v>
          </cell>
        </row>
        <row r="226">
          <cell r="B226" t="str">
            <v>7101030093</v>
          </cell>
          <cell r="C226" t="str">
            <v>G2312-0470</v>
          </cell>
          <cell r="D226" t="str">
            <v>000042944999002605</v>
          </cell>
          <cell r="E226" t="str">
            <v>带键锁紧螺桩</v>
          </cell>
          <cell r="F226" t="str">
            <v>8S.DFD20.3.802</v>
          </cell>
          <cell r="G226" t="str">
            <v>-</v>
          </cell>
          <cell r="H226" t="str">
            <v/>
          </cell>
          <cell r="I226" t="str">
            <v/>
          </cell>
          <cell r="J226" t="str">
            <v>组件</v>
          </cell>
          <cell r="K226">
            <v>50</v>
          </cell>
          <cell r="L226">
            <v>45961</v>
          </cell>
          <cell r="M226" t="str">
            <v>1-已打印</v>
          </cell>
        </row>
        <row r="226">
          <cell r="O226">
            <v>0</v>
          </cell>
          <cell r="P226" t="str">
            <v>哈尔滨东安实业发展有限公司</v>
          </cell>
          <cell r="Q226" t="str">
            <v>240</v>
          </cell>
        </row>
        <row r="226">
          <cell r="U226" t="str">
            <v>010000657073</v>
          </cell>
          <cell r="V226" t="str">
            <v/>
          </cell>
          <cell r="W226" t="str">
            <v/>
          </cell>
          <cell r="X226" t="str">
            <v>CP-108-A/CP-C8-2-4-3</v>
          </cell>
          <cell r="Y226" t="str">
            <v/>
          </cell>
          <cell r="Z226" t="str">
            <v>1906</v>
          </cell>
          <cell r="AA226" t="str">
            <v>1100141177</v>
          </cell>
          <cell r="AB226">
            <v>50</v>
          </cell>
          <cell r="AC226" t="str">
            <v>GJ2312-00470-S-1A</v>
          </cell>
          <cell r="AD226">
            <v>196.98</v>
          </cell>
          <cell r="AE226" t="str">
            <v>G-100016975-250210-0006-1</v>
          </cell>
        </row>
        <row r="227">
          <cell r="B227" t="str">
            <v>7101029827</v>
          </cell>
          <cell r="C227" t="str">
            <v>G2407-2290</v>
          </cell>
          <cell r="D227" t="str">
            <v>000042944999010045</v>
          </cell>
          <cell r="E227" t="str">
            <v>定位环</v>
          </cell>
          <cell r="F227" t="str">
            <v>WZ10.66.1079</v>
          </cell>
          <cell r="G227" t="str">
            <v>-</v>
          </cell>
          <cell r="H227" t="str">
            <v/>
          </cell>
          <cell r="I227" t="str">
            <v/>
          </cell>
          <cell r="J227" t="str">
            <v>0Cr18Ni9</v>
          </cell>
          <cell r="K227">
            <v>100</v>
          </cell>
          <cell r="L227">
            <v>45961</v>
          </cell>
          <cell r="M227" t="str">
            <v>4-检验完成</v>
          </cell>
        </row>
        <row r="227">
          <cell r="O227">
            <v>0</v>
          </cell>
          <cell r="P227" t="str">
            <v>哈尔滨东安实业发展有限公司</v>
          </cell>
          <cell r="Q227" t="str">
            <v>10</v>
          </cell>
          <cell r="R227">
            <v>45964</v>
          </cell>
        </row>
        <row r="227">
          <cell r="U227" t="str">
            <v>010000721088</v>
          </cell>
          <cell r="V227" t="str">
            <v>BIAOQIAN2</v>
          </cell>
          <cell r="W227" t="str">
            <v/>
          </cell>
          <cell r="X227" t="str">
            <v>CP-108-A</v>
          </cell>
          <cell r="Y227" t="str">
            <v/>
          </cell>
          <cell r="Z227" t="str">
            <v>1906</v>
          </cell>
          <cell r="AA227" t="str">
            <v>1100141633</v>
          </cell>
          <cell r="AB227">
            <v>100</v>
          </cell>
          <cell r="AC227" t="str">
            <v/>
          </cell>
          <cell r="AD227">
            <v>20</v>
          </cell>
          <cell r="AE227" t="str">
            <v>G-100016975-250217-0009</v>
          </cell>
        </row>
        <row r="228">
          <cell r="B228" t="str">
            <v>7101029826</v>
          </cell>
          <cell r="C228" t="str">
            <v>G2407-2290</v>
          </cell>
          <cell r="D228" t="str">
            <v>000042944999010045</v>
          </cell>
          <cell r="E228" t="str">
            <v>定位环</v>
          </cell>
          <cell r="F228" t="str">
            <v>WZ10.66.1079</v>
          </cell>
          <cell r="G228" t="str">
            <v>-</v>
          </cell>
          <cell r="H228" t="str">
            <v/>
          </cell>
          <cell r="I228" t="str">
            <v/>
          </cell>
          <cell r="J228" t="str">
            <v>0Cr18Ni9</v>
          </cell>
          <cell r="K228">
            <v>670</v>
          </cell>
          <cell r="L228">
            <v>45961</v>
          </cell>
          <cell r="M228" t="str">
            <v>3-配货完成</v>
          </cell>
        </row>
        <row r="228">
          <cell r="O228">
            <v>0</v>
          </cell>
          <cell r="P228" t="str">
            <v>哈尔滨东安实业发展有限公司</v>
          </cell>
          <cell r="Q228" t="str">
            <v>170</v>
          </cell>
        </row>
        <row r="228">
          <cell r="U228" t="str">
            <v>010000721088</v>
          </cell>
          <cell r="V228" t="str">
            <v>BIAOQIAN2</v>
          </cell>
          <cell r="W228" t="str">
            <v/>
          </cell>
          <cell r="X228" t="str">
            <v>CP-108-A</v>
          </cell>
          <cell r="Y228" t="str">
            <v/>
          </cell>
          <cell r="Z228" t="str">
            <v>1906</v>
          </cell>
          <cell r="AA228" t="str">
            <v>1100124375</v>
          </cell>
          <cell r="AB228">
            <v>670</v>
          </cell>
          <cell r="AC228" t="str">
            <v/>
          </cell>
          <cell r="AD228">
            <v>20</v>
          </cell>
          <cell r="AE228" t="str">
            <v>G1302-240122-035</v>
          </cell>
        </row>
        <row r="229">
          <cell r="B229" t="str">
            <v>7101029825</v>
          </cell>
          <cell r="C229" t="str">
            <v>G2407-2290</v>
          </cell>
          <cell r="D229" t="str">
            <v>000042944999010045</v>
          </cell>
          <cell r="E229" t="str">
            <v>定位环</v>
          </cell>
          <cell r="F229" t="str">
            <v>WZ10.66.1079</v>
          </cell>
          <cell r="G229" t="str">
            <v>-</v>
          </cell>
          <cell r="H229" t="str">
            <v/>
          </cell>
          <cell r="I229" t="str">
            <v/>
          </cell>
          <cell r="J229" t="str">
            <v>0Cr18Ni9</v>
          </cell>
          <cell r="K229">
            <v>642</v>
          </cell>
          <cell r="L229">
            <v>45961</v>
          </cell>
          <cell r="M229" t="str">
            <v>3-配货完成</v>
          </cell>
        </row>
        <row r="229">
          <cell r="O229">
            <v>0</v>
          </cell>
          <cell r="P229" t="str">
            <v>哈尔滨东安实业发展有限公司</v>
          </cell>
          <cell r="Q229" t="str">
            <v>90</v>
          </cell>
        </row>
        <row r="229">
          <cell r="U229" t="str">
            <v>010000721088</v>
          </cell>
          <cell r="V229" t="str">
            <v>BIAOQIAN2</v>
          </cell>
          <cell r="W229" t="str">
            <v/>
          </cell>
          <cell r="X229" t="str">
            <v>CP-108-A</v>
          </cell>
          <cell r="Y229" t="str">
            <v/>
          </cell>
          <cell r="Z229" t="str">
            <v>1906</v>
          </cell>
          <cell r="AA229" t="str">
            <v>1100123175</v>
          </cell>
          <cell r="AB229">
            <v>642</v>
          </cell>
          <cell r="AC229" t="str">
            <v/>
          </cell>
          <cell r="AD229">
            <v>20</v>
          </cell>
          <cell r="AE229" t="str">
            <v>G1302-240102-004</v>
          </cell>
        </row>
        <row r="230">
          <cell r="B230" t="str">
            <v>7101022910</v>
          </cell>
          <cell r="C230" t="str">
            <v>G2505-1321</v>
          </cell>
          <cell r="D230" t="str">
            <v>000042944360151880</v>
          </cell>
          <cell r="E230" t="str">
            <v>圆柱销</v>
          </cell>
          <cell r="F230" t="str">
            <v>Q/8S1337.1-2024</v>
          </cell>
          <cell r="G230" t="str">
            <v>A-014</v>
          </cell>
          <cell r="H230" t="str">
            <v>27-35HRC</v>
          </cell>
          <cell r="I230" t="str">
            <v>Ct·P</v>
          </cell>
          <cell r="J230" t="str">
            <v>GH2132</v>
          </cell>
          <cell r="K230">
            <v>15</v>
          </cell>
          <cell r="L230">
            <v>45947</v>
          </cell>
          <cell r="M230" t="str">
            <v>3-配货完成</v>
          </cell>
        </row>
        <row r="230">
          <cell r="O230">
            <v>0</v>
          </cell>
          <cell r="P230" t="str">
            <v>哈尔滨东安实业发展有限公司</v>
          </cell>
          <cell r="Q230" t="str">
            <v>30</v>
          </cell>
        </row>
        <row r="230">
          <cell r="U230" t="str">
            <v>010000827084</v>
          </cell>
          <cell r="V230" t="str">
            <v>BIAOQIAN2</v>
          </cell>
          <cell r="W230" t="str">
            <v/>
          </cell>
          <cell r="X230" t="str">
            <v>CP-108-A</v>
          </cell>
          <cell r="Y230" t="str">
            <v/>
          </cell>
          <cell r="Z230" t="str">
            <v>1906</v>
          </cell>
          <cell r="AA230" t="str">
            <v>1100141949</v>
          </cell>
          <cell r="AB230">
            <v>15</v>
          </cell>
          <cell r="AC230" t="str">
            <v/>
          </cell>
          <cell r="AD230">
            <v>34.83</v>
          </cell>
          <cell r="AE230" t="str">
            <v>G-100016975-250221-0010-1</v>
          </cell>
        </row>
        <row r="231">
          <cell r="B231" t="str">
            <v>7101022908</v>
          </cell>
          <cell r="C231" t="str">
            <v>G2504-0208</v>
          </cell>
          <cell r="D231" t="str">
            <v>000042944360046158</v>
          </cell>
          <cell r="E231" t="str">
            <v>止动销</v>
          </cell>
          <cell r="F231" t="str">
            <v>2523310</v>
          </cell>
          <cell r="G231" t="str">
            <v>Ⅰ</v>
          </cell>
          <cell r="H231" t="str">
            <v/>
          </cell>
          <cell r="I231" t="str">
            <v>Ep·Zn·c2C</v>
          </cell>
          <cell r="J231" t="str">
            <v>HPb59-1</v>
          </cell>
          <cell r="K231">
            <v>58</v>
          </cell>
          <cell r="L231">
            <v>45947</v>
          </cell>
          <cell r="M231" t="str">
            <v>3-配货完成</v>
          </cell>
        </row>
        <row r="231">
          <cell r="O231">
            <v>0</v>
          </cell>
          <cell r="P231" t="str">
            <v>哈尔滨东安实业发展有限公司</v>
          </cell>
          <cell r="Q231" t="str">
            <v>170</v>
          </cell>
        </row>
        <row r="231">
          <cell r="U231" t="str">
            <v>010000804897</v>
          </cell>
          <cell r="V231" t="str">
            <v>PANQIFANG</v>
          </cell>
          <cell r="W231" t="str">
            <v/>
          </cell>
          <cell r="X231" t="str">
            <v>CP-K6-2-4-5</v>
          </cell>
          <cell r="Y231" t="str">
            <v/>
          </cell>
          <cell r="Z231" t="str">
            <v>1906</v>
          </cell>
          <cell r="AA231" t="str">
            <v>1100141177</v>
          </cell>
          <cell r="AB231">
            <v>58</v>
          </cell>
          <cell r="AC231" t="str">
            <v/>
          </cell>
          <cell r="AD231">
            <v>50</v>
          </cell>
          <cell r="AE231" t="str">
            <v>G-100016975-250210-0006-1</v>
          </cell>
        </row>
        <row r="232">
          <cell r="B232" t="str">
            <v>7101022902</v>
          </cell>
          <cell r="C232" t="str">
            <v>GW2408-003</v>
          </cell>
          <cell r="D232" t="str">
            <v>000042944360004322</v>
          </cell>
          <cell r="E232" t="str">
            <v>弹性圆柱销</v>
          </cell>
          <cell r="F232" t="str">
            <v>GB879-1986</v>
          </cell>
          <cell r="G232" t="str">
            <v>3×8</v>
          </cell>
          <cell r="H232" t="str">
            <v>420-560HV</v>
          </cell>
          <cell r="I232" t="str">
            <v>Ct·O</v>
          </cell>
          <cell r="J232" t="str">
            <v>65Mn</v>
          </cell>
          <cell r="K232">
            <v>190</v>
          </cell>
          <cell r="L232">
            <v>45947</v>
          </cell>
          <cell r="M232" t="str">
            <v>3-配货完成</v>
          </cell>
        </row>
        <row r="232">
          <cell r="O232">
            <v>0</v>
          </cell>
          <cell r="P232" t="str">
            <v>哈尔滨东安实业发展有限公司</v>
          </cell>
          <cell r="Q232" t="str">
            <v>10</v>
          </cell>
        </row>
        <row r="232">
          <cell r="U232" t="str">
            <v/>
          </cell>
          <cell r="V232" t="str">
            <v>BIAOQIAN1</v>
          </cell>
          <cell r="W232" t="str">
            <v/>
          </cell>
          <cell r="X232" t="str">
            <v>XH-000/CP-27-5-2-2</v>
          </cell>
          <cell r="Y232" t="str">
            <v/>
          </cell>
          <cell r="Z232" t="str">
            <v>1906</v>
          </cell>
          <cell r="AA232" t="str">
            <v>1100122539</v>
          </cell>
          <cell r="AB232">
            <v>200</v>
          </cell>
          <cell r="AC232" t="str">
            <v/>
          </cell>
          <cell r="AD232">
            <v>0.4</v>
          </cell>
          <cell r="AE232" t="str">
            <v>G1302-231220-286-H</v>
          </cell>
        </row>
        <row r="233">
          <cell r="B233" t="str">
            <v>7101022897</v>
          </cell>
          <cell r="C233" t="str">
            <v>GW2505-040</v>
          </cell>
          <cell r="D233" t="str">
            <v>000042944239004239</v>
          </cell>
          <cell r="E233" t="str">
            <v>光杆公差带r6抗剪型100°沉头高锁螺栓</v>
          </cell>
          <cell r="F233" t="str">
            <v>GJB134.2-1986</v>
          </cell>
          <cell r="G233" t="str">
            <v>6×14</v>
          </cell>
          <cell r="H233" t="str">
            <v>σb=1175±100MPa</v>
          </cell>
          <cell r="I233" t="str">
            <v>Ct·O+Dp·CA</v>
          </cell>
          <cell r="J233" t="str">
            <v>ML30CrMnSiA</v>
          </cell>
          <cell r="K233">
            <v>34</v>
          </cell>
          <cell r="L233">
            <v>45947</v>
          </cell>
          <cell r="M233" t="str">
            <v>3-配货完成</v>
          </cell>
        </row>
        <row r="233">
          <cell r="O233">
            <v>0</v>
          </cell>
          <cell r="P233" t="str">
            <v>哈尔滨东安实业发展有限公司</v>
          </cell>
          <cell r="Q233" t="str">
            <v>10</v>
          </cell>
        </row>
        <row r="233">
          <cell r="U233" t="str">
            <v/>
          </cell>
          <cell r="V233" t="str">
            <v>PANQIFANG</v>
          </cell>
          <cell r="W233" t="str">
            <v/>
          </cell>
          <cell r="X233" t="str">
            <v>XH-91-4-2-3</v>
          </cell>
          <cell r="Y233" t="str">
            <v/>
          </cell>
          <cell r="Z233" t="str">
            <v>1906</v>
          </cell>
          <cell r="AA233" t="str">
            <v>1100153644</v>
          </cell>
          <cell r="AB233">
            <v>85</v>
          </cell>
          <cell r="AC233" t="str">
            <v/>
          </cell>
          <cell r="AD233">
            <v>101.44</v>
          </cell>
          <cell r="AE233" t="str">
            <v>G-100016975-250925-0053</v>
          </cell>
        </row>
        <row r="234">
          <cell r="B234" t="str">
            <v>7101022886</v>
          </cell>
          <cell r="C234" t="str">
            <v>GW2505-040</v>
          </cell>
          <cell r="D234" t="str">
            <v>000042944239004239</v>
          </cell>
          <cell r="E234" t="str">
            <v>高锁螺栓</v>
          </cell>
          <cell r="F234" t="str">
            <v>GJB134.2-6×14</v>
          </cell>
          <cell r="G234" t="str">
            <v>6×14</v>
          </cell>
          <cell r="H234" t="str">
            <v>σb=1175±100MPa</v>
          </cell>
          <cell r="I234" t="str">
            <v>Ct·O+Dp·CA</v>
          </cell>
          <cell r="J234" t="str">
            <v>ML30CrMnSiA</v>
          </cell>
          <cell r="K234">
            <v>51</v>
          </cell>
          <cell r="L234">
            <v>45947</v>
          </cell>
          <cell r="M234" t="str">
            <v>3-配货完成</v>
          </cell>
        </row>
        <row r="234">
          <cell r="O234">
            <v>0</v>
          </cell>
          <cell r="P234" t="str">
            <v>哈尔滨东安实业发展有限公司</v>
          </cell>
          <cell r="Q234" t="str">
            <v>30</v>
          </cell>
        </row>
        <row r="234">
          <cell r="U234" t="str">
            <v/>
          </cell>
          <cell r="V234" t="str">
            <v>PANQIFANG</v>
          </cell>
          <cell r="W234" t="str">
            <v/>
          </cell>
          <cell r="X234" t="str">
            <v>XH-91-4-2-3</v>
          </cell>
          <cell r="Y234" t="str">
            <v/>
          </cell>
          <cell r="Z234" t="str">
            <v>1906</v>
          </cell>
          <cell r="AA234" t="str">
            <v>1100145380</v>
          </cell>
          <cell r="AB234">
            <v>51</v>
          </cell>
          <cell r="AC234" t="str">
            <v/>
          </cell>
          <cell r="AD234">
            <v>101.4</v>
          </cell>
          <cell r="AE234" t="str">
            <v>G-100016975-250416-0020</v>
          </cell>
        </row>
        <row r="235">
          <cell r="B235" t="str">
            <v>7101021859</v>
          </cell>
          <cell r="C235" t="str">
            <v>G2402-1226</v>
          </cell>
          <cell r="D235" t="str">
            <v>000042944999002605</v>
          </cell>
          <cell r="E235" t="str">
            <v>带键锁紧螺桩</v>
          </cell>
          <cell r="F235" t="str">
            <v>8S.DFD20.3.802</v>
          </cell>
          <cell r="G235" t="str">
            <v>-</v>
          </cell>
          <cell r="H235" t="str">
            <v/>
          </cell>
          <cell r="I235" t="str">
            <v/>
          </cell>
          <cell r="J235" t="str">
            <v>组件</v>
          </cell>
          <cell r="K235">
            <v>150</v>
          </cell>
          <cell r="L235">
            <v>45946</v>
          </cell>
          <cell r="M235" t="str">
            <v>3-配货完成</v>
          </cell>
        </row>
        <row r="235">
          <cell r="O235">
            <v>0</v>
          </cell>
          <cell r="P235" t="str">
            <v>哈尔滨东安实业发展有限公司</v>
          </cell>
          <cell r="Q235" t="str">
            <v>90</v>
          </cell>
        </row>
        <row r="235">
          <cell r="U235" t="str">
            <v>010000675296</v>
          </cell>
          <cell r="V235" t="str">
            <v>BIAOQIAN4</v>
          </cell>
          <cell r="W235" t="str">
            <v/>
          </cell>
          <cell r="X235" t="str">
            <v>CP-108-A</v>
          </cell>
          <cell r="Y235" t="str">
            <v/>
          </cell>
          <cell r="Z235" t="str">
            <v>1906</v>
          </cell>
          <cell r="AA235" t="str">
            <v>1100124770</v>
          </cell>
          <cell r="AB235">
            <v>150</v>
          </cell>
          <cell r="AC235" t="str">
            <v/>
          </cell>
          <cell r="AD235">
            <v>197</v>
          </cell>
          <cell r="AE235" t="str">
            <v>G1302-240205-037</v>
          </cell>
        </row>
        <row r="236">
          <cell r="B236" t="str">
            <v>7101020770</v>
          </cell>
          <cell r="C236" t="str">
            <v>G2411-2338</v>
          </cell>
          <cell r="D236" t="str">
            <v>000042944039095271</v>
          </cell>
          <cell r="E236" t="str">
            <v>带键自锁螺套</v>
          </cell>
          <cell r="F236" t="str">
            <v>Q/S15.1119A-6</v>
          </cell>
          <cell r="G236" t="str">
            <v>A-6</v>
          </cell>
          <cell r="H236" t="str">
            <v/>
          </cell>
          <cell r="I236" t="str">
            <v/>
          </cell>
          <cell r="J236" t="str">
            <v>组件</v>
          </cell>
          <cell r="K236">
            <v>120</v>
          </cell>
          <cell r="L236">
            <v>45944</v>
          </cell>
          <cell r="M236" t="str">
            <v>1-已打印</v>
          </cell>
        </row>
        <row r="236">
          <cell r="O236">
            <v>0</v>
          </cell>
          <cell r="P236" t="str">
            <v>哈尔滨东安实业发展有限公司</v>
          </cell>
          <cell r="Q236" t="str">
            <v>20</v>
          </cell>
        </row>
        <row r="236">
          <cell r="U236" t="str">
            <v>010000754260</v>
          </cell>
          <cell r="V236" t="str">
            <v/>
          </cell>
          <cell r="W236" t="str">
            <v/>
          </cell>
          <cell r="X236" t="str">
            <v>CP-C8-4-4-4</v>
          </cell>
          <cell r="Y236" t="str">
            <v/>
          </cell>
          <cell r="Z236" t="str">
            <v>1906</v>
          </cell>
          <cell r="AA236" t="str">
            <v>1100153106</v>
          </cell>
          <cell r="AB236">
            <v>120</v>
          </cell>
          <cell r="AC236" t="str">
            <v>GJ2411-02338</v>
          </cell>
          <cell r="AD236">
            <v>90</v>
          </cell>
          <cell r="AE236" t="str">
            <v>G-100016975-250917-0049</v>
          </cell>
        </row>
        <row r="237">
          <cell r="B237" t="str">
            <v>7101008466</v>
          </cell>
          <cell r="C237" t="str">
            <v>G2501-2547</v>
          </cell>
          <cell r="D237" t="str">
            <v>000042944319134853</v>
          </cell>
          <cell r="E237" t="str">
            <v>外套螺母</v>
          </cell>
          <cell r="F237" t="str">
            <v>SPE4006(D版)</v>
          </cell>
          <cell r="G237" t="str">
            <v>CEE4006R05NL</v>
          </cell>
          <cell r="H237" t="str">
            <v/>
          </cell>
          <cell r="I237" t="str">
            <v>钝化+干膜润滑</v>
          </cell>
          <cell r="J237" t="str">
            <v>321</v>
          </cell>
          <cell r="K237">
            <v>50</v>
          </cell>
          <cell r="L237">
            <v>45915</v>
          </cell>
          <cell r="M237" t="str">
            <v>4-检验完成</v>
          </cell>
        </row>
        <row r="237">
          <cell r="O237">
            <v>0</v>
          </cell>
          <cell r="P237" t="str">
            <v>哈尔滨东安实业发展有限公司</v>
          </cell>
          <cell r="Q237" t="str">
            <v>10</v>
          </cell>
          <cell r="R237">
            <v>45944</v>
          </cell>
        </row>
        <row r="237">
          <cell r="U237" t="str">
            <v>010000777484</v>
          </cell>
          <cell r="V237" t="str">
            <v>PANQIFANG</v>
          </cell>
          <cell r="W237" t="str">
            <v/>
          </cell>
          <cell r="X237" t="str">
            <v>CP-K4-1-5-3</v>
          </cell>
          <cell r="Y237" t="str">
            <v/>
          </cell>
          <cell r="Z237" t="str">
            <v>1906</v>
          </cell>
          <cell r="AA237" t="str">
            <v>1100152856</v>
          </cell>
          <cell r="AB237">
            <v>50</v>
          </cell>
          <cell r="AC237" t="str">
            <v/>
          </cell>
          <cell r="AD237">
            <v>20</v>
          </cell>
          <cell r="AE237" t="str">
            <v>G-100016975-250911-0047</v>
          </cell>
        </row>
        <row r="238">
          <cell r="B238" t="str">
            <v>7101034877</v>
          </cell>
          <cell r="C238" t="str">
            <v>G2501-2772</v>
          </cell>
          <cell r="D238" t="str">
            <v>000042944999027918</v>
          </cell>
          <cell r="E238" t="str">
            <v>螺桩</v>
          </cell>
          <cell r="F238" t="str">
            <v>1BRZA12375-06-015</v>
          </cell>
          <cell r="G238" t="str">
            <v>06-015</v>
          </cell>
          <cell r="H238" t="str">
            <v>σb=980±100MPa</v>
          </cell>
          <cell r="I238" t="str">
            <v>Ep·Cd5-8·c2C</v>
          </cell>
          <cell r="J238" t="str">
            <v>40CrNiMoA</v>
          </cell>
          <cell r="K238">
            <v>69</v>
          </cell>
          <cell r="L238">
            <v>45973</v>
          </cell>
          <cell r="M238" t="str">
            <v>1-已打印</v>
          </cell>
        </row>
        <row r="238">
          <cell r="O238">
            <v>0</v>
          </cell>
          <cell r="P238" t="str">
            <v>哈尔滨东安实业发展有限公司</v>
          </cell>
          <cell r="Q238" t="str">
            <v>10</v>
          </cell>
        </row>
        <row r="238">
          <cell r="U238" t="str">
            <v>010000777982</v>
          </cell>
          <cell r="V238" t="str">
            <v/>
          </cell>
          <cell r="W238" t="str">
            <v/>
          </cell>
          <cell r="X238" t="str">
            <v>CP-19-1-3-7</v>
          </cell>
          <cell r="Y238" t="str">
            <v/>
          </cell>
          <cell r="Z238" t="str">
            <v>1906</v>
          </cell>
          <cell r="AA238" t="str">
            <v>1100155582</v>
          </cell>
          <cell r="AB238">
            <v>500</v>
          </cell>
          <cell r="AC238" t="str">
            <v/>
          </cell>
          <cell r="AD238">
            <v>35</v>
          </cell>
          <cell r="AE238" t="str">
            <v>G-100016975-251110-0065</v>
          </cell>
        </row>
        <row r="239">
          <cell r="B239" t="str">
            <v>7101034877</v>
          </cell>
          <cell r="C239" t="str">
            <v>G2507-1612</v>
          </cell>
          <cell r="D239" t="str">
            <v>000042944999027918</v>
          </cell>
          <cell r="E239" t="str">
            <v>螺桩</v>
          </cell>
          <cell r="F239" t="str">
            <v>1BRZA12375-06-015</v>
          </cell>
          <cell r="G239" t="str">
            <v>06-015</v>
          </cell>
          <cell r="H239" t="str">
            <v>σb=980±100MPa</v>
          </cell>
          <cell r="I239" t="str">
            <v>Ep·Cd5-8·c2C</v>
          </cell>
          <cell r="J239" t="str">
            <v>40CrNiMoA</v>
          </cell>
          <cell r="K239">
            <v>64</v>
          </cell>
          <cell r="L239">
            <v>45973</v>
          </cell>
          <cell r="M239" t="str">
            <v>1-已打印</v>
          </cell>
        </row>
        <row r="239">
          <cell r="O239">
            <v>0</v>
          </cell>
          <cell r="P239" t="str">
            <v>哈尔滨东安实业发展有限公司</v>
          </cell>
          <cell r="Q239" t="str">
            <v>10</v>
          </cell>
        </row>
        <row r="239">
          <cell r="U239" t="str">
            <v>010000847077</v>
          </cell>
          <cell r="V239" t="str">
            <v/>
          </cell>
          <cell r="W239" t="str">
            <v/>
          </cell>
          <cell r="X239" t="str">
            <v>CP-55-2-4-10</v>
          </cell>
          <cell r="Y239" t="str">
            <v/>
          </cell>
          <cell r="Z239" t="str">
            <v>1906</v>
          </cell>
          <cell r="AA239" t="str">
            <v>1100155582</v>
          </cell>
          <cell r="AB239">
            <v>500</v>
          </cell>
          <cell r="AC239" t="str">
            <v/>
          </cell>
          <cell r="AD239">
            <v>35</v>
          </cell>
          <cell r="AE239" t="str">
            <v>G-100016975-251110-0065</v>
          </cell>
        </row>
        <row r="240">
          <cell r="B240" t="str">
            <v>7101033950</v>
          </cell>
          <cell r="C240" t="str">
            <v>G2507-1213</v>
          </cell>
          <cell r="D240" t="str">
            <v>000042944039098249</v>
          </cell>
          <cell r="E240" t="str">
            <v>轻型带键锁紧螺套(细牙内螺纹)</v>
          </cell>
          <cell r="F240" t="str">
            <v>Q/2S5436-4</v>
          </cell>
          <cell r="G240" t="str">
            <v>4</v>
          </cell>
          <cell r="H240" t="str">
            <v/>
          </cell>
          <cell r="I240" t="str">
            <v/>
          </cell>
          <cell r="J240" t="str">
            <v>组件</v>
          </cell>
          <cell r="K240">
            <v>90</v>
          </cell>
          <cell r="L240">
            <v>45971</v>
          </cell>
          <cell r="M240" t="str">
            <v>3-配货完成</v>
          </cell>
        </row>
        <row r="240">
          <cell r="O240">
            <v>0</v>
          </cell>
          <cell r="P240" t="str">
            <v>哈尔滨东安实业发展有限公司</v>
          </cell>
          <cell r="Q240" t="str">
            <v>10</v>
          </cell>
        </row>
        <row r="240">
          <cell r="U240" t="str">
            <v>010000845630</v>
          </cell>
          <cell r="V240" t="str">
            <v>BIAOQIAN4</v>
          </cell>
          <cell r="W240" t="str">
            <v/>
          </cell>
          <cell r="X240" t="str">
            <v>CP-108-A</v>
          </cell>
          <cell r="Y240" t="str">
            <v/>
          </cell>
          <cell r="Z240" t="str">
            <v>1906</v>
          </cell>
          <cell r="AA240" t="str">
            <v>1100137755</v>
          </cell>
          <cell r="AB240">
            <v>100</v>
          </cell>
          <cell r="AC240" t="str">
            <v/>
          </cell>
          <cell r="AD240">
            <v>195</v>
          </cell>
          <cell r="AE240" t="str">
            <v>G-100016975-241126-0212</v>
          </cell>
        </row>
        <row r="241">
          <cell r="B241" t="str">
            <v>7101033949</v>
          </cell>
          <cell r="C241" t="str">
            <v>G2507-1213</v>
          </cell>
          <cell r="D241" t="str">
            <v>000042944039098249</v>
          </cell>
          <cell r="E241" t="str">
            <v>轻型带键锁紧螺套(细牙内螺纹)</v>
          </cell>
          <cell r="F241" t="str">
            <v>Q/2S5436-4</v>
          </cell>
          <cell r="G241" t="str">
            <v>4</v>
          </cell>
          <cell r="H241" t="str">
            <v/>
          </cell>
          <cell r="I241" t="str">
            <v/>
          </cell>
          <cell r="J241" t="str">
            <v>组件</v>
          </cell>
          <cell r="K241">
            <v>80</v>
          </cell>
          <cell r="L241">
            <v>45971</v>
          </cell>
          <cell r="M241" t="str">
            <v>3-配货完成</v>
          </cell>
        </row>
        <row r="241">
          <cell r="O241">
            <v>0</v>
          </cell>
          <cell r="P241" t="str">
            <v>哈尔滨东安实业发展有限公司</v>
          </cell>
          <cell r="Q241" t="str">
            <v>200</v>
          </cell>
        </row>
        <row r="241">
          <cell r="U241" t="str">
            <v>010000845630</v>
          </cell>
          <cell r="V241" t="str">
            <v>BIAOQIAN4</v>
          </cell>
          <cell r="W241" t="str">
            <v/>
          </cell>
          <cell r="X241" t="str">
            <v>CP-108-A</v>
          </cell>
          <cell r="Y241" t="str">
            <v/>
          </cell>
          <cell r="Z241" t="str">
            <v>1906</v>
          </cell>
          <cell r="AA241" t="str">
            <v>1100141177</v>
          </cell>
          <cell r="AB241">
            <v>80</v>
          </cell>
          <cell r="AC241" t="str">
            <v/>
          </cell>
          <cell r="AD241">
            <v>195</v>
          </cell>
          <cell r="AE241" t="str">
            <v>G-100016975-250210-0006-1</v>
          </cell>
        </row>
        <row r="242">
          <cell r="B242" t="str">
            <v>7101033949</v>
          </cell>
          <cell r="C242" t="str">
            <v>G2507-1213</v>
          </cell>
          <cell r="D242" t="str">
            <v>000042944039098249</v>
          </cell>
          <cell r="E242" t="str">
            <v>轻型带键锁紧螺套(细牙内螺纹)</v>
          </cell>
          <cell r="F242" t="str">
            <v>Q/2S5436-4</v>
          </cell>
          <cell r="G242" t="str">
            <v>4</v>
          </cell>
          <cell r="H242" t="str">
            <v/>
          </cell>
          <cell r="I242" t="str">
            <v/>
          </cell>
          <cell r="J242" t="str">
            <v>组件</v>
          </cell>
          <cell r="K242">
            <v>465</v>
          </cell>
          <cell r="L242">
            <v>45971</v>
          </cell>
          <cell r="M242" t="str">
            <v>3-配货完成</v>
          </cell>
        </row>
        <row r="242">
          <cell r="O242">
            <v>0</v>
          </cell>
          <cell r="P242" t="str">
            <v>哈尔滨东安实业发展有限公司</v>
          </cell>
          <cell r="Q242" t="str">
            <v>150</v>
          </cell>
        </row>
        <row r="242">
          <cell r="U242" t="str">
            <v>010000845630</v>
          </cell>
          <cell r="V242" t="str">
            <v>BIAOQIAN4</v>
          </cell>
          <cell r="W242" t="str">
            <v/>
          </cell>
          <cell r="X242" t="str">
            <v>CP-108-A</v>
          </cell>
          <cell r="Y242" t="str">
            <v/>
          </cell>
          <cell r="Z242" t="str">
            <v>1906</v>
          </cell>
          <cell r="AA242" t="str">
            <v>1100141177</v>
          </cell>
          <cell r="AB242">
            <v>576</v>
          </cell>
          <cell r="AC242" t="str">
            <v/>
          </cell>
          <cell r="AD242">
            <v>195</v>
          </cell>
          <cell r="AE242" t="str">
            <v>G-100016975-250210-0006-1</v>
          </cell>
        </row>
        <row r="243">
          <cell r="B243" t="str">
            <v>7101031685</v>
          </cell>
          <cell r="C243" t="str">
            <v>G2409-1811</v>
          </cell>
          <cell r="D243" t="str">
            <v>000042944239008493</v>
          </cell>
          <cell r="E243" t="str">
            <v>高锁螺栓</v>
          </cell>
          <cell r="F243" t="str">
            <v>JS20.14.012</v>
          </cell>
          <cell r="G243" t="str">
            <v>-</v>
          </cell>
          <cell r="H243" t="str">
            <v>σb=1175±100MPa</v>
          </cell>
          <cell r="I243" t="str">
            <v>Ct·O+十六醇</v>
          </cell>
          <cell r="J243" t="str">
            <v>ML30CrMnSiA</v>
          </cell>
          <cell r="K243">
            <v>72</v>
          </cell>
          <cell r="L243">
            <v>45966</v>
          </cell>
          <cell r="M243" t="str">
            <v>3-配货完成</v>
          </cell>
        </row>
        <row r="243">
          <cell r="O243">
            <v>0</v>
          </cell>
          <cell r="P243" t="str">
            <v>哈尔滨东安实业发展有限公司</v>
          </cell>
          <cell r="Q243" t="str">
            <v>130</v>
          </cell>
        </row>
        <row r="243">
          <cell r="U243" t="str">
            <v>010000736436</v>
          </cell>
          <cell r="V243" t="str">
            <v>BIAOQIAN4</v>
          </cell>
          <cell r="W243" t="str">
            <v/>
          </cell>
          <cell r="X243" t="str">
            <v>CP-108-A</v>
          </cell>
          <cell r="Y243" t="str">
            <v/>
          </cell>
          <cell r="Z243" t="str">
            <v>1906</v>
          </cell>
          <cell r="AA243" t="str">
            <v>1100124375</v>
          </cell>
          <cell r="AB243">
            <v>100</v>
          </cell>
          <cell r="AC243" t="str">
            <v>GJ2409-01811-D-1A</v>
          </cell>
          <cell r="AD243">
            <v>101.44</v>
          </cell>
          <cell r="AE243" t="str">
            <v>G1302-240122-035</v>
          </cell>
        </row>
        <row r="244">
          <cell r="B244" t="str">
            <v>7101031645</v>
          </cell>
          <cell r="C244" t="str">
            <v>G2502-0820</v>
          </cell>
          <cell r="D244" t="str">
            <v>000042944320119139</v>
          </cell>
          <cell r="E244" t="str">
            <v>铆钉</v>
          </cell>
          <cell r="F244" t="str">
            <v>11S70294</v>
          </cell>
          <cell r="G244" t="str">
            <v>-</v>
          </cell>
          <cell r="H244" t="str">
            <v>固溶</v>
          </cell>
          <cell r="I244" t="str">
            <v/>
          </cell>
          <cell r="J244" t="str">
            <v>06Cr18Ni9</v>
          </cell>
          <cell r="K244">
            <v>100</v>
          </cell>
          <cell r="L244">
            <v>45966</v>
          </cell>
          <cell r="M244" t="str">
            <v>4-检验完成</v>
          </cell>
        </row>
        <row r="244">
          <cell r="O244">
            <v>0</v>
          </cell>
          <cell r="P244" t="str">
            <v>哈尔滨东安实业发展有限公司</v>
          </cell>
          <cell r="Q244" t="str">
            <v>10</v>
          </cell>
          <cell r="R244">
            <v>45968</v>
          </cell>
        </row>
        <row r="244">
          <cell r="U244" t="str">
            <v>010000781066</v>
          </cell>
          <cell r="V244" t="str">
            <v>BIAOQIAN4</v>
          </cell>
          <cell r="W244" t="str">
            <v/>
          </cell>
          <cell r="X244" t="str">
            <v>CP-46-2-1-2</v>
          </cell>
          <cell r="Y244" t="str">
            <v/>
          </cell>
          <cell r="Z244" t="str">
            <v>1906</v>
          </cell>
          <cell r="AA244" t="str">
            <v>1100155225</v>
          </cell>
          <cell r="AB244">
            <v>100</v>
          </cell>
          <cell r="AC244" t="str">
            <v/>
          </cell>
          <cell r="AD244">
            <v>90</v>
          </cell>
          <cell r="AE244" t="str">
            <v>G-100016975-251104-0063XH</v>
          </cell>
        </row>
        <row r="245">
          <cell r="B245" t="str">
            <v>7101030097</v>
          </cell>
          <cell r="C245" t="str">
            <v>G2407-2313</v>
          </cell>
          <cell r="D245" t="str">
            <v>000042944288039751</v>
          </cell>
          <cell r="E245" t="str">
            <v>MJ螺纹双耳游动托板自锁螺母</v>
          </cell>
          <cell r="F245" t="str">
            <v>HB8387-2013</v>
          </cell>
          <cell r="G245" t="str">
            <v>6</v>
          </cell>
          <cell r="H245" t="str">
            <v/>
          </cell>
          <cell r="I245" t="str">
            <v/>
          </cell>
          <cell r="J245" t="str">
            <v>组件</v>
          </cell>
          <cell r="K245">
            <v>91</v>
          </cell>
          <cell r="L245">
            <v>45961</v>
          </cell>
          <cell r="M245" t="str">
            <v>1-已打印</v>
          </cell>
        </row>
        <row r="245">
          <cell r="O245">
            <v>0</v>
          </cell>
          <cell r="P245" t="str">
            <v>哈尔滨东安实业发展有限公司</v>
          </cell>
          <cell r="Q245" t="str">
            <v>50</v>
          </cell>
        </row>
        <row r="245">
          <cell r="U245" t="str">
            <v>010000721131</v>
          </cell>
          <cell r="V245" t="str">
            <v/>
          </cell>
          <cell r="W245" t="str">
            <v/>
          </cell>
          <cell r="X245" t="str">
            <v>CP-108-A</v>
          </cell>
          <cell r="Y245" t="str">
            <v/>
          </cell>
          <cell r="Z245" t="str">
            <v>1906</v>
          </cell>
          <cell r="AA245" t="str">
            <v>1100135389</v>
          </cell>
          <cell r="AB245">
            <v>135</v>
          </cell>
          <cell r="AC245" t="str">
            <v/>
          </cell>
          <cell r="AD245">
            <v>56</v>
          </cell>
          <cell r="AE245" t="str">
            <v>G-100016975-241014-0042-1</v>
          </cell>
        </row>
        <row r="246">
          <cell r="B246" t="str">
            <v>7101030093</v>
          </cell>
          <cell r="C246" t="str">
            <v>G2312-0470</v>
          </cell>
          <cell r="D246" t="str">
            <v>000042944999002605</v>
          </cell>
          <cell r="E246" t="str">
            <v>带键锁紧螺桩</v>
          </cell>
          <cell r="F246" t="str">
            <v>8S.DFD20.3.802</v>
          </cell>
          <cell r="G246" t="str">
            <v>-</v>
          </cell>
          <cell r="H246" t="str">
            <v/>
          </cell>
          <cell r="I246" t="str">
            <v/>
          </cell>
          <cell r="J246" t="str">
            <v>组件</v>
          </cell>
          <cell r="K246">
            <v>50</v>
          </cell>
          <cell r="L246">
            <v>45961</v>
          </cell>
          <cell r="M246" t="str">
            <v>3-配货完成</v>
          </cell>
        </row>
        <row r="246">
          <cell r="O246">
            <v>0</v>
          </cell>
          <cell r="P246" t="str">
            <v>哈尔滨东安实业发展有限公司</v>
          </cell>
          <cell r="Q246" t="str">
            <v>240</v>
          </cell>
        </row>
        <row r="246">
          <cell r="U246" t="str">
            <v>010000657073</v>
          </cell>
          <cell r="V246" t="str">
            <v>BIAOQIAN3</v>
          </cell>
          <cell r="W246" t="str">
            <v/>
          </cell>
          <cell r="X246" t="str">
            <v>CP-108-A/CP-C8-2-4-3</v>
          </cell>
          <cell r="Y246" t="str">
            <v/>
          </cell>
          <cell r="Z246" t="str">
            <v>1906</v>
          </cell>
          <cell r="AA246" t="str">
            <v>1100141177</v>
          </cell>
          <cell r="AB246">
            <v>50</v>
          </cell>
          <cell r="AC246" t="str">
            <v>GJ2312-00470-S-1A</v>
          </cell>
          <cell r="AD246">
            <v>196.98</v>
          </cell>
          <cell r="AE246" t="str">
            <v>G-100016975-250210-0006-1</v>
          </cell>
        </row>
        <row r="247">
          <cell r="B247" t="str">
            <v>7101022910</v>
          </cell>
          <cell r="C247" t="str">
            <v>G2505-1321</v>
          </cell>
          <cell r="D247" t="str">
            <v>000042944360151880</v>
          </cell>
          <cell r="E247" t="str">
            <v>圆柱销</v>
          </cell>
          <cell r="F247" t="str">
            <v>Q/8S1337.1-2024</v>
          </cell>
          <cell r="G247" t="str">
            <v>A-014</v>
          </cell>
          <cell r="H247" t="str">
            <v>27-35HRC</v>
          </cell>
          <cell r="I247" t="str">
            <v>Ct·P</v>
          </cell>
          <cell r="J247" t="str">
            <v>GH2132</v>
          </cell>
          <cell r="K247">
            <v>15</v>
          </cell>
          <cell r="L247">
            <v>45947</v>
          </cell>
          <cell r="M247" t="str">
            <v>3-配货完成</v>
          </cell>
        </row>
        <row r="247">
          <cell r="O247">
            <v>0</v>
          </cell>
          <cell r="P247" t="str">
            <v>哈尔滨东安实业发展有限公司</v>
          </cell>
          <cell r="Q247" t="str">
            <v>30</v>
          </cell>
        </row>
        <row r="247">
          <cell r="U247" t="str">
            <v>010000827084</v>
          </cell>
          <cell r="V247" t="str">
            <v>BIAOQIAN2</v>
          </cell>
          <cell r="W247" t="str">
            <v/>
          </cell>
          <cell r="X247" t="str">
            <v>CP-108-A</v>
          </cell>
          <cell r="Y247" t="str">
            <v/>
          </cell>
          <cell r="Z247" t="str">
            <v>1906</v>
          </cell>
          <cell r="AA247" t="str">
            <v>1100141949</v>
          </cell>
          <cell r="AB247">
            <v>15</v>
          </cell>
          <cell r="AC247" t="str">
            <v/>
          </cell>
          <cell r="AD247">
            <v>34.83</v>
          </cell>
          <cell r="AE247" t="str">
            <v>G-100016975-250221-0010-1</v>
          </cell>
        </row>
        <row r="248">
          <cell r="B248" t="str">
            <v>7101022902</v>
          </cell>
          <cell r="C248" t="str">
            <v>GW2408-003</v>
          </cell>
          <cell r="D248" t="str">
            <v>000042944360004322</v>
          </cell>
          <cell r="E248" t="str">
            <v>弹性圆柱销</v>
          </cell>
          <cell r="F248" t="str">
            <v>GB879-1986</v>
          </cell>
          <cell r="G248" t="str">
            <v>3×8</v>
          </cell>
          <cell r="H248" t="str">
            <v>420-560HV</v>
          </cell>
          <cell r="I248" t="str">
            <v>Ct·O</v>
          </cell>
          <cell r="J248" t="str">
            <v>65Mn</v>
          </cell>
          <cell r="K248">
            <v>190</v>
          </cell>
          <cell r="L248">
            <v>45947</v>
          </cell>
          <cell r="M248" t="str">
            <v>3-配货完成</v>
          </cell>
        </row>
        <row r="248">
          <cell r="O248">
            <v>0</v>
          </cell>
          <cell r="P248" t="str">
            <v>哈尔滨东安实业发展有限公司</v>
          </cell>
          <cell r="Q248" t="str">
            <v>10</v>
          </cell>
        </row>
        <row r="248">
          <cell r="U248" t="str">
            <v/>
          </cell>
          <cell r="V248" t="str">
            <v>BIAOQIAN1</v>
          </cell>
          <cell r="W248" t="str">
            <v/>
          </cell>
          <cell r="X248" t="str">
            <v>XH-000/CP-27-5-2-2</v>
          </cell>
          <cell r="Y248" t="str">
            <v/>
          </cell>
          <cell r="Z248" t="str">
            <v>1906</v>
          </cell>
          <cell r="AA248" t="str">
            <v>1100122539</v>
          </cell>
          <cell r="AB248">
            <v>200</v>
          </cell>
          <cell r="AC248" t="str">
            <v/>
          </cell>
          <cell r="AD248">
            <v>0.4</v>
          </cell>
          <cell r="AE248" t="str">
            <v>G1302-231220-286-H</v>
          </cell>
        </row>
        <row r="249">
          <cell r="B249" t="str">
            <v>7101022897</v>
          </cell>
          <cell r="C249" t="str">
            <v>GW2505-040</v>
          </cell>
          <cell r="D249" t="str">
            <v>000042944239004239</v>
          </cell>
          <cell r="E249" t="str">
            <v>光杆公差带r6抗剪型100°沉头高锁螺栓</v>
          </cell>
          <cell r="F249" t="str">
            <v>GJB134.2-1986</v>
          </cell>
          <cell r="G249" t="str">
            <v>6×14</v>
          </cell>
          <cell r="H249" t="str">
            <v>σb=1175±100MPa</v>
          </cell>
          <cell r="I249" t="str">
            <v>Ct·O+Dp·CA</v>
          </cell>
          <cell r="J249" t="str">
            <v>ML30CrMnSiA</v>
          </cell>
          <cell r="K249">
            <v>34</v>
          </cell>
          <cell r="L249">
            <v>45947</v>
          </cell>
          <cell r="M249" t="str">
            <v>3-配货完成</v>
          </cell>
        </row>
        <row r="249">
          <cell r="O249">
            <v>0</v>
          </cell>
          <cell r="P249" t="str">
            <v>哈尔滨东安实业发展有限公司</v>
          </cell>
          <cell r="Q249" t="str">
            <v>10</v>
          </cell>
        </row>
        <row r="249">
          <cell r="U249" t="str">
            <v/>
          </cell>
          <cell r="V249" t="str">
            <v>PANQIFANG</v>
          </cell>
          <cell r="W249" t="str">
            <v/>
          </cell>
          <cell r="X249" t="str">
            <v>XH-91-4-2-3</v>
          </cell>
          <cell r="Y249" t="str">
            <v/>
          </cell>
          <cell r="Z249" t="str">
            <v>1906</v>
          </cell>
          <cell r="AA249" t="str">
            <v>1100153644</v>
          </cell>
          <cell r="AB249">
            <v>85</v>
          </cell>
          <cell r="AC249" t="str">
            <v/>
          </cell>
          <cell r="AD249">
            <v>101.44</v>
          </cell>
          <cell r="AE249" t="str">
            <v>G-100016975-250925-0053</v>
          </cell>
        </row>
        <row r="250">
          <cell r="B250" t="str">
            <v>7101022886</v>
          </cell>
          <cell r="C250" t="str">
            <v>GW2505-040</v>
          </cell>
          <cell r="D250" t="str">
            <v>000042944239004239</v>
          </cell>
          <cell r="E250" t="str">
            <v>高锁螺栓</v>
          </cell>
          <cell r="F250" t="str">
            <v>GJB134.2-6×14</v>
          </cell>
          <cell r="G250" t="str">
            <v>6×14</v>
          </cell>
          <cell r="H250" t="str">
            <v>σb=1175±100MPa</v>
          </cell>
          <cell r="I250" t="str">
            <v>Ct·O+Dp·CA</v>
          </cell>
          <cell r="J250" t="str">
            <v>ML30CrMnSiA</v>
          </cell>
          <cell r="K250">
            <v>51</v>
          </cell>
          <cell r="L250">
            <v>45947</v>
          </cell>
          <cell r="M250" t="str">
            <v>3-配货完成</v>
          </cell>
        </row>
        <row r="250">
          <cell r="O250">
            <v>0</v>
          </cell>
          <cell r="P250" t="str">
            <v>哈尔滨东安实业发展有限公司</v>
          </cell>
          <cell r="Q250" t="str">
            <v>30</v>
          </cell>
        </row>
        <row r="250">
          <cell r="U250" t="str">
            <v/>
          </cell>
          <cell r="V250" t="str">
            <v>PANQIFANG</v>
          </cell>
          <cell r="W250" t="str">
            <v/>
          </cell>
          <cell r="X250" t="str">
            <v>XH-91-4-2-3</v>
          </cell>
          <cell r="Y250" t="str">
            <v/>
          </cell>
          <cell r="Z250" t="str">
            <v>1906</v>
          </cell>
          <cell r="AA250" t="str">
            <v>1100145380</v>
          </cell>
          <cell r="AB250">
            <v>51</v>
          </cell>
          <cell r="AC250" t="str">
            <v/>
          </cell>
          <cell r="AD250">
            <v>101.4</v>
          </cell>
          <cell r="AE250" t="str">
            <v>G-100016975-250416-0020</v>
          </cell>
        </row>
        <row r="251">
          <cell r="B251" t="str">
            <v>7101021859</v>
          </cell>
          <cell r="C251" t="str">
            <v>G2402-1226</v>
          </cell>
          <cell r="D251" t="str">
            <v>000042944999002605</v>
          </cell>
          <cell r="E251" t="str">
            <v>带键锁紧螺桩</v>
          </cell>
          <cell r="F251" t="str">
            <v>8S.DFD20.3.802</v>
          </cell>
          <cell r="G251" t="str">
            <v>-</v>
          </cell>
          <cell r="H251" t="str">
            <v/>
          </cell>
          <cell r="I251" t="str">
            <v/>
          </cell>
          <cell r="J251" t="str">
            <v>组件</v>
          </cell>
          <cell r="K251">
            <v>150</v>
          </cell>
          <cell r="L251">
            <v>45946</v>
          </cell>
          <cell r="M251" t="str">
            <v>3-配货完成</v>
          </cell>
        </row>
        <row r="251">
          <cell r="O251">
            <v>0</v>
          </cell>
          <cell r="P251" t="str">
            <v>哈尔滨东安实业发展有限公司</v>
          </cell>
          <cell r="Q251" t="str">
            <v>90</v>
          </cell>
        </row>
        <row r="251">
          <cell r="U251" t="str">
            <v>010000675296</v>
          </cell>
          <cell r="V251" t="str">
            <v>BIAOQIAN4</v>
          </cell>
          <cell r="W251" t="str">
            <v/>
          </cell>
          <cell r="X251" t="str">
            <v>CP-108-A</v>
          </cell>
          <cell r="Y251" t="str">
            <v/>
          </cell>
          <cell r="Z251" t="str">
            <v>1906</v>
          </cell>
          <cell r="AA251" t="str">
            <v>1100124770</v>
          </cell>
          <cell r="AB251">
            <v>150</v>
          </cell>
          <cell r="AC251" t="str">
            <v/>
          </cell>
          <cell r="AD251">
            <v>197</v>
          </cell>
          <cell r="AE251" t="str">
            <v>G1302-240205-037</v>
          </cell>
        </row>
        <row r="252">
          <cell r="B252" t="str">
            <v>7101020770</v>
          </cell>
          <cell r="C252" t="str">
            <v>G2411-2338</v>
          </cell>
          <cell r="D252" t="str">
            <v>000042944039095271</v>
          </cell>
          <cell r="E252" t="str">
            <v>带键自锁螺套</v>
          </cell>
          <cell r="F252" t="str">
            <v>Q/S15.1119A-6</v>
          </cell>
          <cell r="G252" t="str">
            <v>A-6</v>
          </cell>
          <cell r="H252" t="str">
            <v/>
          </cell>
          <cell r="I252" t="str">
            <v/>
          </cell>
          <cell r="J252" t="str">
            <v>组件</v>
          </cell>
          <cell r="K252">
            <v>120</v>
          </cell>
          <cell r="L252">
            <v>45944</v>
          </cell>
          <cell r="M252" t="str">
            <v>1-已打印</v>
          </cell>
        </row>
        <row r="252">
          <cell r="O252">
            <v>0</v>
          </cell>
          <cell r="P252" t="str">
            <v>哈尔滨东安实业发展有限公司</v>
          </cell>
          <cell r="Q252" t="str">
            <v>20</v>
          </cell>
        </row>
        <row r="252">
          <cell r="U252" t="str">
            <v>010000754260</v>
          </cell>
          <cell r="V252" t="str">
            <v/>
          </cell>
          <cell r="W252" t="str">
            <v/>
          </cell>
          <cell r="X252" t="str">
            <v>CP-C8-4-4-4</v>
          </cell>
          <cell r="Y252" t="str">
            <v/>
          </cell>
          <cell r="Z252" t="str">
            <v>1906</v>
          </cell>
          <cell r="AA252" t="str">
            <v>1100153106</v>
          </cell>
          <cell r="AB252">
            <v>120</v>
          </cell>
          <cell r="AC252" t="str">
            <v>GJ2411-02338</v>
          </cell>
          <cell r="AD252">
            <v>90</v>
          </cell>
          <cell r="AE252" t="str">
            <v>G-100016975-250917-0049</v>
          </cell>
        </row>
        <row r="253">
          <cell r="B253" t="str">
            <v>7101020770</v>
          </cell>
          <cell r="C253" t="str">
            <v>G2411-2338</v>
          </cell>
          <cell r="D253" t="str">
            <v>000042944039095271</v>
          </cell>
          <cell r="E253" t="str">
            <v>带键自锁螺套</v>
          </cell>
          <cell r="F253" t="str">
            <v>Q/S15.1119A-6</v>
          </cell>
          <cell r="G253" t="str">
            <v>A-6</v>
          </cell>
          <cell r="H253" t="str">
            <v/>
          </cell>
          <cell r="I253" t="str">
            <v/>
          </cell>
          <cell r="J253" t="str">
            <v>组件</v>
          </cell>
          <cell r="K253">
            <v>120</v>
          </cell>
          <cell r="L253">
            <v>45944</v>
          </cell>
          <cell r="M253" t="str">
            <v>1-已打印</v>
          </cell>
        </row>
        <row r="253">
          <cell r="O253">
            <v>0</v>
          </cell>
          <cell r="P253" t="str">
            <v>哈尔滨东安实业发展有限公司</v>
          </cell>
          <cell r="Q253" t="str">
            <v>20</v>
          </cell>
        </row>
        <row r="253">
          <cell r="U253" t="str">
            <v>010000754260</v>
          </cell>
          <cell r="V253" t="str">
            <v/>
          </cell>
          <cell r="W253" t="str">
            <v/>
          </cell>
          <cell r="X253" t="str">
            <v>CP-C8-4-4-4</v>
          </cell>
          <cell r="Y253" t="str">
            <v/>
          </cell>
          <cell r="Z253" t="str">
            <v>1906</v>
          </cell>
          <cell r="AA253" t="str">
            <v>1100153106</v>
          </cell>
          <cell r="AB253">
            <v>120</v>
          </cell>
          <cell r="AC253" t="str">
            <v>GJ2411-02338</v>
          </cell>
          <cell r="AD253">
            <v>90</v>
          </cell>
          <cell r="AE253" t="str">
            <v>G-100016975-250917-0049</v>
          </cell>
        </row>
        <row r="254">
          <cell r="B254" t="str">
            <v>7101021859</v>
          </cell>
          <cell r="C254" t="str">
            <v>G2402-1226</v>
          </cell>
          <cell r="D254" t="str">
            <v>000042944999002605</v>
          </cell>
          <cell r="E254" t="str">
            <v>带键锁紧螺桩</v>
          </cell>
          <cell r="F254" t="str">
            <v>8S.DFD20.3.802</v>
          </cell>
          <cell r="G254" t="str">
            <v>-</v>
          </cell>
          <cell r="H254" t="str">
            <v/>
          </cell>
          <cell r="I254" t="str">
            <v/>
          </cell>
          <cell r="J254" t="str">
            <v>组件</v>
          </cell>
          <cell r="K254">
            <v>150</v>
          </cell>
          <cell r="L254">
            <v>45946</v>
          </cell>
          <cell r="M254" t="str">
            <v>3-配货完成</v>
          </cell>
        </row>
        <row r="254">
          <cell r="O254">
            <v>0</v>
          </cell>
          <cell r="P254" t="str">
            <v>哈尔滨东安实业发展有限公司</v>
          </cell>
          <cell r="Q254" t="str">
            <v>90</v>
          </cell>
        </row>
        <row r="254">
          <cell r="U254" t="str">
            <v>010000675296</v>
          </cell>
          <cell r="V254" t="str">
            <v>BIAOQIAN4</v>
          </cell>
          <cell r="W254" t="str">
            <v/>
          </cell>
          <cell r="X254" t="str">
            <v>CP-108-A</v>
          </cell>
          <cell r="Y254" t="str">
            <v/>
          </cell>
          <cell r="Z254" t="str">
            <v>1906</v>
          </cell>
          <cell r="AA254" t="str">
            <v>1100124770</v>
          </cell>
          <cell r="AB254">
            <v>150</v>
          </cell>
          <cell r="AC254" t="str">
            <v/>
          </cell>
          <cell r="AD254">
            <v>197</v>
          </cell>
          <cell r="AE254" t="str">
            <v>G1302-240205-037</v>
          </cell>
        </row>
        <row r="255">
          <cell r="B255" t="str">
            <v>7101022886</v>
          </cell>
          <cell r="C255" t="str">
            <v>GW2505-040</v>
          </cell>
          <cell r="D255" t="str">
            <v>000042944239004239</v>
          </cell>
          <cell r="E255" t="str">
            <v>高锁螺栓</v>
          </cell>
          <cell r="F255" t="str">
            <v>GJB134.2-6×14</v>
          </cell>
          <cell r="G255" t="str">
            <v>6×14</v>
          </cell>
          <cell r="H255" t="str">
            <v>σb=1175±100MPa</v>
          </cell>
          <cell r="I255" t="str">
            <v>Ct·O+Dp·CA</v>
          </cell>
          <cell r="J255" t="str">
            <v>ML30CrMnSiA</v>
          </cell>
          <cell r="K255">
            <v>51</v>
          </cell>
          <cell r="L255">
            <v>45947</v>
          </cell>
          <cell r="M255" t="str">
            <v>3-配货完成</v>
          </cell>
        </row>
        <row r="255">
          <cell r="O255">
            <v>0</v>
          </cell>
          <cell r="P255" t="str">
            <v>哈尔滨东安实业发展有限公司</v>
          </cell>
          <cell r="Q255" t="str">
            <v>30</v>
          </cell>
        </row>
        <row r="255">
          <cell r="U255" t="str">
            <v/>
          </cell>
          <cell r="V255" t="str">
            <v>PANQIFANG</v>
          </cell>
          <cell r="W255" t="str">
            <v/>
          </cell>
          <cell r="X255" t="str">
            <v>XH-91-4-2-3</v>
          </cell>
          <cell r="Y255" t="str">
            <v/>
          </cell>
          <cell r="Z255" t="str">
            <v>1906</v>
          </cell>
          <cell r="AA255" t="str">
            <v>1100145380</v>
          </cell>
          <cell r="AB255">
            <v>51</v>
          </cell>
          <cell r="AC255" t="str">
            <v/>
          </cell>
          <cell r="AD255">
            <v>101.4</v>
          </cell>
          <cell r="AE255" t="str">
            <v>G-100016975-250416-0020</v>
          </cell>
        </row>
        <row r="256">
          <cell r="B256" t="str">
            <v>7101022897</v>
          </cell>
          <cell r="C256" t="str">
            <v>GW2505-040</v>
          </cell>
          <cell r="D256" t="str">
            <v>000042944239004239</v>
          </cell>
          <cell r="E256" t="str">
            <v>光杆公差带r6抗剪型100°沉头高锁螺栓</v>
          </cell>
          <cell r="F256" t="str">
            <v>GJB134.2-1986</v>
          </cell>
          <cell r="G256" t="str">
            <v>6×14</v>
          </cell>
          <cell r="H256" t="str">
            <v>σb=1175±100MPa</v>
          </cell>
          <cell r="I256" t="str">
            <v>Ct·O+Dp·CA</v>
          </cell>
          <cell r="J256" t="str">
            <v>ML30CrMnSiA</v>
          </cell>
          <cell r="K256">
            <v>34</v>
          </cell>
          <cell r="L256">
            <v>45947</v>
          </cell>
          <cell r="M256" t="str">
            <v>3-配货完成</v>
          </cell>
        </row>
        <row r="256">
          <cell r="O256">
            <v>0</v>
          </cell>
          <cell r="P256" t="str">
            <v>哈尔滨东安实业发展有限公司</v>
          </cell>
          <cell r="Q256" t="str">
            <v>10</v>
          </cell>
        </row>
        <row r="256">
          <cell r="U256" t="str">
            <v/>
          </cell>
          <cell r="V256" t="str">
            <v>PANQIFANG</v>
          </cell>
          <cell r="W256" t="str">
            <v/>
          </cell>
          <cell r="X256" t="str">
            <v>XH-91-4-2-3</v>
          </cell>
          <cell r="Y256" t="str">
            <v/>
          </cell>
          <cell r="Z256" t="str">
            <v>1906</v>
          </cell>
          <cell r="AA256" t="str">
            <v>1100153644</v>
          </cell>
          <cell r="AB256">
            <v>85</v>
          </cell>
          <cell r="AC256" t="str">
            <v/>
          </cell>
          <cell r="AD256">
            <v>101.44</v>
          </cell>
          <cell r="AE256" t="str">
            <v>G-100016975-250925-0053</v>
          </cell>
        </row>
        <row r="257">
          <cell r="B257" t="str">
            <v>7101022902</v>
          </cell>
          <cell r="C257" t="str">
            <v>GW2408-003</v>
          </cell>
          <cell r="D257" t="str">
            <v>000042944360004322</v>
          </cell>
          <cell r="E257" t="str">
            <v>弹性圆柱销</v>
          </cell>
          <cell r="F257" t="str">
            <v>GB879-1986</v>
          </cell>
          <cell r="G257" t="str">
            <v>3×8</v>
          </cell>
          <cell r="H257" t="str">
            <v>420-560HV</v>
          </cell>
          <cell r="I257" t="str">
            <v>Ct·O</v>
          </cell>
          <cell r="J257" t="str">
            <v>65Mn</v>
          </cell>
          <cell r="K257">
            <v>190</v>
          </cell>
          <cell r="L257">
            <v>45947</v>
          </cell>
          <cell r="M257" t="str">
            <v>3-配货完成</v>
          </cell>
        </row>
        <row r="257">
          <cell r="O257">
            <v>0</v>
          </cell>
          <cell r="P257" t="str">
            <v>哈尔滨东安实业发展有限公司</v>
          </cell>
          <cell r="Q257" t="str">
            <v>10</v>
          </cell>
        </row>
        <row r="257">
          <cell r="U257" t="str">
            <v/>
          </cell>
          <cell r="V257" t="str">
            <v>BIAOQIAN1</v>
          </cell>
          <cell r="W257" t="str">
            <v/>
          </cell>
          <cell r="X257" t="str">
            <v>XH-000/CP-27-5-2-2</v>
          </cell>
          <cell r="Y257" t="str">
            <v/>
          </cell>
          <cell r="Z257" t="str">
            <v>1906</v>
          </cell>
          <cell r="AA257" t="str">
            <v>1100122539</v>
          </cell>
          <cell r="AB257">
            <v>200</v>
          </cell>
          <cell r="AC257" t="str">
            <v/>
          </cell>
          <cell r="AD257">
            <v>0.4</v>
          </cell>
          <cell r="AE257" t="str">
            <v>G1302-231220-286-H</v>
          </cell>
        </row>
        <row r="258">
          <cell r="B258" t="str">
            <v>7101022910</v>
          </cell>
          <cell r="C258" t="str">
            <v>G2505-1321</v>
          </cell>
          <cell r="D258" t="str">
            <v>000042944360151880</v>
          </cell>
          <cell r="E258" t="str">
            <v>圆柱销</v>
          </cell>
          <cell r="F258" t="str">
            <v>Q/8S1337.1-2024</v>
          </cell>
          <cell r="G258" t="str">
            <v>A-014</v>
          </cell>
          <cell r="H258" t="str">
            <v>27-35HRC</v>
          </cell>
          <cell r="I258" t="str">
            <v>Ct·P</v>
          </cell>
          <cell r="J258" t="str">
            <v>GH2132</v>
          </cell>
          <cell r="K258">
            <v>15</v>
          </cell>
          <cell r="L258">
            <v>45947</v>
          </cell>
          <cell r="M258" t="str">
            <v>3-配货完成</v>
          </cell>
        </row>
        <row r="258">
          <cell r="O258">
            <v>0</v>
          </cell>
          <cell r="P258" t="str">
            <v>哈尔滨东安实业发展有限公司</v>
          </cell>
          <cell r="Q258" t="str">
            <v>30</v>
          </cell>
        </row>
        <row r="258">
          <cell r="U258" t="str">
            <v>010000827084</v>
          </cell>
          <cell r="V258" t="str">
            <v>BIAOQIAN2</v>
          </cell>
          <cell r="W258" t="str">
            <v/>
          </cell>
          <cell r="X258" t="str">
            <v>CP-108-A</v>
          </cell>
          <cell r="Y258" t="str">
            <v/>
          </cell>
          <cell r="Z258" t="str">
            <v>1906</v>
          </cell>
          <cell r="AA258" t="str">
            <v>1100141949</v>
          </cell>
          <cell r="AB258">
            <v>15</v>
          </cell>
          <cell r="AC258" t="str">
            <v/>
          </cell>
          <cell r="AD258">
            <v>34.83</v>
          </cell>
          <cell r="AE258" t="str">
            <v>G-100016975-250221-0010-1</v>
          </cell>
        </row>
        <row r="259">
          <cell r="B259" t="str">
            <v>7101030093</v>
          </cell>
          <cell r="C259" t="str">
            <v>G2312-0470</v>
          </cell>
          <cell r="D259" t="str">
            <v>000042944999002605</v>
          </cell>
          <cell r="E259" t="str">
            <v>带键锁紧螺桩</v>
          </cell>
          <cell r="F259" t="str">
            <v>8S.DFD20.3.802</v>
          </cell>
          <cell r="G259" t="str">
            <v>-</v>
          </cell>
          <cell r="H259" t="str">
            <v/>
          </cell>
          <cell r="I259" t="str">
            <v/>
          </cell>
          <cell r="J259" t="str">
            <v>组件</v>
          </cell>
          <cell r="K259">
            <v>50</v>
          </cell>
          <cell r="L259">
            <v>45961</v>
          </cell>
          <cell r="M259" t="str">
            <v>3-配货完成</v>
          </cell>
        </row>
        <row r="259">
          <cell r="O259">
            <v>0</v>
          </cell>
          <cell r="P259" t="str">
            <v>哈尔滨东安实业发展有限公司</v>
          </cell>
          <cell r="Q259" t="str">
            <v>240</v>
          </cell>
        </row>
        <row r="259">
          <cell r="U259" t="str">
            <v>010000657073</v>
          </cell>
          <cell r="V259" t="str">
            <v>BIAOQIAN3</v>
          </cell>
          <cell r="W259" t="str">
            <v/>
          </cell>
          <cell r="X259" t="str">
            <v>CP-108-A/CP-C8-2-4-3</v>
          </cell>
          <cell r="Y259" t="str">
            <v/>
          </cell>
          <cell r="Z259" t="str">
            <v>1906</v>
          </cell>
          <cell r="AA259" t="str">
            <v>1100141177</v>
          </cell>
          <cell r="AB259">
            <v>50</v>
          </cell>
          <cell r="AC259" t="str">
            <v>GJ2312-00470-S-1A</v>
          </cell>
          <cell r="AD259">
            <v>196.98</v>
          </cell>
          <cell r="AE259" t="str">
            <v>G-100016975-250210-0006-1</v>
          </cell>
        </row>
        <row r="260">
          <cell r="B260" t="str">
            <v>7101030097</v>
          </cell>
          <cell r="C260" t="str">
            <v>G2407-2313</v>
          </cell>
          <cell r="D260" t="str">
            <v>000042944288039751</v>
          </cell>
          <cell r="E260" t="str">
            <v>MJ螺纹双耳游动托板自锁螺母</v>
          </cell>
          <cell r="F260" t="str">
            <v>HB8387-2013</v>
          </cell>
          <cell r="G260" t="str">
            <v>6</v>
          </cell>
          <cell r="H260" t="str">
            <v/>
          </cell>
          <cell r="I260" t="str">
            <v/>
          </cell>
          <cell r="J260" t="str">
            <v>组件</v>
          </cell>
          <cell r="K260">
            <v>91</v>
          </cell>
          <cell r="L260">
            <v>45961</v>
          </cell>
          <cell r="M260" t="str">
            <v>1-已打印</v>
          </cell>
        </row>
        <row r="260">
          <cell r="O260">
            <v>0</v>
          </cell>
          <cell r="P260" t="str">
            <v>哈尔滨东安实业发展有限公司</v>
          </cell>
          <cell r="Q260" t="str">
            <v>50</v>
          </cell>
        </row>
        <row r="260">
          <cell r="U260" t="str">
            <v>010000721131</v>
          </cell>
          <cell r="V260" t="str">
            <v/>
          </cell>
          <cell r="W260" t="str">
            <v/>
          </cell>
          <cell r="X260" t="str">
            <v>CP-108-A</v>
          </cell>
          <cell r="Y260" t="str">
            <v/>
          </cell>
          <cell r="Z260" t="str">
            <v>1906</v>
          </cell>
          <cell r="AA260" t="str">
            <v>1100135389</v>
          </cell>
          <cell r="AB260">
            <v>135</v>
          </cell>
          <cell r="AC260" t="str">
            <v/>
          </cell>
          <cell r="AD260">
            <v>56</v>
          </cell>
          <cell r="AE260" t="str">
            <v>G-100016975-241014-0042-1</v>
          </cell>
        </row>
        <row r="261">
          <cell r="B261" t="str">
            <v>7101031685</v>
          </cell>
          <cell r="C261" t="str">
            <v>G2409-1811</v>
          </cell>
          <cell r="D261" t="str">
            <v>000042944239008493</v>
          </cell>
          <cell r="E261" t="str">
            <v>高锁螺栓</v>
          </cell>
          <cell r="F261" t="str">
            <v>JS20.14.012</v>
          </cell>
          <cell r="G261" t="str">
            <v>-</v>
          </cell>
          <cell r="H261" t="str">
            <v>σb=1175±100MPa</v>
          </cell>
          <cell r="I261" t="str">
            <v>Ct·O+十六醇</v>
          </cell>
          <cell r="J261" t="str">
            <v>ML30CrMnSiA</v>
          </cell>
          <cell r="K261">
            <v>72</v>
          </cell>
          <cell r="L261">
            <v>45966</v>
          </cell>
          <cell r="M261" t="str">
            <v>4-检验完成</v>
          </cell>
        </row>
        <row r="261">
          <cell r="O261">
            <v>0</v>
          </cell>
          <cell r="P261" t="str">
            <v>哈尔滨东安实业发展有限公司</v>
          </cell>
          <cell r="Q261" t="str">
            <v>130</v>
          </cell>
          <cell r="R261">
            <v>45974</v>
          </cell>
        </row>
        <row r="261">
          <cell r="U261" t="str">
            <v>010000736436</v>
          </cell>
          <cell r="V261" t="str">
            <v>BIAOQIAN4</v>
          </cell>
          <cell r="W261" t="str">
            <v/>
          </cell>
          <cell r="X261" t="str">
            <v>CP-108-A</v>
          </cell>
          <cell r="Y261" t="str">
            <v/>
          </cell>
          <cell r="Z261" t="str">
            <v>1906</v>
          </cell>
          <cell r="AA261" t="str">
            <v>1100124375</v>
          </cell>
          <cell r="AB261">
            <v>100</v>
          </cell>
          <cell r="AC261" t="str">
            <v>GJ2409-01811-D-1A</v>
          </cell>
          <cell r="AD261">
            <v>101.44</v>
          </cell>
          <cell r="AE261" t="str">
            <v>G1302-240122-035</v>
          </cell>
        </row>
        <row r="262">
          <cell r="B262" t="str">
            <v>7101033949</v>
          </cell>
          <cell r="C262" t="str">
            <v>G2507-1213</v>
          </cell>
          <cell r="D262" t="str">
            <v>000042944039098249</v>
          </cell>
          <cell r="E262" t="str">
            <v>轻型带键锁紧螺套(细牙内螺纹)</v>
          </cell>
          <cell r="F262" t="str">
            <v>Q/2S5436-4</v>
          </cell>
          <cell r="G262" t="str">
            <v>4</v>
          </cell>
          <cell r="H262" t="str">
            <v/>
          </cell>
          <cell r="I262" t="str">
            <v/>
          </cell>
          <cell r="J262" t="str">
            <v>组件</v>
          </cell>
          <cell r="K262">
            <v>80</v>
          </cell>
          <cell r="L262">
            <v>45971</v>
          </cell>
          <cell r="M262" t="str">
            <v>3-配货完成</v>
          </cell>
        </row>
        <row r="262">
          <cell r="O262">
            <v>0</v>
          </cell>
          <cell r="P262" t="str">
            <v>哈尔滨东安实业发展有限公司</v>
          </cell>
          <cell r="Q262" t="str">
            <v>200</v>
          </cell>
        </row>
        <row r="262">
          <cell r="U262" t="str">
            <v>010000845630</v>
          </cell>
          <cell r="V262" t="str">
            <v>BIAOQIAN4</v>
          </cell>
          <cell r="W262" t="str">
            <v/>
          </cell>
          <cell r="X262" t="str">
            <v>CP-108-A</v>
          </cell>
          <cell r="Y262" t="str">
            <v/>
          </cell>
          <cell r="Z262" t="str">
            <v>1906</v>
          </cell>
          <cell r="AA262" t="str">
            <v>1100141177</v>
          </cell>
          <cell r="AB262">
            <v>80</v>
          </cell>
          <cell r="AC262" t="str">
            <v/>
          </cell>
          <cell r="AD262">
            <v>195</v>
          </cell>
          <cell r="AE262" t="str">
            <v>G-100016975-250210-0006-1</v>
          </cell>
        </row>
        <row r="263">
          <cell r="B263" t="str">
            <v>7101033949</v>
          </cell>
          <cell r="C263" t="str">
            <v>G2507-1213</v>
          </cell>
          <cell r="D263" t="str">
            <v>000042944039098249</v>
          </cell>
          <cell r="E263" t="str">
            <v>轻型带键锁紧螺套(细牙内螺纹)</v>
          </cell>
          <cell r="F263" t="str">
            <v>Q/2S5436-4</v>
          </cell>
          <cell r="G263" t="str">
            <v>4</v>
          </cell>
          <cell r="H263" t="str">
            <v/>
          </cell>
          <cell r="I263" t="str">
            <v/>
          </cell>
          <cell r="J263" t="str">
            <v>组件</v>
          </cell>
          <cell r="K263">
            <v>465</v>
          </cell>
          <cell r="L263">
            <v>45971</v>
          </cell>
          <cell r="M263" t="str">
            <v>3-配货完成</v>
          </cell>
        </row>
        <row r="263">
          <cell r="O263">
            <v>0</v>
          </cell>
          <cell r="P263" t="str">
            <v>哈尔滨东安实业发展有限公司</v>
          </cell>
          <cell r="Q263" t="str">
            <v>150</v>
          </cell>
        </row>
        <row r="263">
          <cell r="U263" t="str">
            <v>010000845630</v>
          </cell>
          <cell r="V263" t="str">
            <v>BIAOQIAN4</v>
          </cell>
          <cell r="W263" t="str">
            <v/>
          </cell>
          <cell r="X263" t="str">
            <v>CP-108-A</v>
          </cell>
          <cell r="Y263" t="str">
            <v/>
          </cell>
          <cell r="Z263" t="str">
            <v>1906</v>
          </cell>
          <cell r="AA263" t="str">
            <v>1100141177</v>
          </cell>
          <cell r="AB263">
            <v>576</v>
          </cell>
          <cell r="AC263" t="str">
            <v/>
          </cell>
          <cell r="AD263">
            <v>195</v>
          </cell>
          <cell r="AE263" t="str">
            <v>G-100016975-250210-0006-1</v>
          </cell>
        </row>
        <row r="264">
          <cell r="B264" t="str">
            <v>7101033950</v>
          </cell>
          <cell r="C264" t="str">
            <v>G2507-1213</v>
          </cell>
          <cell r="D264" t="str">
            <v>000042944039098249</v>
          </cell>
          <cell r="E264" t="str">
            <v>轻型带键锁紧螺套(细牙内螺纹)</v>
          </cell>
          <cell r="F264" t="str">
            <v>Q/2S5436-4</v>
          </cell>
          <cell r="G264" t="str">
            <v>4</v>
          </cell>
          <cell r="H264" t="str">
            <v/>
          </cell>
          <cell r="I264" t="str">
            <v/>
          </cell>
          <cell r="J264" t="str">
            <v>组件</v>
          </cell>
          <cell r="K264">
            <v>90</v>
          </cell>
          <cell r="L264">
            <v>45971</v>
          </cell>
          <cell r="M264" t="str">
            <v>3-配货完成</v>
          </cell>
        </row>
        <row r="264">
          <cell r="O264">
            <v>0</v>
          </cell>
          <cell r="P264" t="str">
            <v>哈尔滨东安实业发展有限公司</v>
          </cell>
          <cell r="Q264" t="str">
            <v>10</v>
          </cell>
        </row>
        <row r="264">
          <cell r="U264" t="str">
            <v>010000845630</v>
          </cell>
          <cell r="V264" t="str">
            <v>BIAOQIAN4</v>
          </cell>
          <cell r="W264" t="str">
            <v/>
          </cell>
          <cell r="X264" t="str">
            <v>CP-108-A</v>
          </cell>
          <cell r="Y264" t="str">
            <v/>
          </cell>
          <cell r="Z264" t="str">
            <v>1906</v>
          </cell>
          <cell r="AA264" t="str">
            <v>1100137755</v>
          </cell>
          <cell r="AB264">
            <v>100</v>
          </cell>
          <cell r="AC264" t="str">
            <v/>
          </cell>
          <cell r="AD264">
            <v>195</v>
          </cell>
          <cell r="AE264" t="str">
            <v>G-100016975-241126-0212</v>
          </cell>
        </row>
        <row r="265">
          <cell r="B265" t="str">
            <v>7101034877</v>
          </cell>
          <cell r="C265" t="str">
            <v>G2501-2772</v>
          </cell>
          <cell r="D265" t="str">
            <v>000042944999027918</v>
          </cell>
          <cell r="E265" t="str">
            <v>螺桩</v>
          </cell>
          <cell r="F265" t="str">
            <v>1BRZA12375-06-015</v>
          </cell>
          <cell r="G265" t="str">
            <v>06-015</v>
          </cell>
          <cell r="H265" t="str">
            <v>σb=980±100MPa</v>
          </cell>
          <cell r="I265" t="str">
            <v>Ep·Cd5-8·c2C</v>
          </cell>
          <cell r="J265" t="str">
            <v>40CrNiMoA</v>
          </cell>
          <cell r="K265">
            <v>69</v>
          </cell>
          <cell r="L265">
            <v>45973</v>
          </cell>
          <cell r="M265" t="str">
            <v>3-配货完成</v>
          </cell>
        </row>
        <row r="265">
          <cell r="O265">
            <v>0</v>
          </cell>
          <cell r="P265" t="str">
            <v>哈尔滨东安实业发展有限公司</v>
          </cell>
          <cell r="Q265" t="str">
            <v>10</v>
          </cell>
        </row>
        <row r="265">
          <cell r="U265" t="str">
            <v>010000777982</v>
          </cell>
          <cell r="V265" t="str">
            <v>BIAOQIAN3</v>
          </cell>
          <cell r="W265" t="str">
            <v/>
          </cell>
          <cell r="X265" t="str">
            <v>CP-19-1-3-7</v>
          </cell>
          <cell r="Y265" t="str">
            <v/>
          </cell>
          <cell r="Z265" t="str">
            <v>1906</v>
          </cell>
          <cell r="AA265" t="str">
            <v>1100155582</v>
          </cell>
          <cell r="AB265">
            <v>500</v>
          </cell>
          <cell r="AC265" t="str">
            <v/>
          </cell>
          <cell r="AD265">
            <v>35</v>
          </cell>
          <cell r="AE265" t="str">
            <v>G-100016975-251110-0065</v>
          </cell>
        </row>
        <row r="266">
          <cell r="B266" t="str">
            <v>7101034877</v>
          </cell>
          <cell r="C266" t="str">
            <v>G2507-1612</v>
          </cell>
          <cell r="D266" t="str">
            <v>000042944999027918</v>
          </cell>
          <cell r="E266" t="str">
            <v>螺桩</v>
          </cell>
          <cell r="F266" t="str">
            <v>1BRZA12375-06-015</v>
          </cell>
          <cell r="G266" t="str">
            <v>06-015</v>
          </cell>
          <cell r="H266" t="str">
            <v>σb=980±100MPa</v>
          </cell>
          <cell r="I266" t="str">
            <v>Ep·Cd5-8·c2C</v>
          </cell>
          <cell r="J266" t="str">
            <v>40CrNiMoA</v>
          </cell>
          <cell r="K266">
            <v>64</v>
          </cell>
          <cell r="L266">
            <v>45973</v>
          </cell>
          <cell r="M266" t="str">
            <v>3-配货完成</v>
          </cell>
        </row>
        <row r="266">
          <cell r="O266">
            <v>0</v>
          </cell>
          <cell r="P266" t="str">
            <v>哈尔滨东安实业发展有限公司</v>
          </cell>
          <cell r="Q266" t="str">
            <v>10</v>
          </cell>
        </row>
        <row r="266">
          <cell r="U266" t="str">
            <v>010000847077</v>
          </cell>
          <cell r="V266" t="str">
            <v>BIAOQIAN3</v>
          </cell>
          <cell r="W266" t="str">
            <v/>
          </cell>
          <cell r="X266" t="str">
            <v>CP-55-2-4-10</v>
          </cell>
          <cell r="Y266" t="str">
            <v/>
          </cell>
          <cell r="Z266" t="str">
            <v>1906</v>
          </cell>
          <cell r="AA266" t="str">
            <v>1100155582</v>
          </cell>
          <cell r="AB266">
            <v>500</v>
          </cell>
          <cell r="AC266" t="str">
            <v/>
          </cell>
          <cell r="AD266">
            <v>35</v>
          </cell>
          <cell r="AE266" t="str">
            <v>G-100016975-251110-0065</v>
          </cell>
        </row>
        <row r="267">
          <cell r="B267" t="str">
            <v>7101035261</v>
          </cell>
          <cell r="C267" t="str">
            <v>G2508-7008</v>
          </cell>
          <cell r="D267" t="str">
            <v>000042944319058695</v>
          </cell>
          <cell r="E267" t="str">
            <v>螺母</v>
          </cell>
          <cell r="F267" t="str">
            <v>S68.21.1037</v>
          </cell>
          <cell r="G267" t="str">
            <v>-</v>
          </cell>
          <cell r="H267" t="str">
            <v>30-37HRC</v>
          </cell>
          <cell r="I267" t="str">
            <v/>
          </cell>
          <cell r="J267" t="str">
            <v>1Cr11Ni2W2MoV</v>
          </cell>
          <cell r="K267">
            <v>20</v>
          </cell>
          <cell r="L267">
            <v>45974</v>
          </cell>
          <cell r="M267" t="str">
            <v>3-配货完成</v>
          </cell>
        </row>
        <row r="267">
          <cell r="O267">
            <v>0</v>
          </cell>
          <cell r="P267" t="str">
            <v>哈尔滨东安实业发展有限公司</v>
          </cell>
          <cell r="Q267" t="str">
            <v>10</v>
          </cell>
        </row>
        <row r="267">
          <cell r="U267" t="str">
            <v>010000851603</v>
          </cell>
          <cell r="V267" t="str">
            <v>BIAOQIAN8</v>
          </cell>
          <cell r="W267" t="str">
            <v/>
          </cell>
          <cell r="X267" t="str">
            <v>CP-108-A</v>
          </cell>
          <cell r="Y267" t="str">
            <v/>
          </cell>
          <cell r="Z267" t="str">
            <v>1906</v>
          </cell>
          <cell r="AA267" t="str">
            <v>1100151022</v>
          </cell>
          <cell r="AB267">
            <v>20</v>
          </cell>
          <cell r="AC267" t="str">
            <v/>
          </cell>
          <cell r="AD267">
            <v>12.6</v>
          </cell>
          <cell r="AE267" t="str">
            <v>G-100016975-250801-0036</v>
          </cell>
        </row>
        <row r="268">
          <cell r="B268" t="str">
            <v>7101036803</v>
          </cell>
          <cell r="C268" t="str">
            <v>G2509-3291</v>
          </cell>
          <cell r="D268" t="str">
            <v>000042944440114463</v>
          </cell>
          <cell r="E268" t="str">
            <v>钢丝挡圈</v>
          </cell>
          <cell r="F268" t="str">
            <v>Q/2S5335-2013</v>
          </cell>
          <cell r="G268" t="str">
            <v>6</v>
          </cell>
          <cell r="H268" t="str">
            <v/>
          </cell>
          <cell r="I268" t="str">
            <v/>
          </cell>
          <cell r="J268" t="str">
            <v>GH4145</v>
          </cell>
          <cell r="K268">
            <v>214</v>
          </cell>
          <cell r="L268">
            <v>45978</v>
          </cell>
          <cell r="M268" t="str">
            <v>3-配货完成</v>
          </cell>
        </row>
        <row r="268">
          <cell r="O268">
            <v>0</v>
          </cell>
          <cell r="P268" t="str">
            <v>哈尔滨东安实业发展有限公司</v>
          </cell>
          <cell r="Q268" t="str">
            <v>10</v>
          </cell>
        </row>
        <row r="268">
          <cell r="U268" t="str">
            <v>010000869646</v>
          </cell>
          <cell r="V268" t="str">
            <v>BIAOQIAN4</v>
          </cell>
          <cell r="W268" t="str">
            <v/>
          </cell>
          <cell r="X268" t="str">
            <v>CP-108-A</v>
          </cell>
          <cell r="Y268" t="str">
            <v/>
          </cell>
          <cell r="Z268" t="str">
            <v>1906</v>
          </cell>
          <cell r="AA268" t="str">
            <v>1100153577</v>
          </cell>
          <cell r="AB268">
            <v>300</v>
          </cell>
          <cell r="AC268" t="str">
            <v/>
          </cell>
          <cell r="AD268">
            <v>25</v>
          </cell>
          <cell r="AE268" t="str">
            <v>G-100016975-250926-0054</v>
          </cell>
        </row>
        <row r="269">
          <cell r="B269" t="str">
            <v>7101036804</v>
          </cell>
          <cell r="C269" t="str">
            <v>G2509-3291</v>
          </cell>
          <cell r="D269" t="str">
            <v>000042944440114463</v>
          </cell>
          <cell r="E269" t="str">
            <v>钢丝挡圈</v>
          </cell>
          <cell r="F269" t="str">
            <v>Q/2S5335-2013</v>
          </cell>
          <cell r="G269" t="str">
            <v>6</v>
          </cell>
          <cell r="H269" t="str">
            <v/>
          </cell>
          <cell r="I269" t="str">
            <v/>
          </cell>
          <cell r="J269" t="str">
            <v>GH4145</v>
          </cell>
          <cell r="K269">
            <v>100</v>
          </cell>
          <cell r="L269">
            <v>45978</v>
          </cell>
          <cell r="M269" t="str">
            <v>3-配货完成</v>
          </cell>
        </row>
        <row r="269">
          <cell r="O269">
            <v>0</v>
          </cell>
          <cell r="P269" t="str">
            <v>哈尔滨东安实业发展有限公司</v>
          </cell>
          <cell r="Q269" t="str">
            <v>10</v>
          </cell>
        </row>
        <row r="269">
          <cell r="U269" t="str">
            <v>010000869646</v>
          </cell>
          <cell r="V269" t="str">
            <v>BIAOQIAN4</v>
          </cell>
          <cell r="W269" t="str">
            <v/>
          </cell>
          <cell r="X269" t="str">
            <v>CP-108-A</v>
          </cell>
          <cell r="Y269" t="str">
            <v/>
          </cell>
          <cell r="Z269" t="str">
            <v>1906</v>
          </cell>
          <cell r="AA269" t="str">
            <v>1100155238</v>
          </cell>
          <cell r="AB269">
            <v>100</v>
          </cell>
          <cell r="AC269" t="str">
            <v/>
          </cell>
          <cell r="AD269">
            <v>25</v>
          </cell>
          <cell r="AE269" t="str">
            <v>G-100016975-251031-0061</v>
          </cell>
        </row>
        <row r="270">
          <cell r="B270" t="str">
            <v>7101036804</v>
          </cell>
          <cell r="C270" t="str">
            <v>G2509-3291</v>
          </cell>
          <cell r="D270" t="str">
            <v>000042944440114463</v>
          </cell>
          <cell r="E270" t="str">
            <v>钢丝挡圈</v>
          </cell>
          <cell r="F270" t="str">
            <v>Q/2S5335-2013</v>
          </cell>
          <cell r="G270" t="str">
            <v>6</v>
          </cell>
          <cell r="H270" t="str">
            <v/>
          </cell>
          <cell r="I270" t="str">
            <v/>
          </cell>
          <cell r="J270" t="str">
            <v>GH4145</v>
          </cell>
          <cell r="K270">
            <v>100</v>
          </cell>
          <cell r="L270">
            <v>45978</v>
          </cell>
          <cell r="M270" t="str">
            <v>3-配货完成</v>
          </cell>
        </row>
        <row r="270">
          <cell r="O270">
            <v>0</v>
          </cell>
          <cell r="P270" t="str">
            <v>哈尔滨东安实业发展有限公司</v>
          </cell>
          <cell r="Q270" t="str">
            <v>10</v>
          </cell>
        </row>
        <row r="270">
          <cell r="U270" t="str">
            <v>010000869646</v>
          </cell>
          <cell r="V270" t="str">
            <v>BIAOQIAN4</v>
          </cell>
          <cell r="W270" t="str">
            <v/>
          </cell>
          <cell r="X270" t="str">
            <v>CP-108-A</v>
          </cell>
          <cell r="Y270" t="str">
            <v/>
          </cell>
          <cell r="Z270" t="str">
            <v>1906</v>
          </cell>
          <cell r="AA270" t="str">
            <v>1100155238</v>
          </cell>
          <cell r="AB270">
            <v>100</v>
          </cell>
          <cell r="AC270" t="str">
            <v/>
          </cell>
          <cell r="AD270">
            <v>25</v>
          </cell>
          <cell r="AE270" t="str">
            <v>G-100016975-251031-0061</v>
          </cell>
        </row>
        <row r="271">
          <cell r="B271" t="str">
            <v>7101036803</v>
          </cell>
          <cell r="C271" t="str">
            <v>G2509-3291</v>
          </cell>
          <cell r="D271" t="str">
            <v>000042944440114463</v>
          </cell>
          <cell r="E271" t="str">
            <v>钢丝挡圈</v>
          </cell>
          <cell r="F271" t="str">
            <v>Q/2S5335-2013</v>
          </cell>
          <cell r="G271" t="str">
            <v>6</v>
          </cell>
          <cell r="H271" t="str">
            <v/>
          </cell>
          <cell r="I271" t="str">
            <v/>
          </cell>
          <cell r="J271" t="str">
            <v>GH4145</v>
          </cell>
          <cell r="K271">
            <v>214</v>
          </cell>
          <cell r="L271">
            <v>45978</v>
          </cell>
          <cell r="M271" t="str">
            <v>3-配货完成</v>
          </cell>
        </row>
        <row r="271">
          <cell r="O271">
            <v>0</v>
          </cell>
          <cell r="P271" t="str">
            <v>哈尔滨东安实业发展有限公司</v>
          </cell>
          <cell r="Q271" t="str">
            <v>10</v>
          </cell>
        </row>
        <row r="271">
          <cell r="U271" t="str">
            <v>010000869646</v>
          </cell>
          <cell r="V271" t="str">
            <v>BIAOQIAN4</v>
          </cell>
          <cell r="W271" t="str">
            <v/>
          </cell>
          <cell r="X271" t="str">
            <v>CP-108-A</v>
          </cell>
          <cell r="Y271" t="str">
            <v/>
          </cell>
          <cell r="Z271" t="str">
            <v>1906</v>
          </cell>
          <cell r="AA271" t="str">
            <v>1100153577</v>
          </cell>
          <cell r="AB271">
            <v>300</v>
          </cell>
          <cell r="AC271" t="str">
            <v/>
          </cell>
          <cell r="AD271">
            <v>25</v>
          </cell>
          <cell r="AE271" t="str">
            <v>G-100016975-250926-0054</v>
          </cell>
        </row>
        <row r="272">
          <cell r="B272" t="str">
            <v>7101035261</v>
          </cell>
          <cell r="C272" t="str">
            <v>G2508-7008</v>
          </cell>
          <cell r="D272" t="str">
            <v>000042944319058695</v>
          </cell>
          <cell r="E272" t="str">
            <v>螺母</v>
          </cell>
          <cell r="F272" t="str">
            <v>S68.21.1037</v>
          </cell>
          <cell r="G272" t="str">
            <v>-</v>
          </cell>
          <cell r="H272" t="str">
            <v>30-37HRC</v>
          </cell>
          <cell r="I272" t="str">
            <v/>
          </cell>
          <cell r="J272" t="str">
            <v>1Cr11Ni2W2MoV</v>
          </cell>
          <cell r="K272">
            <v>20</v>
          </cell>
          <cell r="L272">
            <v>45974</v>
          </cell>
          <cell r="M272" t="str">
            <v>3-配货完成</v>
          </cell>
        </row>
        <row r="272">
          <cell r="O272">
            <v>0</v>
          </cell>
          <cell r="P272" t="str">
            <v>哈尔滨东安实业发展有限公司</v>
          </cell>
          <cell r="Q272" t="str">
            <v>10</v>
          </cell>
        </row>
        <row r="272">
          <cell r="U272" t="str">
            <v>010000851603</v>
          </cell>
          <cell r="V272" t="str">
            <v>BIAOQIAN8</v>
          </cell>
          <cell r="W272" t="str">
            <v/>
          </cell>
          <cell r="X272" t="str">
            <v>CP-108-A</v>
          </cell>
          <cell r="Y272" t="str">
            <v/>
          </cell>
          <cell r="Z272" t="str">
            <v>1906</v>
          </cell>
          <cell r="AA272" t="str">
            <v>1100151022</v>
          </cell>
          <cell r="AB272">
            <v>20</v>
          </cell>
          <cell r="AC272" t="str">
            <v/>
          </cell>
          <cell r="AD272">
            <v>12.6</v>
          </cell>
          <cell r="AE272" t="str">
            <v>G-100016975-250801-0036</v>
          </cell>
        </row>
        <row r="273">
          <cell r="B273" t="str">
            <v>7101034877</v>
          </cell>
          <cell r="C273" t="str">
            <v>G2501-2772</v>
          </cell>
          <cell r="D273" t="str">
            <v>000042944999027918</v>
          </cell>
          <cell r="E273" t="str">
            <v>螺桩</v>
          </cell>
          <cell r="F273" t="str">
            <v>1BRZA12375-06-015</v>
          </cell>
          <cell r="G273" t="str">
            <v>06-015</v>
          </cell>
          <cell r="H273" t="str">
            <v>σb=980±100MPa</v>
          </cell>
          <cell r="I273" t="str">
            <v>Ep·Cd5-8·c2C</v>
          </cell>
          <cell r="J273" t="str">
            <v>40CrNiMoA</v>
          </cell>
          <cell r="K273">
            <v>69</v>
          </cell>
          <cell r="L273">
            <v>45973</v>
          </cell>
          <cell r="M273" t="str">
            <v>3-配货完成</v>
          </cell>
        </row>
        <row r="273">
          <cell r="O273">
            <v>0</v>
          </cell>
          <cell r="P273" t="str">
            <v>哈尔滨东安实业发展有限公司</v>
          </cell>
          <cell r="Q273" t="str">
            <v>10</v>
          </cell>
        </row>
        <row r="273">
          <cell r="U273" t="str">
            <v>010000777982</v>
          </cell>
          <cell r="V273" t="str">
            <v>BIAOQIAN3</v>
          </cell>
          <cell r="W273" t="str">
            <v/>
          </cell>
          <cell r="X273" t="str">
            <v>CP-19-1-3-7</v>
          </cell>
          <cell r="Y273" t="str">
            <v/>
          </cell>
          <cell r="Z273" t="str">
            <v>1906</v>
          </cell>
          <cell r="AA273" t="str">
            <v>1100155582</v>
          </cell>
          <cell r="AB273">
            <v>500</v>
          </cell>
          <cell r="AC273" t="str">
            <v/>
          </cell>
          <cell r="AD273">
            <v>35</v>
          </cell>
          <cell r="AE273" t="str">
            <v>G-100016975-251110-0065</v>
          </cell>
        </row>
        <row r="274">
          <cell r="B274" t="str">
            <v>7101034877</v>
          </cell>
          <cell r="C274" t="str">
            <v>G2507-1612</v>
          </cell>
          <cell r="D274" t="str">
            <v>000042944999027918</v>
          </cell>
          <cell r="E274" t="str">
            <v>螺桩</v>
          </cell>
          <cell r="F274" t="str">
            <v>1BRZA12375-06-015</v>
          </cell>
          <cell r="G274" t="str">
            <v>06-015</v>
          </cell>
          <cell r="H274" t="str">
            <v>σb=980±100MPa</v>
          </cell>
          <cell r="I274" t="str">
            <v>Ep·Cd5-8·c2C</v>
          </cell>
          <cell r="J274" t="str">
            <v>40CrNiMoA</v>
          </cell>
          <cell r="K274">
            <v>64</v>
          </cell>
          <cell r="L274">
            <v>45973</v>
          </cell>
          <cell r="M274" t="str">
            <v>3-配货完成</v>
          </cell>
        </row>
        <row r="274">
          <cell r="O274">
            <v>0</v>
          </cell>
          <cell r="P274" t="str">
            <v>哈尔滨东安实业发展有限公司</v>
          </cell>
          <cell r="Q274" t="str">
            <v>10</v>
          </cell>
        </row>
        <row r="274">
          <cell r="U274" t="str">
            <v>010000847077</v>
          </cell>
          <cell r="V274" t="str">
            <v>BIAOQIAN3</v>
          </cell>
          <cell r="W274" t="str">
            <v/>
          </cell>
          <cell r="X274" t="str">
            <v>CP-55-2-4-10</v>
          </cell>
          <cell r="Y274" t="str">
            <v/>
          </cell>
          <cell r="Z274" t="str">
            <v>1906</v>
          </cell>
          <cell r="AA274" t="str">
            <v>1100155582</v>
          </cell>
          <cell r="AB274">
            <v>500</v>
          </cell>
          <cell r="AC274" t="str">
            <v/>
          </cell>
          <cell r="AD274">
            <v>35</v>
          </cell>
          <cell r="AE274" t="str">
            <v>G-100016975-251110-0065</v>
          </cell>
        </row>
        <row r="275">
          <cell r="B275" t="str">
            <v>7101031685</v>
          </cell>
          <cell r="C275" t="str">
            <v>G2409-1811</v>
          </cell>
          <cell r="D275" t="str">
            <v>000042944239008493</v>
          </cell>
          <cell r="E275" t="str">
            <v>高锁螺栓</v>
          </cell>
          <cell r="F275" t="str">
            <v>JS20.14.012</v>
          </cell>
          <cell r="G275" t="str">
            <v>-</v>
          </cell>
          <cell r="H275" t="str">
            <v>σb=1175±100MPa</v>
          </cell>
          <cell r="I275" t="str">
            <v>Ct·O+十六醇</v>
          </cell>
          <cell r="J275" t="str">
            <v>ML30CrMnSiA</v>
          </cell>
          <cell r="K275">
            <v>72</v>
          </cell>
          <cell r="L275">
            <v>45966</v>
          </cell>
          <cell r="M275" t="str">
            <v>4-检验完成</v>
          </cell>
        </row>
        <row r="275">
          <cell r="O275">
            <v>0</v>
          </cell>
          <cell r="P275" t="str">
            <v>哈尔滨东安实业发展有限公司</v>
          </cell>
          <cell r="Q275" t="str">
            <v>130</v>
          </cell>
          <cell r="R275">
            <v>45974</v>
          </cell>
        </row>
        <row r="275">
          <cell r="U275" t="str">
            <v>010000736436</v>
          </cell>
          <cell r="V275" t="str">
            <v>BIAOQIAN4</v>
          </cell>
          <cell r="W275" t="str">
            <v/>
          </cell>
          <cell r="X275" t="str">
            <v>CP-108-A</v>
          </cell>
          <cell r="Y275" t="str">
            <v/>
          </cell>
          <cell r="Z275" t="str">
            <v>1906</v>
          </cell>
          <cell r="AA275" t="str">
            <v>1100124375</v>
          </cell>
          <cell r="AB275">
            <v>100</v>
          </cell>
          <cell r="AC275" t="str">
            <v>GJ2409-01811-D-1A</v>
          </cell>
          <cell r="AD275">
            <v>101.44</v>
          </cell>
          <cell r="AE275" t="str">
            <v>G1302-240122-035</v>
          </cell>
        </row>
        <row r="276">
          <cell r="B276" t="str">
            <v>7101030097</v>
          </cell>
          <cell r="C276" t="str">
            <v>G2407-2313</v>
          </cell>
          <cell r="D276" t="str">
            <v>000042944288039751</v>
          </cell>
          <cell r="E276" t="str">
            <v>MJ螺纹双耳游动托板自锁螺母</v>
          </cell>
          <cell r="F276" t="str">
            <v>HB8387-2013</v>
          </cell>
          <cell r="G276" t="str">
            <v>6</v>
          </cell>
          <cell r="H276" t="str">
            <v/>
          </cell>
          <cell r="I276" t="str">
            <v/>
          </cell>
          <cell r="J276" t="str">
            <v>组件</v>
          </cell>
          <cell r="K276">
            <v>91</v>
          </cell>
          <cell r="L276">
            <v>45961</v>
          </cell>
          <cell r="M276" t="str">
            <v>1-已打印</v>
          </cell>
        </row>
        <row r="276">
          <cell r="O276">
            <v>0</v>
          </cell>
          <cell r="P276" t="str">
            <v>哈尔滨东安实业发展有限公司</v>
          </cell>
          <cell r="Q276" t="str">
            <v>50</v>
          </cell>
        </row>
        <row r="276">
          <cell r="U276" t="str">
            <v>010000721131</v>
          </cell>
          <cell r="V276" t="str">
            <v/>
          </cell>
          <cell r="W276" t="str">
            <v/>
          </cell>
          <cell r="X276" t="str">
            <v>CP-108-A</v>
          </cell>
          <cell r="Y276" t="str">
            <v/>
          </cell>
          <cell r="Z276" t="str">
            <v>1906</v>
          </cell>
          <cell r="AA276" t="str">
            <v>1100135389</v>
          </cell>
          <cell r="AB276">
            <v>135</v>
          </cell>
          <cell r="AC276" t="str">
            <v/>
          </cell>
          <cell r="AD276">
            <v>56</v>
          </cell>
          <cell r="AE276" t="str">
            <v>G-100016975-241014-0042-1</v>
          </cell>
        </row>
        <row r="277">
          <cell r="B277" t="str">
            <v>7101030093</v>
          </cell>
          <cell r="C277" t="str">
            <v>G2312-0470</v>
          </cell>
          <cell r="D277" t="str">
            <v>000042944999002605</v>
          </cell>
          <cell r="E277" t="str">
            <v>带键锁紧螺桩</v>
          </cell>
          <cell r="F277" t="str">
            <v>8S.DFD20.3.802</v>
          </cell>
          <cell r="G277" t="str">
            <v>-</v>
          </cell>
          <cell r="H277" t="str">
            <v/>
          </cell>
          <cell r="I277" t="str">
            <v/>
          </cell>
          <cell r="J277" t="str">
            <v>组件</v>
          </cell>
          <cell r="K277">
            <v>50</v>
          </cell>
          <cell r="L277">
            <v>45961</v>
          </cell>
          <cell r="M277" t="str">
            <v>3-配货完成</v>
          </cell>
        </row>
        <row r="277">
          <cell r="O277">
            <v>0</v>
          </cell>
          <cell r="P277" t="str">
            <v>哈尔滨东安实业发展有限公司</v>
          </cell>
          <cell r="Q277" t="str">
            <v>240</v>
          </cell>
        </row>
        <row r="277">
          <cell r="U277" t="str">
            <v>010000657073</v>
          </cell>
          <cell r="V277" t="str">
            <v>BIAOQIAN3</v>
          </cell>
          <cell r="W277" t="str">
            <v/>
          </cell>
          <cell r="X277" t="str">
            <v>CP-108-A/CP-C8-2-4-3</v>
          </cell>
          <cell r="Y277" t="str">
            <v/>
          </cell>
          <cell r="Z277" t="str">
            <v>1906</v>
          </cell>
          <cell r="AA277" t="str">
            <v>1100141177</v>
          </cell>
          <cell r="AB277">
            <v>50</v>
          </cell>
          <cell r="AC277" t="str">
            <v>GJ2312-00470-S-1A</v>
          </cell>
          <cell r="AD277">
            <v>196.98</v>
          </cell>
          <cell r="AE277" t="str">
            <v>G-100016975-250210-0006-1</v>
          </cell>
        </row>
        <row r="278">
          <cell r="B278" t="str">
            <v>7101022910</v>
          </cell>
          <cell r="C278" t="str">
            <v>G2505-1321</v>
          </cell>
          <cell r="D278" t="str">
            <v>000042944360151880</v>
          </cell>
          <cell r="E278" t="str">
            <v>圆柱销</v>
          </cell>
          <cell r="F278" t="str">
            <v>Q/8S1337.1-2024</v>
          </cell>
          <cell r="G278" t="str">
            <v>A-014</v>
          </cell>
          <cell r="H278" t="str">
            <v>27-35HRC</v>
          </cell>
          <cell r="I278" t="str">
            <v>Ct·P</v>
          </cell>
          <cell r="J278" t="str">
            <v>GH2132</v>
          </cell>
          <cell r="K278">
            <v>15</v>
          </cell>
          <cell r="L278">
            <v>45947</v>
          </cell>
          <cell r="M278" t="str">
            <v>3-配货完成</v>
          </cell>
        </row>
        <row r="278">
          <cell r="O278">
            <v>0</v>
          </cell>
          <cell r="P278" t="str">
            <v>哈尔滨东安实业发展有限公司</v>
          </cell>
          <cell r="Q278" t="str">
            <v>30</v>
          </cell>
        </row>
        <row r="278">
          <cell r="U278" t="str">
            <v>010000827084</v>
          </cell>
          <cell r="V278" t="str">
            <v>BIAOQIAN2</v>
          </cell>
          <cell r="W278" t="str">
            <v/>
          </cell>
          <cell r="X278" t="str">
            <v>CP-108-A</v>
          </cell>
          <cell r="Y278" t="str">
            <v/>
          </cell>
          <cell r="Z278" t="str">
            <v>1906</v>
          </cell>
          <cell r="AA278" t="str">
            <v>1100141949</v>
          </cell>
          <cell r="AB278">
            <v>15</v>
          </cell>
          <cell r="AC278" t="str">
            <v/>
          </cell>
          <cell r="AD278">
            <v>34.83</v>
          </cell>
          <cell r="AE278" t="str">
            <v>G-100016975-250221-0010-1</v>
          </cell>
        </row>
        <row r="279">
          <cell r="B279" t="str">
            <v>7101022902</v>
          </cell>
          <cell r="C279" t="str">
            <v>GW2408-003</v>
          </cell>
          <cell r="D279" t="str">
            <v>000042944360004322</v>
          </cell>
          <cell r="E279" t="str">
            <v>弹性圆柱销</v>
          </cell>
          <cell r="F279" t="str">
            <v>GB879-1986</v>
          </cell>
          <cell r="G279" t="str">
            <v>3×8</v>
          </cell>
          <cell r="H279" t="str">
            <v>420-560HV</v>
          </cell>
          <cell r="I279" t="str">
            <v>Ct·O</v>
          </cell>
          <cell r="J279" t="str">
            <v>65Mn</v>
          </cell>
          <cell r="K279">
            <v>190</v>
          </cell>
          <cell r="L279">
            <v>45947</v>
          </cell>
          <cell r="M279" t="str">
            <v>3-配货完成</v>
          </cell>
        </row>
        <row r="279">
          <cell r="O279">
            <v>0</v>
          </cell>
          <cell r="P279" t="str">
            <v>哈尔滨东安实业发展有限公司</v>
          </cell>
          <cell r="Q279" t="str">
            <v>10</v>
          </cell>
        </row>
        <row r="279">
          <cell r="U279" t="str">
            <v/>
          </cell>
          <cell r="V279" t="str">
            <v>BIAOQIAN1</v>
          </cell>
          <cell r="W279" t="str">
            <v/>
          </cell>
          <cell r="X279" t="str">
            <v>XH-000/CP-27-5-2-2</v>
          </cell>
          <cell r="Y279" t="str">
            <v/>
          </cell>
          <cell r="Z279" t="str">
            <v>1906</v>
          </cell>
          <cell r="AA279" t="str">
            <v>1100122539</v>
          </cell>
          <cell r="AB279">
            <v>200</v>
          </cell>
          <cell r="AC279" t="str">
            <v/>
          </cell>
          <cell r="AD279">
            <v>0.4</v>
          </cell>
          <cell r="AE279" t="str">
            <v>G1302-231220-286-H</v>
          </cell>
        </row>
        <row r="280">
          <cell r="B280" t="str">
            <v>7101022897</v>
          </cell>
          <cell r="C280" t="str">
            <v>GW2505-040</v>
          </cell>
          <cell r="D280" t="str">
            <v>000042944239004239</v>
          </cell>
          <cell r="E280" t="str">
            <v>光杆公差带r6抗剪型100°沉头高锁螺栓</v>
          </cell>
          <cell r="F280" t="str">
            <v>GJB134.2-1986</v>
          </cell>
          <cell r="G280" t="str">
            <v>6×14</v>
          </cell>
          <cell r="H280" t="str">
            <v>σb=1175±100MPa</v>
          </cell>
          <cell r="I280" t="str">
            <v>Ct·O+Dp·CA</v>
          </cell>
          <cell r="J280" t="str">
            <v>ML30CrMnSiA</v>
          </cell>
          <cell r="K280">
            <v>34</v>
          </cell>
          <cell r="L280">
            <v>45947</v>
          </cell>
          <cell r="M280" t="str">
            <v>3-配货完成</v>
          </cell>
        </row>
        <row r="280">
          <cell r="O280">
            <v>0</v>
          </cell>
          <cell r="P280" t="str">
            <v>哈尔滨东安实业发展有限公司</v>
          </cell>
          <cell r="Q280" t="str">
            <v>10</v>
          </cell>
        </row>
        <row r="280">
          <cell r="U280" t="str">
            <v/>
          </cell>
          <cell r="V280" t="str">
            <v>PANQIFANG</v>
          </cell>
          <cell r="W280" t="str">
            <v/>
          </cell>
          <cell r="X280" t="str">
            <v>XH-91-4-2-3</v>
          </cell>
          <cell r="Y280" t="str">
            <v/>
          </cell>
          <cell r="Z280" t="str">
            <v>1906</v>
          </cell>
          <cell r="AA280" t="str">
            <v>1100153644</v>
          </cell>
          <cell r="AB280">
            <v>85</v>
          </cell>
          <cell r="AC280" t="str">
            <v/>
          </cell>
          <cell r="AD280">
            <v>101.44</v>
          </cell>
          <cell r="AE280" t="str">
            <v>G-100016975-250925-0053</v>
          </cell>
        </row>
        <row r="281">
          <cell r="B281" t="str">
            <v>7101022886</v>
          </cell>
          <cell r="C281" t="str">
            <v>GW2505-040</v>
          </cell>
          <cell r="D281" t="str">
            <v>000042944239004239</v>
          </cell>
          <cell r="E281" t="str">
            <v>高锁螺栓</v>
          </cell>
          <cell r="F281" t="str">
            <v>GJB134.2-6×14</v>
          </cell>
          <cell r="G281" t="str">
            <v>6×14</v>
          </cell>
          <cell r="H281" t="str">
            <v>σb=1175±100MPa</v>
          </cell>
          <cell r="I281" t="str">
            <v>Ct·O+Dp·CA</v>
          </cell>
          <cell r="J281" t="str">
            <v>ML30CrMnSiA</v>
          </cell>
          <cell r="K281">
            <v>51</v>
          </cell>
          <cell r="L281">
            <v>45947</v>
          </cell>
          <cell r="M281" t="str">
            <v>3-配货完成</v>
          </cell>
        </row>
        <row r="281">
          <cell r="O281">
            <v>0</v>
          </cell>
          <cell r="P281" t="str">
            <v>哈尔滨东安实业发展有限公司</v>
          </cell>
          <cell r="Q281" t="str">
            <v>30</v>
          </cell>
        </row>
        <row r="281">
          <cell r="U281" t="str">
            <v/>
          </cell>
          <cell r="V281" t="str">
            <v>PANQIFANG</v>
          </cell>
          <cell r="W281" t="str">
            <v/>
          </cell>
          <cell r="X281" t="str">
            <v>XH-91-4-2-3</v>
          </cell>
          <cell r="Y281" t="str">
            <v/>
          </cell>
          <cell r="Z281" t="str">
            <v>1906</v>
          </cell>
          <cell r="AA281" t="str">
            <v>1100145380</v>
          </cell>
          <cell r="AB281">
            <v>51</v>
          </cell>
          <cell r="AC281" t="str">
            <v/>
          </cell>
          <cell r="AD281">
            <v>101.4</v>
          </cell>
          <cell r="AE281" t="str">
            <v>G-100016975-250416-0020</v>
          </cell>
        </row>
        <row r="282">
          <cell r="B282" t="str">
            <v>7101021859</v>
          </cell>
          <cell r="C282" t="str">
            <v>G2402-1226</v>
          </cell>
          <cell r="D282" t="str">
            <v>000042944999002605</v>
          </cell>
          <cell r="E282" t="str">
            <v>带键锁紧螺桩</v>
          </cell>
          <cell r="F282" t="str">
            <v>8S.DFD20.3.802</v>
          </cell>
          <cell r="G282" t="str">
            <v>-</v>
          </cell>
          <cell r="H282" t="str">
            <v/>
          </cell>
          <cell r="I282" t="str">
            <v/>
          </cell>
          <cell r="J282" t="str">
            <v>组件</v>
          </cell>
          <cell r="K282">
            <v>150</v>
          </cell>
          <cell r="L282">
            <v>45946</v>
          </cell>
          <cell r="M282" t="str">
            <v>3-配货完成</v>
          </cell>
        </row>
        <row r="282">
          <cell r="O282">
            <v>0</v>
          </cell>
          <cell r="P282" t="str">
            <v>哈尔滨东安实业发展有限公司</v>
          </cell>
          <cell r="Q282" t="str">
            <v>90</v>
          </cell>
        </row>
        <row r="282">
          <cell r="U282" t="str">
            <v>010000675296</v>
          </cell>
          <cell r="V282" t="str">
            <v>BIAOQIAN4</v>
          </cell>
          <cell r="W282" t="str">
            <v/>
          </cell>
          <cell r="X282" t="str">
            <v>CP-108-A</v>
          </cell>
          <cell r="Y282" t="str">
            <v/>
          </cell>
          <cell r="Z282" t="str">
            <v>1906</v>
          </cell>
          <cell r="AA282" t="str">
            <v>1100124770</v>
          </cell>
          <cell r="AB282">
            <v>150</v>
          </cell>
          <cell r="AC282" t="str">
            <v/>
          </cell>
          <cell r="AD282">
            <v>197</v>
          </cell>
          <cell r="AE282" t="str">
            <v>G1302-240205-037</v>
          </cell>
        </row>
        <row r="283">
          <cell r="B283" t="str">
            <v>7101020770</v>
          </cell>
          <cell r="C283" t="str">
            <v>G2411-2338</v>
          </cell>
          <cell r="D283" t="str">
            <v>000042944039095271</v>
          </cell>
          <cell r="E283" t="str">
            <v>带键自锁螺套</v>
          </cell>
          <cell r="F283" t="str">
            <v>Q/S15.1119A-6</v>
          </cell>
          <cell r="G283" t="str">
            <v>A-6</v>
          </cell>
          <cell r="H283" t="str">
            <v/>
          </cell>
          <cell r="I283" t="str">
            <v/>
          </cell>
          <cell r="J283" t="str">
            <v>组件</v>
          </cell>
          <cell r="K283">
            <v>120</v>
          </cell>
          <cell r="L283">
            <v>45944</v>
          </cell>
          <cell r="M283" t="str">
            <v>1-已打印</v>
          </cell>
        </row>
        <row r="283">
          <cell r="O283">
            <v>0</v>
          </cell>
          <cell r="P283" t="str">
            <v>哈尔滨东安实业发展有限公司</v>
          </cell>
          <cell r="Q283" t="str">
            <v>20</v>
          </cell>
        </row>
        <row r="283">
          <cell r="U283" t="str">
            <v>010000754260</v>
          </cell>
          <cell r="V283" t="str">
            <v/>
          </cell>
          <cell r="W283" t="str">
            <v/>
          </cell>
          <cell r="X283" t="str">
            <v>CP-C8-4-4-4</v>
          </cell>
          <cell r="Y283" t="str">
            <v/>
          </cell>
          <cell r="Z283" t="str">
            <v>1906</v>
          </cell>
          <cell r="AA283" t="str">
            <v>1100153106</v>
          </cell>
          <cell r="AB283">
            <v>120</v>
          </cell>
          <cell r="AC283" t="str">
            <v>GJ2411-02338</v>
          </cell>
          <cell r="AD283">
            <v>90</v>
          </cell>
          <cell r="AE283" t="str">
            <v>G-100016975-250917-0049</v>
          </cell>
        </row>
        <row r="284">
          <cell r="B284" t="str">
            <v>7101038402</v>
          </cell>
          <cell r="C284" t="str">
            <v>G2509-2711</v>
          </cell>
          <cell r="D284" t="str">
            <v>000042944240160428</v>
          </cell>
          <cell r="E284" t="str">
            <v>带齿形环螺桩</v>
          </cell>
          <cell r="F284" t="str">
            <v>SPS3011</v>
          </cell>
          <cell r="G284" t="str">
            <v>CE3011-079-365</v>
          </cell>
          <cell r="H284" t="str">
            <v/>
          </cell>
          <cell r="I284" t="str">
            <v/>
          </cell>
          <cell r="J284" t="str">
            <v>组件</v>
          </cell>
          <cell r="K284">
            <v>64</v>
          </cell>
          <cell r="L284">
            <v>45981</v>
          </cell>
          <cell r="M284" t="str">
            <v>3-配货完成</v>
          </cell>
        </row>
        <row r="284">
          <cell r="O284">
            <v>0</v>
          </cell>
          <cell r="P284" t="str">
            <v>哈尔滨东安实业发展有限公司</v>
          </cell>
          <cell r="Q284" t="str">
            <v>10</v>
          </cell>
        </row>
        <row r="284">
          <cell r="U284" t="str">
            <v>010000867923</v>
          </cell>
          <cell r="V284" t="str">
            <v>BIAOQIAN3</v>
          </cell>
          <cell r="W284" t="str">
            <v/>
          </cell>
          <cell r="X284" t="str">
            <v>CP-108-A</v>
          </cell>
          <cell r="Y284" t="str">
            <v/>
          </cell>
          <cell r="Z284" t="str">
            <v>1906</v>
          </cell>
          <cell r="AA284" t="str">
            <v>1100154155</v>
          </cell>
          <cell r="AB284">
            <v>64</v>
          </cell>
          <cell r="AC284" t="str">
            <v/>
          </cell>
          <cell r="AD284">
            <v>20</v>
          </cell>
          <cell r="AE284" t="str">
            <v>G-100016975-251014-0056</v>
          </cell>
        </row>
        <row r="285">
          <cell r="B285" t="str">
            <v>7101038401</v>
          </cell>
          <cell r="C285" t="str">
            <v>G2509-2711</v>
          </cell>
          <cell r="D285" t="str">
            <v>000042944240160428</v>
          </cell>
          <cell r="E285" t="str">
            <v>带齿形环螺桩</v>
          </cell>
          <cell r="F285" t="str">
            <v>SPS3011</v>
          </cell>
          <cell r="G285" t="str">
            <v>CE3011-079-365</v>
          </cell>
          <cell r="H285" t="str">
            <v/>
          </cell>
          <cell r="I285" t="str">
            <v/>
          </cell>
          <cell r="J285" t="str">
            <v>组件</v>
          </cell>
          <cell r="K285">
            <v>208</v>
          </cell>
          <cell r="L285">
            <v>45981</v>
          </cell>
          <cell r="M285" t="str">
            <v>3-配货完成</v>
          </cell>
        </row>
        <row r="285">
          <cell r="O285">
            <v>0</v>
          </cell>
          <cell r="P285" t="str">
            <v>哈尔滨东安实业发展有限公司</v>
          </cell>
          <cell r="Q285" t="str">
            <v>10</v>
          </cell>
        </row>
        <row r="285">
          <cell r="U285" t="str">
            <v>010000867923</v>
          </cell>
          <cell r="V285" t="str">
            <v>BIAOQIAN3</v>
          </cell>
          <cell r="W285" t="str">
            <v/>
          </cell>
          <cell r="X285" t="str">
            <v>CP-108-A</v>
          </cell>
          <cell r="Y285" t="str">
            <v/>
          </cell>
          <cell r="Z285" t="str">
            <v>1906</v>
          </cell>
          <cell r="AA285" t="str">
            <v>1100152799</v>
          </cell>
          <cell r="AB285">
            <v>208</v>
          </cell>
          <cell r="AC285" t="str">
            <v/>
          </cell>
          <cell r="AD285">
            <v>20</v>
          </cell>
          <cell r="AE285" t="str">
            <v>G-100016975-250909-0046</v>
          </cell>
        </row>
        <row r="286">
          <cell r="B286" t="str">
            <v>7101038229</v>
          </cell>
          <cell r="C286" t="str">
            <v>G2411-2263</v>
          </cell>
          <cell r="D286" t="str">
            <v>000042944319051601</v>
          </cell>
          <cell r="E286" t="str">
            <v>双六角自锁螺母</v>
          </cell>
          <cell r="F286" t="str">
            <v>AS3291A-2013</v>
          </cell>
          <cell r="G286" t="str">
            <v>AS3291-11</v>
          </cell>
          <cell r="H286" t="str">
            <v>32-42HRC</v>
          </cell>
          <cell r="I286" t="str">
            <v>镀银</v>
          </cell>
          <cell r="J286" t="str">
            <v>GH4738</v>
          </cell>
          <cell r="K286">
            <v>95</v>
          </cell>
          <cell r="L286">
            <v>45981</v>
          </cell>
          <cell r="M286" t="str">
            <v>1-已打印</v>
          </cell>
        </row>
        <row r="286">
          <cell r="O286">
            <v>0</v>
          </cell>
          <cell r="P286" t="str">
            <v>哈尔滨东安实业发展有限公司</v>
          </cell>
          <cell r="Q286" t="str">
            <v>10</v>
          </cell>
        </row>
        <row r="286">
          <cell r="U286" t="str">
            <v>010000754005</v>
          </cell>
          <cell r="V286" t="str">
            <v/>
          </cell>
          <cell r="W286" t="str">
            <v/>
          </cell>
          <cell r="X286" t="str">
            <v>CP-22-3-3-5</v>
          </cell>
          <cell r="Y286" t="str">
            <v/>
          </cell>
          <cell r="Z286" t="str">
            <v>1906</v>
          </cell>
          <cell r="AA286" t="str">
            <v>1100156011</v>
          </cell>
          <cell r="AB286">
            <v>95</v>
          </cell>
          <cell r="AC286" t="str">
            <v/>
          </cell>
          <cell r="AD286">
            <v>55</v>
          </cell>
          <cell r="AE286" t="str">
            <v>G-100016975-251114-0069</v>
          </cell>
        </row>
        <row r="287">
          <cell r="B287" t="str">
            <v>7101038170</v>
          </cell>
          <cell r="C287" t="str">
            <v>G2511-1306</v>
          </cell>
          <cell r="D287" t="str">
            <v>000042944240160429</v>
          </cell>
          <cell r="E287" t="str">
            <v>带齿形环螺桩</v>
          </cell>
          <cell r="F287" t="str">
            <v>SPS3011</v>
          </cell>
          <cell r="G287" t="str">
            <v>CE3011-079-381</v>
          </cell>
          <cell r="H287" t="str">
            <v/>
          </cell>
          <cell r="I287" t="str">
            <v/>
          </cell>
          <cell r="J287" t="str">
            <v>组件</v>
          </cell>
          <cell r="K287">
            <v>50</v>
          </cell>
          <cell r="L287">
            <v>45981</v>
          </cell>
          <cell r="M287" t="str">
            <v>3-配货完成</v>
          </cell>
        </row>
        <row r="287">
          <cell r="O287">
            <v>0</v>
          </cell>
          <cell r="P287" t="str">
            <v>哈尔滨东安实业发展有限公司</v>
          </cell>
          <cell r="Q287" t="str">
            <v>20</v>
          </cell>
        </row>
        <row r="287">
          <cell r="U287" t="str">
            <v>010000885511</v>
          </cell>
          <cell r="V287" t="str">
            <v>BIAOQIAN2</v>
          </cell>
          <cell r="W287" t="str">
            <v/>
          </cell>
          <cell r="X287" t="str">
            <v>CP-108-A</v>
          </cell>
          <cell r="Y287" t="str">
            <v/>
          </cell>
          <cell r="Z287" t="str">
            <v>1906</v>
          </cell>
          <cell r="AA287" t="str">
            <v>1100154155</v>
          </cell>
          <cell r="AB287">
            <v>50</v>
          </cell>
          <cell r="AC287" t="str">
            <v/>
          </cell>
          <cell r="AD287">
            <v>20</v>
          </cell>
          <cell r="AE287" t="str">
            <v>G-100016975-251014-0056</v>
          </cell>
        </row>
        <row r="288">
          <cell r="B288" t="str">
            <v>7101038169</v>
          </cell>
          <cell r="C288" t="str">
            <v>G2511-1306</v>
          </cell>
          <cell r="D288" t="str">
            <v>000042944240160429</v>
          </cell>
          <cell r="E288" t="str">
            <v>带齿形环螺桩</v>
          </cell>
          <cell r="F288" t="str">
            <v>SPS3011</v>
          </cell>
          <cell r="G288" t="str">
            <v>CE3011-079-381</v>
          </cell>
          <cell r="H288" t="str">
            <v/>
          </cell>
          <cell r="I288" t="str">
            <v/>
          </cell>
          <cell r="J288" t="str">
            <v>组件</v>
          </cell>
          <cell r="K288">
            <v>52</v>
          </cell>
          <cell r="L288">
            <v>45981</v>
          </cell>
          <cell r="M288" t="str">
            <v>3-配货完成</v>
          </cell>
        </row>
        <row r="288">
          <cell r="O288">
            <v>0</v>
          </cell>
          <cell r="P288" t="str">
            <v>哈尔滨东安实业发展有限公司</v>
          </cell>
          <cell r="Q288" t="str">
            <v>20</v>
          </cell>
        </row>
        <row r="288">
          <cell r="U288" t="str">
            <v>010000885511</v>
          </cell>
          <cell r="V288" t="str">
            <v>BIAOQIAN2</v>
          </cell>
          <cell r="W288" t="str">
            <v/>
          </cell>
          <cell r="X288" t="str">
            <v>CP-108-A</v>
          </cell>
          <cell r="Y288" t="str">
            <v/>
          </cell>
          <cell r="Z288" t="str">
            <v>1906</v>
          </cell>
          <cell r="AA288" t="str">
            <v>1100152799</v>
          </cell>
          <cell r="AB288">
            <v>52</v>
          </cell>
          <cell r="AC288" t="str">
            <v/>
          </cell>
          <cell r="AD288">
            <v>20</v>
          </cell>
          <cell r="AE288" t="str">
            <v>G-100016975-250909-0046</v>
          </cell>
        </row>
        <row r="289">
          <cell r="B289" t="str">
            <v>7101037642</v>
          </cell>
          <cell r="C289" t="str">
            <v>G2509-3368</v>
          </cell>
          <cell r="D289" t="str">
            <v>000042944039020842</v>
          </cell>
          <cell r="E289" t="str">
            <v>带键锁紧螺套</v>
          </cell>
          <cell r="F289" t="str">
            <v>8S.DFD20.6.801</v>
          </cell>
          <cell r="G289" t="str">
            <v>-</v>
          </cell>
          <cell r="H289" t="str">
            <v/>
          </cell>
          <cell r="I289" t="str">
            <v/>
          </cell>
          <cell r="J289" t="str">
            <v>组件</v>
          </cell>
          <cell r="K289">
            <v>50</v>
          </cell>
          <cell r="L289">
            <v>45980</v>
          </cell>
          <cell r="M289" t="str">
            <v>3-配货完成</v>
          </cell>
        </row>
        <row r="289">
          <cell r="O289">
            <v>0</v>
          </cell>
          <cell r="P289" t="str">
            <v>哈尔滨东安实业发展有限公司</v>
          </cell>
          <cell r="Q289" t="str">
            <v>230</v>
          </cell>
        </row>
        <row r="289">
          <cell r="U289" t="str">
            <v>010000869719</v>
          </cell>
          <cell r="V289" t="str">
            <v>BIAOQIAN2</v>
          </cell>
          <cell r="W289" t="str">
            <v/>
          </cell>
          <cell r="X289" t="str">
            <v>CP-108-A</v>
          </cell>
          <cell r="Y289" t="str">
            <v/>
          </cell>
          <cell r="Z289" t="str">
            <v>1906</v>
          </cell>
          <cell r="AA289" t="str">
            <v>1100141177</v>
          </cell>
          <cell r="AB289">
            <v>50</v>
          </cell>
          <cell r="AC289" t="str">
            <v>GJ2509-03368 D 1A</v>
          </cell>
          <cell r="AD289">
            <v>117.79</v>
          </cell>
          <cell r="AE289" t="str">
            <v>G-100016975-250210-0006-1</v>
          </cell>
        </row>
        <row r="290">
          <cell r="B290" t="str">
            <v>7101034877</v>
          </cell>
          <cell r="C290" t="str">
            <v>G2501-2772</v>
          </cell>
          <cell r="D290" t="str">
            <v>000042944999027918</v>
          </cell>
          <cell r="E290" t="str">
            <v>螺桩</v>
          </cell>
          <cell r="F290" t="str">
            <v>1BRZA12375-06-015</v>
          </cell>
          <cell r="G290" t="str">
            <v>06-015</v>
          </cell>
          <cell r="H290" t="str">
            <v>σb=980±100MPa</v>
          </cell>
          <cell r="I290" t="str">
            <v>Ep·Cd5-8·c2C</v>
          </cell>
          <cell r="J290" t="str">
            <v>40CrNiMoA</v>
          </cell>
          <cell r="K290">
            <v>69</v>
          </cell>
          <cell r="L290">
            <v>45973</v>
          </cell>
          <cell r="M290" t="str">
            <v>4-检验完成</v>
          </cell>
        </row>
        <row r="290">
          <cell r="O290">
            <v>0</v>
          </cell>
          <cell r="P290" t="str">
            <v>哈尔滨东安实业发展有限公司</v>
          </cell>
          <cell r="Q290" t="str">
            <v>10</v>
          </cell>
          <cell r="R290">
            <v>45980</v>
          </cell>
        </row>
        <row r="290">
          <cell r="U290" t="str">
            <v>010000777982</v>
          </cell>
          <cell r="V290" t="str">
            <v>BIAOQIAN3</v>
          </cell>
          <cell r="W290" t="str">
            <v/>
          </cell>
          <cell r="X290" t="str">
            <v>CP-19-1-3-7</v>
          </cell>
          <cell r="Y290" t="str">
            <v/>
          </cell>
          <cell r="Z290" t="str">
            <v>1906</v>
          </cell>
          <cell r="AA290" t="str">
            <v>1100155582</v>
          </cell>
          <cell r="AB290">
            <v>500</v>
          </cell>
          <cell r="AC290" t="str">
            <v/>
          </cell>
          <cell r="AD290">
            <v>35</v>
          </cell>
          <cell r="AE290" t="str">
            <v>G-100016975-251110-0065</v>
          </cell>
        </row>
        <row r="291">
          <cell r="B291" t="str">
            <v>7101034877</v>
          </cell>
          <cell r="C291" t="str">
            <v>G2507-1612</v>
          </cell>
          <cell r="D291" t="str">
            <v>000042944999027918</v>
          </cell>
          <cell r="E291" t="str">
            <v>螺桩</v>
          </cell>
          <cell r="F291" t="str">
            <v>1BRZA12375-06-015</v>
          </cell>
          <cell r="G291" t="str">
            <v>06-015</v>
          </cell>
          <cell r="H291" t="str">
            <v>σb=980±100MPa</v>
          </cell>
          <cell r="I291" t="str">
            <v>Ep·Cd5-8·c2C</v>
          </cell>
          <cell r="J291" t="str">
            <v>40CrNiMoA</v>
          </cell>
          <cell r="K291">
            <v>64</v>
          </cell>
          <cell r="L291">
            <v>45973</v>
          </cell>
          <cell r="M291" t="str">
            <v>4-检验完成</v>
          </cell>
        </row>
        <row r="291">
          <cell r="O291">
            <v>0</v>
          </cell>
          <cell r="P291" t="str">
            <v>哈尔滨东安实业发展有限公司</v>
          </cell>
          <cell r="Q291" t="str">
            <v>10</v>
          </cell>
          <cell r="R291">
            <v>45980</v>
          </cell>
        </row>
        <row r="291">
          <cell r="U291" t="str">
            <v>010000847077</v>
          </cell>
          <cell r="V291" t="str">
            <v>BIAOQIAN3</v>
          </cell>
          <cell r="W291" t="str">
            <v/>
          </cell>
          <cell r="X291" t="str">
            <v>CP-55-2-4-10</v>
          </cell>
          <cell r="Y291" t="str">
            <v/>
          </cell>
          <cell r="Z291" t="str">
            <v>1906</v>
          </cell>
          <cell r="AA291" t="str">
            <v>1100155582</v>
          </cell>
          <cell r="AB291">
            <v>500</v>
          </cell>
          <cell r="AC291" t="str">
            <v/>
          </cell>
          <cell r="AD291">
            <v>35</v>
          </cell>
          <cell r="AE291" t="str">
            <v>G-100016975-251110-0065</v>
          </cell>
        </row>
        <row r="292">
          <cell r="B292" t="str">
            <v>7101031685</v>
          </cell>
          <cell r="C292" t="str">
            <v>G2409-1811</v>
          </cell>
          <cell r="D292" t="str">
            <v>000042944239008493</v>
          </cell>
          <cell r="E292" t="str">
            <v>高锁螺栓</v>
          </cell>
          <cell r="F292" t="str">
            <v>JS20.14.012</v>
          </cell>
          <cell r="G292" t="str">
            <v>-</v>
          </cell>
          <cell r="H292" t="str">
            <v>σb=1175±100MPa</v>
          </cell>
          <cell r="I292" t="str">
            <v>Ct·O+十六醇</v>
          </cell>
          <cell r="J292" t="str">
            <v>ML30CrMnSiA</v>
          </cell>
          <cell r="K292">
            <v>72</v>
          </cell>
          <cell r="L292">
            <v>45966</v>
          </cell>
          <cell r="M292" t="str">
            <v>4-检验完成</v>
          </cell>
        </row>
        <row r="292">
          <cell r="O292">
            <v>0</v>
          </cell>
          <cell r="P292" t="str">
            <v>哈尔滨东安实业发展有限公司</v>
          </cell>
          <cell r="Q292" t="str">
            <v>130</v>
          </cell>
          <cell r="R292">
            <v>45974</v>
          </cell>
        </row>
        <row r="292">
          <cell r="U292" t="str">
            <v>010000736436</v>
          </cell>
          <cell r="V292" t="str">
            <v>BIAOQIAN4</v>
          </cell>
          <cell r="W292" t="str">
            <v/>
          </cell>
          <cell r="X292" t="str">
            <v>CP-108-A</v>
          </cell>
          <cell r="Y292" t="str">
            <v/>
          </cell>
          <cell r="Z292" t="str">
            <v>1906</v>
          </cell>
          <cell r="AA292" t="str">
            <v>1100124375</v>
          </cell>
          <cell r="AB292">
            <v>100</v>
          </cell>
          <cell r="AC292" t="str">
            <v>GJ2409-01811-D-1A</v>
          </cell>
          <cell r="AD292">
            <v>101.44</v>
          </cell>
          <cell r="AE292" t="str">
            <v>G1302-240122-035</v>
          </cell>
        </row>
        <row r="293">
          <cell r="B293" t="str">
            <v>7101030097</v>
          </cell>
          <cell r="C293" t="str">
            <v>G2407-2313</v>
          </cell>
          <cell r="D293" t="str">
            <v>000042944288039751</v>
          </cell>
          <cell r="E293" t="str">
            <v>MJ螺纹双耳游动托板自锁螺母</v>
          </cell>
          <cell r="F293" t="str">
            <v>HB8387-2013</v>
          </cell>
          <cell r="G293" t="str">
            <v>6</v>
          </cell>
          <cell r="H293" t="str">
            <v/>
          </cell>
          <cell r="I293" t="str">
            <v/>
          </cell>
          <cell r="J293" t="str">
            <v>组件</v>
          </cell>
          <cell r="K293">
            <v>91</v>
          </cell>
          <cell r="L293">
            <v>45961</v>
          </cell>
          <cell r="M293" t="str">
            <v>1-已打印</v>
          </cell>
        </row>
        <row r="293">
          <cell r="O293">
            <v>0</v>
          </cell>
          <cell r="P293" t="str">
            <v>哈尔滨东安实业发展有限公司</v>
          </cell>
          <cell r="Q293" t="str">
            <v>50</v>
          </cell>
        </row>
        <row r="293">
          <cell r="U293" t="str">
            <v>010000721131</v>
          </cell>
          <cell r="V293" t="str">
            <v/>
          </cell>
          <cell r="W293" t="str">
            <v/>
          </cell>
          <cell r="X293" t="str">
            <v>CP-108-A</v>
          </cell>
          <cell r="Y293" t="str">
            <v/>
          </cell>
          <cell r="Z293" t="str">
            <v>1906</v>
          </cell>
          <cell r="AA293" t="str">
            <v>1100135389</v>
          </cell>
          <cell r="AB293">
            <v>135</v>
          </cell>
          <cell r="AC293" t="str">
            <v/>
          </cell>
          <cell r="AD293">
            <v>56</v>
          </cell>
          <cell r="AE293" t="str">
            <v>G-100016975-241014-0042-1</v>
          </cell>
        </row>
        <row r="294">
          <cell r="B294" t="str">
            <v>7101030093</v>
          </cell>
          <cell r="C294" t="str">
            <v>G2312-0470</v>
          </cell>
          <cell r="D294" t="str">
            <v>000042944999002605</v>
          </cell>
          <cell r="E294" t="str">
            <v>带键锁紧螺桩</v>
          </cell>
          <cell r="F294" t="str">
            <v>8S.DFD20.3.802</v>
          </cell>
          <cell r="G294" t="str">
            <v>-</v>
          </cell>
          <cell r="H294" t="str">
            <v/>
          </cell>
          <cell r="I294" t="str">
            <v/>
          </cell>
          <cell r="J294" t="str">
            <v>组件</v>
          </cell>
          <cell r="K294">
            <v>50</v>
          </cell>
          <cell r="L294">
            <v>45961</v>
          </cell>
          <cell r="M294" t="str">
            <v>3-配货完成</v>
          </cell>
        </row>
        <row r="294">
          <cell r="O294">
            <v>0</v>
          </cell>
          <cell r="P294" t="str">
            <v>哈尔滨东安实业发展有限公司</v>
          </cell>
          <cell r="Q294" t="str">
            <v>240</v>
          </cell>
        </row>
        <row r="294">
          <cell r="U294" t="str">
            <v>010000657073</v>
          </cell>
          <cell r="V294" t="str">
            <v>BIAOQIAN3</v>
          </cell>
          <cell r="W294" t="str">
            <v/>
          </cell>
          <cell r="X294" t="str">
            <v>CP-108-A/CP-C8-2-4-3</v>
          </cell>
          <cell r="Y294" t="str">
            <v/>
          </cell>
          <cell r="Z294" t="str">
            <v>1906</v>
          </cell>
          <cell r="AA294" t="str">
            <v>1100141177</v>
          </cell>
          <cell r="AB294">
            <v>50</v>
          </cell>
          <cell r="AC294" t="str">
            <v>GJ2312-00470-S-1A</v>
          </cell>
          <cell r="AD294">
            <v>196.98</v>
          </cell>
          <cell r="AE294" t="str">
            <v>G-100016975-250210-0006-1</v>
          </cell>
        </row>
        <row r="295">
          <cell r="B295" t="str">
            <v>7101022910</v>
          </cell>
          <cell r="C295" t="str">
            <v>G2505-1321</v>
          </cell>
          <cell r="D295" t="str">
            <v>000042944360151880</v>
          </cell>
          <cell r="E295" t="str">
            <v>圆柱销</v>
          </cell>
          <cell r="F295" t="str">
            <v>Q/8S1337.1-2024</v>
          </cell>
          <cell r="G295" t="str">
            <v>A-014</v>
          </cell>
          <cell r="H295" t="str">
            <v>27-35HRC</v>
          </cell>
          <cell r="I295" t="str">
            <v>Ct·P</v>
          </cell>
          <cell r="J295" t="str">
            <v>GH2132</v>
          </cell>
          <cell r="K295">
            <v>15</v>
          </cell>
          <cell r="L295">
            <v>45947</v>
          </cell>
          <cell r="M295" t="str">
            <v>3-配货完成</v>
          </cell>
        </row>
        <row r="295">
          <cell r="O295">
            <v>0</v>
          </cell>
          <cell r="P295" t="str">
            <v>哈尔滨东安实业发展有限公司</v>
          </cell>
          <cell r="Q295" t="str">
            <v>30</v>
          </cell>
        </row>
        <row r="295">
          <cell r="U295" t="str">
            <v>010000827084</v>
          </cell>
          <cell r="V295" t="str">
            <v>BIAOQIAN2</v>
          </cell>
          <cell r="W295" t="str">
            <v/>
          </cell>
          <cell r="X295" t="str">
            <v>CP-108-A</v>
          </cell>
          <cell r="Y295" t="str">
            <v/>
          </cell>
          <cell r="Z295" t="str">
            <v>1906</v>
          </cell>
          <cell r="AA295" t="str">
            <v>1100141949</v>
          </cell>
          <cell r="AB295">
            <v>15</v>
          </cell>
          <cell r="AC295" t="str">
            <v/>
          </cell>
          <cell r="AD295">
            <v>34.83</v>
          </cell>
          <cell r="AE295" t="str">
            <v>G-100016975-250221-0010-1</v>
          </cell>
        </row>
        <row r="296">
          <cell r="B296" t="str">
            <v>7101022902</v>
          </cell>
          <cell r="C296" t="str">
            <v>GW2408-003</v>
          </cell>
          <cell r="D296" t="str">
            <v>000042944360004322</v>
          </cell>
          <cell r="E296" t="str">
            <v>弹性圆柱销</v>
          </cell>
          <cell r="F296" t="str">
            <v>GB879-1986</v>
          </cell>
          <cell r="G296" t="str">
            <v>3×8</v>
          </cell>
          <cell r="H296" t="str">
            <v>420-560HV</v>
          </cell>
          <cell r="I296" t="str">
            <v>Ct·O</v>
          </cell>
          <cell r="J296" t="str">
            <v>65Mn</v>
          </cell>
          <cell r="K296">
            <v>190</v>
          </cell>
          <cell r="L296">
            <v>45947</v>
          </cell>
          <cell r="M296" t="str">
            <v>3-配货完成</v>
          </cell>
        </row>
        <row r="296">
          <cell r="O296">
            <v>0</v>
          </cell>
          <cell r="P296" t="str">
            <v>哈尔滨东安实业发展有限公司</v>
          </cell>
          <cell r="Q296" t="str">
            <v>10</v>
          </cell>
        </row>
        <row r="296">
          <cell r="U296" t="str">
            <v/>
          </cell>
          <cell r="V296" t="str">
            <v>BIAOQIAN1</v>
          </cell>
          <cell r="W296" t="str">
            <v/>
          </cell>
          <cell r="X296" t="str">
            <v>XH-000/CP-27-5-2-2</v>
          </cell>
          <cell r="Y296" t="str">
            <v/>
          </cell>
          <cell r="Z296" t="str">
            <v>1906</v>
          </cell>
          <cell r="AA296" t="str">
            <v>1100122539</v>
          </cell>
          <cell r="AB296">
            <v>200</v>
          </cell>
          <cell r="AC296" t="str">
            <v/>
          </cell>
          <cell r="AD296">
            <v>0.4</v>
          </cell>
          <cell r="AE296" t="str">
            <v>G1302-231220-286-H</v>
          </cell>
        </row>
        <row r="297">
          <cell r="B297" t="str">
            <v>7101022897</v>
          </cell>
          <cell r="C297" t="str">
            <v>GW2505-040</v>
          </cell>
          <cell r="D297" t="str">
            <v>000042944239004239</v>
          </cell>
          <cell r="E297" t="str">
            <v>光杆公差带r6抗剪型100°沉头高锁螺栓</v>
          </cell>
          <cell r="F297" t="str">
            <v>GJB134.2-1986</v>
          </cell>
          <cell r="G297" t="str">
            <v>6×14</v>
          </cell>
          <cell r="H297" t="str">
            <v>σb=1175±100MPa</v>
          </cell>
          <cell r="I297" t="str">
            <v>Ct·O+Dp·CA</v>
          </cell>
          <cell r="J297" t="str">
            <v>ML30CrMnSiA</v>
          </cell>
          <cell r="K297">
            <v>34</v>
          </cell>
          <cell r="L297">
            <v>45947</v>
          </cell>
          <cell r="M297" t="str">
            <v>3-配货完成</v>
          </cell>
        </row>
        <row r="297">
          <cell r="O297">
            <v>0</v>
          </cell>
          <cell r="P297" t="str">
            <v>哈尔滨东安实业发展有限公司</v>
          </cell>
          <cell r="Q297" t="str">
            <v>10</v>
          </cell>
        </row>
        <row r="297">
          <cell r="U297" t="str">
            <v/>
          </cell>
          <cell r="V297" t="str">
            <v>PANQIFANG</v>
          </cell>
          <cell r="W297" t="str">
            <v/>
          </cell>
          <cell r="X297" t="str">
            <v>XH-91-4-2-3</v>
          </cell>
          <cell r="Y297" t="str">
            <v/>
          </cell>
          <cell r="Z297" t="str">
            <v>1906</v>
          </cell>
          <cell r="AA297" t="str">
            <v>1100153644</v>
          </cell>
          <cell r="AB297">
            <v>85</v>
          </cell>
          <cell r="AC297" t="str">
            <v/>
          </cell>
          <cell r="AD297">
            <v>101.44</v>
          </cell>
          <cell r="AE297" t="str">
            <v>G-100016975-250925-0053</v>
          </cell>
        </row>
        <row r="298">
          <cell r="B298" t="str">
            <v>7101022886</v>
          </cell>
          <cell r="C298" t="str">
            <v>GW2505-040</v>
          </cell>
          <cell r="D298" t="str">
            <v>000042944239004239</v>
          </cell>
          <cell r="E298" t="str">
            <v>高锁螺栓</v>
          </cell>
          <cell r="F298" t="str">
            <v>GJB134.2-6×14</v>
          </cell>
          <cell r="G298" t="str">
            <v>6×14</v>
          </cell>
          <cell r="H298" t="str">
            <v>σb=1175±100MPa</v>
          </cell>
          <cell r="I298" t="str">
            <v>Ct·O+Dp·CA</v>
          </cell>
          <cell r="J298" t="str">
            <v>ML30CrMnSiA</v>
          </cell>
          <cell r="K298">
            <v>51</v>
          </cell>
          <cell r="L298">
            <v>45947</v>
          </cell>
          <cell r="M298" t="str">
            <v>3-配货完成</v>
          </cell>
        </row>
        <row r="298">
          <cell r="O298">
            <v>0</v>
          </cell>
          <cell r="P298" t="str">
            <v>哈尔滨东安实业发展有限公司</v>
          </cell>
          <cell r="Q298" t="str">
            <v>30</v>
          </cell>
        </row>
        <row r="298">
          <cell r="U298" t="str">
            <v/>
          </cell>
          <cell r="V298" t="str">
            <v>PANQIFANG</v>
          </cell>
          <cell r="W298" t="str">
            <v/>
          </cell>
          <cell r="X298" t="str">
            <v>XH-91-4-2-3</v>
          </cell>
          <cell r="Y298" t="str">
            <v/>
          </cell>
          <cell r="Z298" t="str">
            <v>1906</v>
          </cell>
          <cell r="AA298" t="str">
            <v>1100145380</v>
          </cell>
          <cell r="AB298">
            <v>51</v>
          </cell>
          <cell r="AC298" t="str">
            <v/>
          </cell>
          <cell r="AD298">
            <v>101.4</v>
          </cell>
          <cell r="AE298" t="str">
            <v>G-100016975-250416-0020</v>
          </cell>
        </row>
        <row r="299">
          <cell r="B299" t="str">
            <v>7101021859</v>
          </cell>
          <cell r="C299" t="str">
            <v>G2402-1226</v>
          </cell>
          <cell r="D299" t="str">
            <v>000042944999002605</v>
          </cell>
          <cell r="E299" t="str">
            <v>带键锁紧螺桩</v>
          </cell>
          <cell r="F299" t="str">
            <v>8S.DFD20.3.802</v>
          </cell>
          <cell r="G299" t="str">
            <v>-</v>
          </cell>
          <cell r="H299" t="str">
            <v/>
          </cell>
          <cell r="I299" t="str">
            <v/>
          </cell>
          <cell r="J299" t="str">
            <v>组件</v>
          </cell>
          <cell r="K299">
            <v>150</v>
          </cell>
          <cell r="L299">
            <v>45946</v>
          </cell>
          <cell r="M299" t="str">
            <v>3-配货完成</v>
          </cell>
        </row>
        <row r="299">
          <cell r="O299">
            <v>0</v>
          </cell>
          <cell r="P299" t="str">
            <v>哈尔滨东安实业发展有限公司</v>
          </cell>
          <cell r="Q299" t="str">
            <v>90</v>
          </cell>
        </row>
        <row r="299">
          <cell r="U299" t="str">
            <v>010000675296</v>
          </cell>
          <cell r="V299" t="str">
            <v>BIAOQIAN4</v>
          </cell>
          <cell r="W299" t="str">
            <v/>
          </cell>
          <cell r="X299" t="str">
            <v>CP-108-A</v>
          </cell>
          <cell r="Y299" t="str">
            <v/>
          </cell>
          <cell r="Z299" t="str">
            <v>1906</v>
          </cell>
          <cell r="AA299" t="str">
            <v>1100124770</v>
          </cell>
          <cell r="AB299">
            <v>150</v>
          </cell>
          <cell r="AC299" t="str">
            <v/>
          </cell>
          <cell r="AD299">
            <v>197</v>
          </cell>
          <cell r="AE299" t="str">
            <v>G1302-240205-037</v>
          </cell>
        </row>
        <row r="300">
          <cell r="B300" t="str">
            <v>7101020770</v>
          </cell>
          <cell r="C300" t="str">
            <v>G2411-2338</v>
          </cell>
          <cell r="D300" t="str">
            <v>000042944039095271</v>
          </cell>
          <cell r="E300" t="str">
            <v>带键自锁螺套</v>
          </cell>
          <cell r="F300" t="str">
            <v>Q/S15.1119A-6</v>
          </cell>
          <cell r="G300" t="str">
            <v>A-6</v>
          </cell>
          <cell r="H300" t="str">
            <v/>
          </cell>
          <cell r="I300" t="str">
            <v/>
          </cell>
          <cell r="J300" t="str">
            <v>组件</v>
          </cell>
          <cell r="K300">
            <v>120</v>
          </cell>
          <cell r="L300">
            <v>45944</v>
          </cell>
          <cell r="M300" t="str">
            <v>1-已打印</v>
          </cell>
        </row>
        <row r="300">
          <cell r="O300">
            <v>0</v>
          </cell>
          <cell r="P300" t="str">
            <v>哈尔滨东安实业发展有限公司</v>
          </cell>
          <cell r="Q300" t="str">
            <v>20</v>
          </cell>
        </row>
        <row r="300">
          <cell r="U300" t="str">
            <v>010000754260</v>
          </cell>
          <cell r="V300" t="str">
            <v/>
          </cell>
          <cell r="W300" t="str">
            <v/>
          </cell>
          <cell r="X300" t="str">
            <v>CP-C8-4-4-4</v>
          </cell>
          <cell r="Y300" t="str">
            <v/>
          </cell>
          <cell r="Z300" t="str">
            <v>1906</v>
          </cell>
          <cell r="AA300" t="str">
            <v>1100153106</v>
          </cell>
          <cell r="AB300">
            <v>120</v>
          </cell>
          <cell r="AC300" t="str">
            <v>GJ2411-02338</v>
          </cell>
          <cell r="AD300">
            <v>90</v>
          </cell>
          <cell r="AE300" t="str">
            <v>G-100016975-250917-0049</v>
          </cell>
        </row>
        <row r="301">
          <cell r="B301" t="str">
            <v>7101020770</v>
          </cell>
          <cell r="C301" t="str">
            <v>G2411-2338</v>
          </cell>
          <cell r="D301" t="str">
            <v>000042944039095271</v>
          </cell>
          <cell r="E301" t="str">
            <v>带键自锁螺套</v>
          </cell>
          <cell r="F301" t="str">
            <v>Q/S15.1119A-6</v>
          </cell>
          <cell r="G301" t="str">
            <v>A-6</v>
          </cell>
          <cell r="H301" t="str">
            <v/>
          </cell>
          <cell r="I301" t="str">
            <v/>
          </cell>
          <cell r="J301" t="str">
            <v>组件</v>
          </cell>
          <cell r="K301">
            <v>120</v>
          </cell>
          <cell r="L301">
            <v>45944</v>
          </cell>
          <cell r="M301" t="str">
            <v>1-已打印</v>
          </cell>
        </row>
        <row r="301">
          <cell r="O301">
            <v>0</v>
          </cell>
          <cell r="P301" t="str">
            <v>哈尔滨东安实业发展有限公司</v>
          </cell>
          <cell r="Q301" t="str">
            <v>20</v>
          </cell>
        </row>
        <row r="301">
          <cell r="U301" t="str">
            <v>010000754260</v>
          </cell>
          <cell r="V301" t="str">
            <v/>
          </cell>
          <cell r="W301" t="str">
            <v/>
          </cell>
          <cell r="X301" t="str">
            <v>CP-C8-4-4-4</v>
          </cell>
          <cell r="Y301" t="str">
            <v/>
          </cell>
          <cell r="Z301" t="str">
            <v>1906</v>
          </cell>
          <cell r="AA301" t="str">
            <v>1100153106</v>
          </cell>
          <cell r="AB301">
            <v>120</v>
          </cell>
          <cell r="AC301" t="str">
            <v>GJ2411-02338</v>
          </cell>
          <cell r="AD301">
            <v>90</v>
          </cell>
          <cell r="AE301" t="str">
            <v>G-100016975-250917-0049</v>
          </cell>
        </row>
        <row r="302">
          <cell r="B302" t="str">
            <v>7101021859</v>
          </cell>
          <cell r="C302" t="str">
            <v>G2402-1226</v>
          </cell>
          <cell r="D302" t="str">
            <v>000042944999002605</v>
          </cell>
          <cell r="E302" t="str">
            <v>带键锁紧螺桩</v>
          </cell>
          <cell r="F302" t="str">
            <v>8S.DFD20.3.802</v>
          </cell>
          <cell r="G302" t="str">
            <v>-</v>
          </cell>
          <cell r="H302" t="str">
            <v/>
          </cell>
          <cell r="I302" t="str">
            <v/>
          </cell>
          <cell r="J302" t="str">
            <v>组件</v>
          </cell>
          <cell r="K302">
            <v>150</v>
          </cell>
          <cell r="L302">
            <v>45946</v>
          </cell>
          <cell r="M302" t="str">
            <v>3-配货完成</v>
          </cell>
        </row>
        <row r="302">
          <cell r="O302">
            <v>0</v>
          </cell>
          <cell r="P302" t="str">
            <v>哈尔滨东安实业发展有限公司</v>
          </cell>
          <cell r="Q302" t="str">
            <v>90</v>
          </cell>
        </row>
        <row r="302">
          <cell r="U302" t="str">
            <v>010000675296</v>
          </cell>
          <cell r="V302" t="str">
            <v>BIAOQIAN4</v>
          </cell>
          <cell r="W302" t="str">
            <v/>
          </cell>
          <cell r="X302" t="str">
            <v>CP-108-A</v>
          </cell>
          <cell r="Y302" t="str">
            <v/>
          </cell>
          <cell r="Z302" t="str">
            <v>1906</v>
          </cell>
          <cell r="AA302" t="str">
            <v>1100124770</v>
          </cell>
          <cell r="AB302">
            <v>150</v>
          </cell>
          <cell r="AC302" t="str">
            <v/>
          </cell>
          <cell r="AD302">
            <v>197</v>
          </cell>
          <cell r="AE302" t="str">
            <v>G1302-240205-037</v>
          </cell>
        </row>
        <row r="303">
          <cell r="B303" t="str">
            <v>7101022886</v>
          </cell>
          <cell r="C303" t="str">
            <v>GW2505-040</v>
          </cell>
          <cell r="D303" t="str">
            <v>000042944239004239</v>
          </cell>
          <cell r="E303" t="str">
            <v>高锁螺栓</v>
          </cell>
          <cell r="F303" t="str">
            <v>GJB134.2-6×14</v>
          </cell>
          <cell r="G303" t="str">
            <v>6×14</v>
          </cell>
          <cell r="H303" t="str">
            <v>σb=1175±100MPa</v>
          </cell>
          <cell r="I303" t="str">
            <v>Ct·O+Dp·CA</v>
          </cell>
          <cell r="J303" t="str">
            <v>ML30CrMnSiA</v>
          </cell>
          <cell r="K303">
            <v>51</v>
          </cell>
          <cell r="L303">
            <v>45947</v>
          </cell>
          <cell r="M303" t="str">
            <v>3-配货完成</v>
          </cell>
        </row>
        <row r="303">
          <cell r="O303">
            <v>0</v>
          </cell>
          <cell r="P303" t="str">
            <v>哈尔滨东安实业发展有限公司</v>
          </cell>
          <cell r="Q303" t="str">
            <v>30</v>
          </cell>
        </row>
        <row r="303">
          <cell r="U303" t="str">
            <v/>
          </cell>
          <cell r="V303" t="str">
            <v>PANQIFANG</v>
          </cell>
          <cell r="W303" t="str">
            <v/>
          </cell>
          <cell r="X303" t="str">
            <v>XH-91-4-2-3</v>
          </cell>
          <cell r="Y303" t="str">
            <v/>
          </cell>
          <cell r="Z303" t="str">
            <v>1906</v>
          </cell>
          <cell r="AA303" t="str">
            <v>1100145380</v>
          </cell>
          <cell r="AB303">
            <v>51</v>
          </cell>
          <cell r="AC303" t="str">
            <v/>
          </cell>
          <cell r="AD303">
            <v>101.4</v>
          </cell>
          <cell r="AE303" t="str">
            <v>G-100016975-250416-0020</v>
          </cell>
        </row>
        <row r="304">
          <cell r="B304" t="str">
            <v>7101022897</v>
          </cell>
          <cell r="C304" t="str">
            <v>GW2505-040</v>
          </cell>
          <cell r="D304" t="str">
            <v>000042944239004239</v>
          </cell>
          <cell r="E304" t="str">
            <v>光杆公差带r6抗剪型100°沉头高锁螺栓</v>
          </cell>
          <cell r="F304" t="str">
            <v>GJB134.2-1986</v>
          </cell>
          <cell r="G304" t="str">
            <v>6×14</v>
          </cell>
          <cell r="H304" t="str">
            <v>σb=1175±100MPa</v>
          </cell>
          <cell r="I304" t="str">
            <v>Ct·O+Dp·CA</v>
          </cell>
          <cell r="J304" t="str">
            <v>ML30CrMnSiA</v>
          </cell>
          <cell r="K304">
            <v>34</v>
          </cell>
          <cell r="L304">
            <v>45947</v>
          </cell>
          <cell r="M304" t="str">
            <v>3-配货完成</v>
          </cell>
        </row>
        <row r="304">
          <cell r="O304">
            <v>0</v>
          </cell>
          <cell r="P304" t="str">
            <v>哈尔滨东安实业发展有限公司</v>
          </cell>
          <cell r="Q304" t="str">
            <v>10</v>
          </cell>
        </row>
        <row r="304">
          <cell r="U304" t="str">
            <v/>
          </cell>
          <cell r="V304" t="str">
            <v>PANQIFANG</v>
          </cell>
          <cell r="W304" t="str">
            <v/>
          </cell>
          <cell r="X304" t="str">
            <v>XH-91-4-2-3</v>
          </cell>
          <cell r="Y304" t="str">
            <v/>
          </cell>
          <cell r="Z304" t="str">
            <v>1906</v>
          </cell>
          <cell r="AA304" t="str">
            <v>1100153644</v>
          </cell>
          <cell r="AB304">
            <v>85</v>
          </cell>
          <cell r="AC304" t="str">
            <v/>
          </cell>
          <cell r="AD304">
            <v>101.44</v>
          </cell>
          <cell r="AE304" t="str">
            <v>G-100016975-250925-0053</v>
          </cell>
        </row>
        <row r="305">
          <cell r="B305" t="str">
            <v>7101022902</v>
          </cell>
          <cell r="C305" t="str">
            <v>GW2408-003</v>
          </cell>
          <cell r="D305" t="str">
            <v>000042944360004322</v>
          </cell>
          <cell r="E305" t="str">
            <v>弹性圆柱销</v>
          </cell>
          <cell r="F305" t="str">
            <v>GB879-1986</v>
          </cell>
          <cell r="G305" t="str">
            <v>3×8</v>
          </cell>
          <cell r="H305" t="str">
            <v>420-560HV</v>
          </cell>
          <cell r="I305" t="str">
            <v>Ct·O</v>
          </cell>
          <cell r="J305" t="str">
            <v>65Mn</v>
          </cell>
          <cell r="K305">
            <v>190</v>
          </cell>
          <cell r="L305">
            <v>45947</v>
          </cell>
          <cell r="M305" t="str">
            <v>3-配货完成</v>
          </cell>
        </row>
        <row r="305">
          <cell r="O305">
            <v>0</v>
          </cell>
          <cell r="P305" t="str">
            <v>哈尔滨东安实业发展有限公司</v>
          </cell>
          <cell r="Q305" t="str">
            <v>10</v>
          </cell>
        </row>
        <row r="305">
          <cell r="U305" t="str">
            <v/>
          </cell>
          <cell r="V305" t="str">
            <v>BIAOQIAN1</v>
          </cell>
          <cell r="W305" t="str">
            <v/>
          </cell>
          <cell r="X305" t="str">
            <v>XH-000/CP-27-5-2-2</v>
          </cell>
          <cell r="Y305" t="str">
            <v/>
          </cell>
          <cell r="Z305" t="str">
            <v>1906</v>
          </cell>
          <cell r="AA305" t="str">
            <v>1100122539</v>
          </cell>
          <cell r="AB305">
            <v>200</v>
          </cell>
          <cell r="AC305" t="str">
            <v/>
          </cell>
          <cell r="AD305">
            <v>0.4</v>
          </cell>
          <cell r="AE305" t="str">
            <v>G1302-231220-286-H</v>
          </cell>
        </row>
        <row r="306">
          <cell r="B306" t="str">
            <v>7101022910</v>
          </cell>
          <cell r="C306" t="str">
            <v>G2505-1321</v>
          </cell>
          <cell r="D306" t="str">
            <v>000042944360151880</v>
          </cell>
          <cell r="E306" t="str">
            <v>圆柱销</v>
          </cell>
          <cell r="F306" t="str">
            <v>Q/8S1337.1-2024</v>
          </cell>
          <cell r="G306" t="str">
            <v>A-014</v>
          </cell>
          <cell r="H306" t="str">
            <v>27-35HRC</v>
          </cell>
          <cell r="I306" t="str">
            <v>Ct·P</v>
          </cell>
          <cell r="J306" t="str">
            <v>GH2132</v>
          </cell>
          <cell r="K306">
            <v>15</v>
          </cell>
          <cell r="L306">
            <v>45947</v>
          </cell>
          <cell r="M306" t="str">
            <v>3-配货完成</v>
          </cell>
        </row>
        <row r="306">
          <cell r="O306">
            <v>0</v>
          </cell>
          <cell r="P306" t="str">
            <v>哈尔滨东安实业发展有限公司</v>
          </cell>
          <cell r="Q306" t="str">
            <v>30</v>
          </cell>
        </row>
        <row r="306">
          <cell r="U306" t="str">
            <v>010000827084</v>
          </cell>
          <cell r="V306" t="str">
            <v>BIAOQIAN2</v>
          </cell>
          <cell r="W306" t="str">
            <v/>
          </cell>
          <cell r="X306" t="str">
            <v>CP-108-A</v>
          </cell>
          <cell r="Y306" t="str">
            <v/>
          </cell>
          <cell r="Z306" t="str">
            <v>1906</v>
          </cell>
          <cell r="AA306" t="str">
            <v>1100141949</v>
          </cell>
          <cell r="AB306">
            <v>15</v>
          </cell>
          <cell r="AC306" t="str">
            <v/>
          </cell>
          <cell r="AD306">
            <v>34.83</v>
          </cell>
          <cell r="AE306" t="str">
            <v>G-100016975-250221-0010-1</v>
          </cell>
        </row>
        <row r="307">
          <cell r="B307" t="str">
            <v>7101030093</v>
          </cell>
          <cell r="C307" t="str">
            <v>G2312-0470</v>
          </cell>
          <cell r="D307" t="str">
            <v>000042944999002605</v>
          </cell>
          <cell r="E307" t="str">
            <v>带键锁紧螺桩</v>
          </cell>
          <cell r="F307" t="str">
            <v>8S.DFD20.3.802</v>
          </cell>
          <cell r="G307" t="str">
            <v>-</v>
          </cell>
          <cell r="H307" t="str">
            <v/>
          </cell>
          <cell r="I307" t="str">
            <v/>
          </cell>
          <cell r="J307" t="str">
            <v>组件</v>
          </cell>
          <cell r="K307">
            <v>50</v>
          </cell>
          <cell r="L307">
            <v>45961</v>
          </cell>
          <cell r="M307" t="str">
            <v>3-配货完成</v>
          </cell>
        </row>
        <row r="307">
          <cell r="O307">
            <v>0</v>
          </cell>
          <cell r="P307" t="str">
            <v>哈尔滨东安实业发展有限公司</v>
          </cell>
          <cell r="Q307" t="str">
            <v>240</v>
          </cell>
        </row>
        <row r="307">
          <cell r="U307" t="str">
            <v>010000657073</v>
          </cell>
          <cell r="V307" t="str">
            <v>BIAOQIAN3</v>
          </cell>
          <cell r="W307" t="str">
            <v/>
          </cell>
          <cell r="X307" t="str">
            <v>CP-108-A/CP-C8-2-4-3</v>
          </cell>
          <cell r="Y307" t="str">
            <v/>
          </cell>
          <cell r="Z307" t="str">
            <v>1906</v>
          </cell>
          <cell r="AA307" t="str">
            <v>1100141177</v>
          </cell>
          <cell r="AB307">
            <v>50</v>
          </cell>
          <cell r="AC307" t="str">
            <v>GJ2312-00470-S-1A</v>
          </cell>
          <cell r="AD307">
            <v>196.98</v>
          </cell>
          <cell r="AE307" t="str">
            <v>G-100016975-250210-0006-1</v>
          </cell>
        </row>
        <row r="308">
          <cell r="B308" t="str">
            <v>7101030097</v>
          </cell>
          <cell r="C308" t="str">
            <v>G2407-2313</v>
          </cell>
          <cell r="D308" t="str">
            <v>000042944288039751</v>
          </cell>
          <cell r="E308" t="str">
            <v>MJ螺纹双耳游动托板自锁螺母</v>
          </cell>
          <cell r="F308" t="str">
            <v>HB8387-2013</v>
          </cell>
          <cell r="G308" t="str">
            <v>6</v>
          </cell>
          <cell r="H308" t="str">
            <v/>
          </cell>
          <cell r="I308" t="str">
            <v/>
          </cell>
          <cell r="J308" t="str">
            <v>组件</v>
          </cell>
          <cell r="K308">
            <v>91</v>
          </cell>
          <cell r="L308">
            <v>45961</v>
          </cell>
          <cell r="M308" t="str">
            <v>1-已打印</v>
          </cell>
        </row>
        <row r="308">
          <cell r="O308">
            <v>0</v>
          </cell>
          <cell r="P308" t="str">
            <v>哈尔滨东安实业发展有限公司</v>
          </cell>
          <cell r="Q308" t="str">
            <v>50</v>
          </cell>
        </row>
        <row r="308">
          <cell r="U308" t="str">
            <v>010000721131</v>
          </cell>
          <cell r="V308" t="str">
            <v/>
          </cell>
          <cell r="W308" t="str">
            <v/>
          </cell>
          <cell r="X308" t="str">
            <v>CP-108-A</v>
          </cell>
          <cell r="Y308" t="str">
            <v/>
          </cell>
          <cell r="Z308" t="str">
            <v>1906</v>
          </cell>
          <cell r="AA308" t="str">
            <v>1100135389</v>
          </cell>
          <cell r="AB308">
            <v>135</v>
          </cell>
          <cell r="AC308" t="str">
            <v/>
          </cell>
          <cell r="AD308">
            <v>56</v>
          </cell>
          <cell r="AE308" t="str">
            <v>G-100016975-241014-0042-1</v>
          </cell>
        </row>
        <row r="309">
          <cell r="B309" t="str">
            <v>7101031685</v>
          </cell>
          <cell r="C309" t="str">
            <v>G2409-1811</v>
          </cell>
          <cell r="D309" t="str">
            <v>000042944239008493</v>
          </cell>
          <cell r="E309" t="str">
            <v>高锁螺栓</v>
          </cell>
          <cell r="F309" t="str">
            <v>JS20.14.012</v>
          </cell>
          <cell r="G309" t="str">
            <v>-</v>
          </cell>
          <cell r="H309" t="str">
            <v>σb=1175±100MPa</v>
          </cell>
          <cell r="I309" t="str">
            <v>Ct·O+十六醇</v>
          </cell>
          <cell r="J309" t="str">
            <v>ML30CrMnSiA</v>
          </cell>
          <cell r="K309">
            <v>72</v>
          </cell>
          <cell r="L309">
            <v>45966</v>
          </cell>
          <cell r="M309" t="str">
            <v>4-检验完成</v>
          </cell>
        </row>
        <row r="309">
          <cell r="O309">
            <v>0</v>
          </cell>
          <cell r="P309" t="str">
            <v>哈尔滨东安实业发展有限公司</v>
          </cell>
          <cell r="Q309" t="str">
            <v>130</v>
          </cell>
          <cell r="R309">
            <v>45974</v>
          </cell>
        </row>
        <row r="309">
          <cell r="U309" t="str">
            <v>010000736436</v>
          </cell>
          <cell r="V309" t="str">
            <v>BIAOQIAN4</v>
          </cell>
          <cell r="W309" t="str">
            <v/>
          </cell>
          <cell r="X309" t="str">
            <v>CP-108-A</v>
          </cell>
          <cell r="Y309" t="str">
            <v/>
          </cell>
          <cell r="Z309" t="str">
            <v>1906</v>
          </cell>
          <cell r="AA309" t="str">
            <v>1100124375</v>
          </cell>
          <cell r="AB309">
            <v>100</v>
          </cell>
          <cell r="AC309" t="str">
            <v>GJ2409-01811-D-1A</v>
          </cell>
          <cell r="AD309">
            <v>101.44</v>
          </cell>
          <cell r="AE309" t="str">
            <v>G1302-240122-035</v>
          </cell>
        </row>
        <row r="310">
          <cell r="B310" t="str">
            <v>7101038229</v>
          </cell>
          <cell r="C310" t="str">
            <v>G2411-2263</v>
          </cell>
          <cell r="D310" t="str">
            <v>000042944319051601</v>
          </cell>
          <cell r="E310" t="str">
            <v>双六角自锁螺母</v>
          </cell>
          <cell r="F310" t="str">
            <v>AS3291A-2013</v>
          </cell>
          <cell r="G310" t="str">
            <v>AS3291-11</v>
          </cell>
          <cell r="H310" t="str">
            <v>32-42HRC</v>
          </cell>
          <cell r="I310" t="str">
            <v>镀银</v>
          </cell>
          <cell r="J310" t="str">
            <v>GH4738</v>
          </cell>
          <cell r="K310">
            <v>95</v>
          </cell>
          <cell r="L310">
            <v>45981</v>
          </cell>
          <cell r="M310" t="str">
            <v>3-配货完成</v>
          </cell>
        </row>
        <row r="310">
          <cell r="O310">
            <v>0</v>
          </cell>
          <cell r="P310" t="str">
            <v>哈尔滨东安实业发展有限公司</v>
          </cell>
          <cell r="Q310" t="str">
            <v>10</v>
          </cell>
        </row>
        <row r="310">
          <cell r="U310" t="str">
            <v>010000754005</v>
          </cell>
          <cell r="V310" t="str">
            <v>BIAOQIAN4</v>
          </cell>
          <cell r="W310" t="str">
            <v/>
          </cell>
          <cell r="X310" t="str">
            <v>CP-22-3-3-5</v>
          </cell>
          <cell r="Y310" t="str">
            <v/>
          </cell>
          <cell r="Z310" t="str">
            <v>1906</v>
          </cell>
          <cell r="AA310" t="str">
            <v>1100156011</v>
          </cell>
          <cell r="AB310">
            <v>95</v>
          </cell>
          <cell r="AC310" t="str">
            <v/>
          </cell>
          <cell r="AD310">
            <v>55</v>
          </cell>
          <cell r="AE310" t="str">
            <v>G-100016975-251114-0069</v>
          </cell>
        </row>
        <row r="311">
          <cell r="B311" t="str">
            <v>7101038540</v>
          </cell>
          <cell r="C311" t="str">
            <v>G2509-7568</v>
          </cell>
          <cell r="D311" t="str">
            <v>000042944360051003</v>
          </cell>
          <cell r="E311" t="str">
            <v>销子</v>
          </cell>
          <cell r="F311" t="str">
            <v>S18C.61.1130</v>
          </cell>
          <cell r="G311" t="str">
            <v>-</v>
          </cell>
          <cell r="H311" t="str">
            <v>d=3.4-3.7</v>
          </cell>
          <cell r="I311" t="str">
            <v>Ep·Zn3-5</v>
          </cell>
          <cell r="J311" t="str">
            <v>1Cr11Ni2W2MoV</v>
          </cell>
          <cell r="K311">
            <v>100</v>
          </cell>
          <cell r="L311">
            <v>45981</v>
          </cell>
          <cell r="M311" t="str">
            <v>3-配货完成</v>
          </cell>
        </row>
        <row r="311">
          <cell r="O311">
            <v>0</v>
          </cell>
          <cell r="P311" t="str">
            <v>哈尔滨东安实业发展有限公司</v>
          </cell>
          <cell r="Q311" t="str">
            <v>10</v>
          </cell>
        </row>
        <row r="311">
          <cell r="U311" t="str">
            <v>010000866487</v>
          </cell>
          <cell r="V311" t="str">
            <v>BIAOQIAN1</v>
          </cell>
          <cell r="W311" t="str">
            <v/>
          </cell>
          <cell r="X311" t="str">
            <v>CP-108-A</v>
          </cell>
          <cell r="Y311" t="str">
            <v/>
          </cell>
          <cell r="Z311" t="str">
            <v>1906</v>
          </cell>
          <cell r="AA311" t="str">
            <v>1100153033</v>
          </cell>
          <cell r="AB311">
            <v>100</v>
          </cell>
          <cell r="AC311" t="str">
            <v>GJ2509-07568</v>
          </cell>
          <cell r="AD311">
            <v>19.5</v>
          </cell>
          <cell r="AE311" t="str">
            <v>G-100016975-250916-0048</v>
          </cell>
        </row>
        <row r="312">
          <cell r="B312" t="str">
            <v>7101038753</v>
          </cell>
          <cell r="C312" t="str">
            <v>G2509-3269</v>
          </cell>
          <cell r="D312" t="str">
            <v>000042944281023596</v>
          </cell>
          <cell r="E312" t="str">
            <v>六角开槽螺母</v>
          </cell>
          <cell r="F312" t="str">
            <v>8S.DFD21.4.012</v>
          </cell>
          <cell r="G312" t="str">
            <v>-</v>
          </cell>
          <cell r="H312" t="str">
            <v>27-35HRC</v>
          </cell>
          <cell r="I312" t="str">
            <v>Ct·P</v>
          </cell>
          <cell r="J312" t="str">
            <v>GH2132</v>
          </cell>
          <cell r="K312">
            <v>290</v>
          </cell>
          <cell r="L312">
            <v>45982</v>
          </cell>
          <cell r="M312" t="str">
            <v>3-配货完成</v>
          </cell>
        </row>
        <row r="312">
          <cell r="O312">
            <v>0</v>
          </cell>
          <cell r="P312" t="str">
            <v>哈尔滨东安实业发展有限公司</v>
          </cell>
          <cell r="Q312" t="str">
            <v>20</v>
          </cell>
        </row>
        <row r="312">
          <cell r="U312" t="str">
            <v>010000869574</v>
          </cell>
          <cell r="V312" t="str">
            <v>BIAOQIAN4</v>
          </cell>
          <cell r="W312" t="str">
            <v/>
          </cell>
          <cell r="X312" t="str">
            <v>CP-108-A</v>
          </cell>
          <cell r="Y312" t="str">
            <v/>
          </cell>
          <cell r="Z312" t="str">
            <v>1906</v>
          </cell>
          <cell r="AA312" t="str">
            <v>1100153577</v>
          </cell>
          <cell r="AB312">
            <v>290</v>
          </cell>
          <cell r="AC312" t="str">
            <v/>
          </cell>
          <cell r="AD312">
            <v>128.34</v>
          </cell>
          <cell r="AE312" t="str">
            <v>G-100016975-250926-0054</v>
          </cell>
        </row>
        <row r="313">
          <cell r="B313" t="str">
            <v>7101040117</v>
          </cell>
          <cell r="C313" t="str">
            <v>G2509-3441</v>
          </cell>
          <cell r="D313" t="str">
            <v>000042944239010409</v>
          </cell>
          <cell r="E313" t="str">
            <v>优质GH2132UNJ螺纹十二角头螺栓</v>
          </cell>
          <cell r="F313" t="str">
            <v>Q/8S1332-04-J022</v>
          </cell>
          <cell r="G313" t="str">
            <v>04-J022</v>
          </cell>
          <cell r="H313" t="str">
            <v>σb≥1035MPa,29-38HRC</v>
          </cell>
          <cell r="I313" t="str">
            <v>化学钝化</v>
          </cell>
          <cell r="J313" t="str">
            <v>优质GH2132</v>
          </cell>
          <cell r="K313">
            <v>60</v>
          </cell>
          <cell r="L313">
            <v>45985</v>
          </cell>
          <cell r="M313" t="str">
            <v>3-配货完成</v>
          </cell>
        </row>
        <row r="313">
          <cell r="O313">
            <v>0</v>
          </cell>
          <cell r="P313" t="str">
            <v>哈尔滨东安实业发展有限公司</v>
          </cell>
          <cell r="Q313" t="str">
            <v>20</v>
          </cell>
        </row>
        <row r="313">
          <cell r="U313" t="str">
            <v>010000870104</v>
          </cell>
          <cell r="V313" t="str">
            <v>BIAOQIAN3</v>
          </cell>
          <cell r="W313" t="str">
            <v/>
          </cell>
          <cell r="X313" t="str">
            <v>CP-108-A</v>
          </cell>
          <cell r="Y313" t="str">
            <v/>
          </cell>
          <cell r="Z313" t="str">
            <v>1906</v>
          </cell>
          <cell r="AA313" t="str">
            <v>1100154156</v>
          </cell>
          <cell r="AB313">
            <v>200</v>
          </cell>
          <cell r="AC313" t="str">
            <v>GJ2509-03441</v>
          </cell>
          <cell r="AD313">
            <v>75.24</v>
          </cell>
          <cell r="AE313" t="str">
            <v>G-100016975-251014-0058</v>
          </cell>
        </row>
        <row r="314">
          <cell r="B314" t="str">
            <v>7101041192</v>
          </cell>
          <cell r="C314" t="str">
            <v>G2511-0792</v>
          </cell>
          <cell r="D314" t="str">
            <v>000042944039098250</v>
          </cell>
          <cell r="E314" t="str">
            <v>轻型带键锁紧螺套(细牙内螺纹)</v>
          </cell>
          <cell r="F314" t="str">
            <v>Q/2S5436-5</v>
          </cell>
          <cell r="G314" t="str">
            <v>5</v>
          </cell>
          <cell r="H314" t="str">
            <v/>
          </cell>
          <cell r="I314" t="str">
            <v/>
          </cell>
          <cell r="J314" t="str">
            <v>组件</v>
          </cell>
          <cell r="K314">
            <v>48</v>
          </cell>
          <cell r="L314">
            <v>45986</v>
          </cell>
          <cell r="M314" t="str">
            <v>4-检验完成</v>
          </cell>
        </row>
        <row r="314">
          <cell r="O314">
            <v>0</v>
          </cell>
          <cell r="P314" t="str">
            <v>哈尔滨东安实业发展有限公司</v>
          </cell>
          <cell r="Q314" t="str">
            <v>140</v>
          </cell>
          <cell r="R314">
            <v>45986</v>
          </cell>
        </row>
        <row r="314">
          <cell r="U314" t="str">
            <v>010000882600</v>
          </cell>
          <cell r="V314" t="str">
            <v>BIAOQIAN2</v>
          </cell>
          <cell r="W314" t="str">
            <v/>
          </cell>
          <cell r="X314" t="str">
            <v>CP-108-A</v>
          </cell>
          <cell r="Y314" t="str">
            <v/>
          </cell>
          <cell r="Z314" t="str">
            <v>1906</v>
          </cell>
          <cell r="AA314" t="str">
            <v>1100141177</v>
          </cell>
          <cell r="AB314">
            <v>64</v>
          </cell>
          <cell r="AC314" t="str">
            <v/>
          </cell>
          <cell r="AD314">
            <v>195</v>
          </cell>
          <cell r="AE314" t="str">
            <v>G-100016975-250210-0006-1</v>
          </cell>
        </row>
        <row r="315">
          <cell r="B315" t="str">
            <v>7101045718</v>
          </cell>
          <cell r="C315" t="str">
            <v>G2507-0519</v>
          </cell>
          <cell r="D315" t="str">
            <v>000042944000046747</v>
          </cell>
          <cell r="E315" t="str">
            <v>带键锁紧螺套</v>
          </cell>
          <cell r="F315" t="str">
            <v>HCB-42-819</v>
          </cell>
          <cell r="G315" t="str">
            <v>-</v>
          </cell>
          <cell r="H315" t="str">
            <v/>
          </cell>
          <cell r="I315" t="str">
            <v/>
          </cell>
          <cell r="J315" t="str">
            <v>组件</v>
          </cell>
          <cell r="K315">
            <v>36</v>
          </cell>
          <cell r="L315">
            <v>45994</v>
          </cell>
          <cell r="M315" t="str">
            <v>3-配货完成</v>
          </cell>
        </row>
        <row r="315">
          <cell r="O315">
            <v>0</v>
          </cell>
          <cell r="P315" t="str">
            <v>哈尔滨东安实业发展有限公司</v>
          </cell>
          <cell r="Q315" t="str">
            <v>10</v>
          </cell>
        </row>
        <row r="315">
          <cell r="U315" t="str">
            <v>010000841613</v>
          </cell>
          <cell r="V315" t="str">
            <v>BIAOQIAN4</v>
          </cell>
          <cell r="W315" t="str">
            <v/>
          </cell>
          <cell r="X315" t="str">
            <v>CP-108-A</v>
          </cell>
          <cell r="Y315" t="str">
            <v/>
          </cell>
          <cell r="Z315" t="str">
            <v>1906</v>
          </cell>
          <cell r="AA315" t="str">
            <v>1100149659</v>
          </cell>
          <cell r="AB315">
            <v>36</v>
          </cell>
          <cell r="AC315" t="str">
            <v/>
          </cell>
          <cell r="AD315">
            <v>50</v>
          </cell>
          <cell r="AE315" t="str">
            <v>G-100016975-250704-0030</v>
          </cell>
        </row>
        <row r="316">
          <cell r="B316" t="str">
            <v>7101048443</v>
          </cell>
          <cell r="C316" t="str">
            <v>G2503-2951</v>
          </cell>
          <cell r="D316" t="str">
            <v>000042944000104944</v>
          </cell>
          <cell r="E316" t="str">
            <v>铝制短膨胀堵头</v>
          </cell>
          <cell r="F316" t="str">
            <v>AS3123-08</v>
          </cell>
          <cell r="G316" t="str">
            <v>AS3123-08</v>
          </cell>
          <cell r="H316" t="str">
            <v/>
          </cell>
          <cell r="I316" t="str">
            <v>阳极化+绿色</v>
          </cell>
          <cell r="J316" t="str">
            <v>2024</v>
          </cell>
          <cell r="K316">
            <v>50</v>
          </cell>
          <cell r="L316">
            <v>46000</v>
          </cell>
          <cell r="M316" t="str">
            <v>3-配货完成</v>
          </cell>
        </row>
        <row r="316">
          <cell r="O316">
            <v>0</v>
          </cell>
          <cell r="P316" t="str">
            <v>哈尔滨东安实业发展有限公司</v>
          </cell>
          <cell r="Q316" t="str">
            <v>30</v>
          </cell>
        </row>
        <row r="316">
          <cell r="U316" t="str">
            <v>010000802535</v>
          </cell>
          <cell r="V316" t="str">
            <v>BIAOQIAN4</v>
          </cell>
          <cell r="W316" t="str">
            <v/>
          </cell>
          <cell r="X316" t="str">
            <v>CP-108-A</v>
          </cell>
          <cell r="Y316" t="str">
            <v/>
          </cell>
          <cell r="Z316" t="str">
            <v>1906</v>
          </cell>
          <cell r="AA316" t="str">
            <v>1100140060</v>
          </cell>
          <cell r="AB316">
            <v>50</v>
          </cell>
          <cell r="AC316" t="str">
            <v/>
          </cell>
          <cell r="AD316">
            <v>58</v>
          </cell>
          <cell r="AE316" t="str">
            <v>G-100016975-250109-0003</v>
          </cell>
        </row>
        <row r="317">
          <cell r="B317" t="str">
            <v>7101048396</v>
          </cell>
          <cell r="C317" t="str">
            <v>G2504-2289</v>
          </cell>
          <cell r="D317" t="str">
            <v>000042944000104943</v>
          </cell>
          <cell r="E317" t="str">
            <v>铝制短膨胀堵头</v>
          </cell>
          <cell r="F317" t="str">
            <v>AS3123</v>
          </cell>
          <cell r="G317" t="str">
            <v>AS3123-07</v>
          </cell>
          <cell r="H317" t="str">
            <v/>
          </cell>
          <cell r="I317" t="str">
            <v>阳极化+绿色</v>
          </cell>
          <cell r="J317" t="str">
            <v>2024</v>
          </cell>
          <cell r="K317">
            <v>50</v>
          </cell>
          <cell r="L317">
            <v>46000</v>
          </cell>
          <cell r="M317" t="str">
            <v>3-配货完成</v>
          </cell>
        </row>
        <row r="317">
          <cell r="O317">
            <v>0</v>
          </cell>
          <cell r="P317" t="str">
            <v>哈尔滨东安实业发展有限公司</v>
          </cell>
          <cell r="Q317" t="str">
            <v>60</v>
          </cell>
        </row>
        <row r="317">
          <cell r="U317" t="str">
            <v>010000810012</v>
          </cell>
          <cell r="V317" t="str">
            <v>BIAOQIAN4</v>
          </cell>
          <cell r="W317" t="str">
            <v/>
          </cell>
          <cell r="X317" t="str">
            <v>CP-108-A</v>
          </cell>
          <cell r="Y317" t="str">
            <v/>
          </cell>
          <cell r="Z317" t="str">
            <v>1906</v>
          </cell>
          <cell r="AA317" t="str">
            <v>1100139149</v>
          </cell>
          <cell r="AB317">
            <v>50</v>
          </cell>
          <cell r="AC317" t="str">
            <v/>
          </cell>
          <cell r="AD317">
            <v>58</v>
          </cell>
          <cell r="AE317" t="str">
            <v>G-100016975-241223-0215</v>
          </cell>
        </row>
        <row r="318">
          <cell r="B318" t="str">
            <v>7101047225</v>
          </cell>
          <cell r="C318" t="str">
            <v>G2411-3066</v>
          </cell>
          <cell r="D318" t="str">
            <v>000042944039098249</v>
          </cell>
          <cell r="E318" t="str">
            <v>轻型带键锁紧螺套(细牙内螺纹)</v>
          </cell>
          <cell r="F318" t="str">
            <v>Q/2S5436-4</v>
          </cell>
          <cell r="G318" t="str">
            <v>4</v>
          </cell>
          <cell r="H318" t="str">
            <v/>
          </cell>
          <cell r="I318" t="str">
            <v/>
          </cell>
          <cell r="J318" t="str">
            <v>组件</v>
          </cell>
          <cell r="K318">
            <v>15</v>
          </cell>
          <cell r="L318">
            <v>45996</v>
          </cell>
          <cell r="M318" t="str">
            <v>3-配货完成</v>
          </cell>
        </row>
        <row r="318">
          <cell r="O318">
            <v>0</v>
          </cell>
          <cell r="P318" t="str">
            <v>哈尔滨东安实业发展有限公司</v>
          </cell>
          <cell r="Q318" t="str">
            <v>150</v>
          </cell>
        </row>
        <row r="318">
          <cell r="U318" t="str">
            <v>010000756244</v>
          </cell>
          <cell r="V318" t="str">
            <v>BIAOQIAN1</v>
          </cell>
          <cell r="W318" t="str">
            <v/>
          </cell>
          <cell r="X318" t="str">
            <v>CP-21-4-4-2</v>
          </cell>
          <cell r="Y318" t="str">
            <v/>
          </cell>
          <cell r="Z318" t="str">
            <v>1906</v>
          </cell>
          <cell r="AA318" t="str">
            <v>1100141177</v>
          </cell>
          <cell r="AB318">
            <v>576</v>
          </cell>
          <cell r="AC318" t="str">
            <v/>
          </cell>
          <cell r="AD318">
            <v>195</v>
          </cell>
          <cell r="AE318" t="str">
            <v>G-100016975-250210-0006-1</v>
          </cell>
        </row>
        <row r="319">
          <cell r="B319" t="str">
            <v>7101047170</v>
          </cell>
          <cell r="C319" t="str">
            <v>G2511-0347</v>
          </cell>
          <cell r="D319" t="str">
            <v>000042944000162708</v>
          </cell>
          <cell r="E319" t="str">
            <v>熔焊型导管接嘴</v>
          </cell>
          <cell r="F319" t="str">
            <v>CE8004-1-06A</v>
          </cell>
          <cell r="G319" t="str">
            <v>CE8004-1-06A</v>
          </cell>
          <cell r="H319" t="str">
            <v/>
          </cell>
          <cell r="I319" t="str">
            <v>化学钝化</v>
          </cell>
          <cell r="J319" t="str">
            <v>321</v>
          </cell>
          <cell r="K319">
            <v>28</v>
          </cell>
          <cell r="L319">
            <v>45996</v>
          </cell>
          <cell r="M319" t="str">
            <v>3-配货完成</v>
          </cell>
        </row>
        <row r="319">
          <cell r="O319">
            <v>0</v>
          </cell>
          <cell r="P319" t="str">
            <v>哈尔滨东安实业发展有限公司</v>
          </cell>
          <cell r="Q319" t="str">
            <v>20</v>
          </cell>
        </row>
        <row r="319">
          <cell r="U319" t="str">
            <v>010000880678</v>
          </cell>
          <cell r="V319" t="str">
            <v>BIAOQIAN2</v>
          </cell>
          <cell r="W319" t="str">
            <v/>
          </cell>
          <cell r="X319" t="str">
            <v>CP-80-1-2-3</v>
          </cell>
          <cell r="Y319" t="str">
            <v/>
          </cell>
          <cell r="Z319" t="str">
            <v>1906</v>
          </cell>
          <cell r="AA319" t="str">
            <v>1100156954</v>
          </cell>
          <cell r="AB319">
            <v>28</v>
          </cell>
          <cell r="AC319" t="str">
            <v/>
          </cell>
          <cell r="AD319">
            <v>20</v>
          </cell>
          <cell r="AE319" t="str">
            <v>G-100016975-251204-0077XH</v>
          </cell>
        </row>
        <row r="320">
          <cell r="B320" t="str">
            <v>7101046990</v>
          </cell>
          <cell r="C320" t="str">
            <v>G2501-2461</v>
          </cell>
          <cell r="D320" t="str">
            <v>000042944319051601</v>
          </cell>
          <cell r="E320" t="str">
            <v>双六角自锁螺母</v>
          </cell>
          <cell r="F320" t="str">
            <v>AS3291A-2013</v>
          </cell>
          <cell r="G320" t="str">
            <v>AS3291-11</v>
          </cell>
          <cell r="H320" t="str">
            <v>32-42HRC</v>
          </cell>
          <cell r="I320" t="str">
            <v>镀银</v>
          </cell>
          <cell r="J320" t="str">
            <v>UNSN07001</v>
          </cell>
          <cell r="K320">
            <v>15</v>
          </cell>
          <cell r="L320">
            <v>45996</v>
          </cell>
          <cell r="M320" t="str">
            <v>3-配货完成</v>
          </cell>
        </row>
        <row r="320">
          <cell r="O320">
            <v>0</v>
          </cell>
          <cell r="P320" t="str">
            <v>哈尔滨东安实业发展有限公司</v>
          </cell>
          <cell r="Q320" t="str">
            <v>10</v>
          </cell>
        </row>
        <row r="320">
          <cell r="U320" t="str">
            <v>010000777424</v>
          </cell>
          <cell r="V320" t="str">
            <v>BIAOQIAN2</v>
          </cell>
          <cell r="W320" t="str">
            <v/>
          </cell>
          <cell r="X320" t="str">
            <v>CP-43-3-1-4/5/6</v>
          </cell>
          <cell r="Y320" t="str">
            <v/>
          </cell>
          <cell r="Z320" t="str">
            <v>1906</v>
          </cell>
          <cell r="AA320" t="str">
            <v>1100156806</v>
          </cell>
          <cell r="AB320">
            <v>15</v>
          </cell>
          <cell r="AC320" t="str">
            <v/>
          </cell>
          <cell r="AD320">
            <v>55</v>
          </cell>
          <cell r="AE320" t="str">
            <v>G-100016975-251202-0075</v>
          </cell>
        </row>
        <row r="321">
          <cell r="B321" t="str">
            <v>7101041853</v>
          </cell>
          <cell r="C321" t="str">
            <v>G2502-3076</v>
          </cell>
          <cell r="D321" t="str">
            <v>000042944239004239</v>
          </cell>
          <cell r="E321" t="str">
            <v>光杆公差带r6抗剪型100°沉头高锁螺栓</v>
          </cell>
          <cell r="F321" t="str">
            <v>GJB134.2-6×14</v>
          </cell>
          <cell r="G321" t="str">
            <v>6×14</v>
          </cell>
          <cell r="H321" t="str">
            <v>σb=1175±100MPa</v>
          </cell>
          <cell r="I321" t="str">
            <v>Ct·O+Dp·CA</v>
          </cell>
          <cell r="J321" t="str">
            <v>ML30CrMnSiA</v>
          </cell>
          <cell r="K321">
            <v>120</v>
          </cell>
          <cell r="L321">
            <v>45986</v>
          </cell>
          <cell r="M321" t="str">
            <v>3-配货完成</v>
          </cell>
        </row>
        <row r="321">
          <cell r="O321">
            <v>0</v>
          </cell>
          <cell r="P321" t="str">
            <v>哈尔滨东安实业发展有限公司</v>
          </cell>
          <cell r="Q321" t="str">
            <v>50</v>
          </cell>
        </row>
        <row r="321">
          <cell r="U321" t="str">
            <v>010000789278</v>
          </cell>
          <cell r="V321" t="str">
            <v>BIAOQIAN1</v>
          </cell>
          <cell r="W321" t="str">
            <v/>
          </cell>
          <cell r="X321" t="str">
            <v>CP-108-A</v>
          </cell>
          <cell r="Y321" t="str">
            <v/>
          </cell>
          <cell r="Z321" t="str">
            <v>1906</v>
          </cell>
          <cell r="AA321" t="str">
            <v>1100124770</v>
          </cell>
          <cell r="AB321">
            <v>320</v>
          </cell>
          <cell r="AC321" t="str">
            <v/>
          </cell>
          <cell r="AD321">
            <v>101.44</v>
          </cell>
          <cell r="AE321" t="str">
            <v>G1302-240205-037</v>
          </cell>
        </row>
        <row r="322">
          <cell r="B322" t="str">
            <v>7101031685</v>
          </cell>
          <cell r="C322" t="str">
            <v>G2409-1811</v>
          </cell>
          <cell r="D322" t="str">
            <v>000042944239008493</v>
          </cell>
          <cell r="E322" t="str">
            <v>高锁螺栓</v>
          </cell>
          <cell r="F322" t="str">
            <v>JS20.14.012</v>
          </cell>
          <cell r="G322" t="str">
            <v>-</v>
          </cell>
          <cell r="H322" t="str">
            <v>σb=1175±100MPa</v>
          </cell>
          <cell r="I322" t="str">
            <v>Ct·O+十六醇</v>
          </cell>
          <cell r="J322" t="str">
            <v>ML30CrMnSiA</v>
          </cell>
          <cell r="K322">
            <v>72</v>
          </cell>
          <cell r="L322">
            <v>45966</v>
          </cell>
          <cell r="M322" t="str">
            <v>4-检验完成</v>
          </cell>
        </row>
        <row r="322">
          <cell r="O322">
            <v>0</v>
          </cell>
          <cell r="P322" t="str">
            <v>哈尔滨东安实业发展有限公司</v>
          </cell>
          <cell r="Q322" t="str">
            <v>130</v>
          </cell>
          <cell r="R322">
            <v>45974</v>
          </cell>
        </row>
        <row r="322">
          <cell r="U322" t="str">
            <v>010000736436</v>
          </cell>
          <cell r="V322" t="str">
            <v>BIAOQIAN4</v>
          </cell>
          <cell r="W322" t="str">
            <v/>
          </cell>
          <cell r="X322" t="str">
            <v>CP-108-A</v>
          </cell>
          <cell r="Y322" t="str">
            <v/>
          </cell>
          <cell r="Z322" t="str">
            <v>1906</v>
          </cell>
          <cell r="AA322" t="str">
            <v>1100124375</v>
          </cell>
          <cell r="AB322">
            <v>100</v>
          </cell>
          <cell r="AC322" t="str">
            <v>GJ2409-01811-D-1A</v>
          </cell>
          <cell r="AD322">
            <v>101.44</v>
          </cell>
          <cell r="AE322" t="str">
            <v>G1302-240122-035</v>
          </cell>
        </row>
        <row r="323">
          <cell r="B323" t="str">
            <v>7101030097</v>
          </cell>
          <cell r="C323" t="str">
            <v>G2407-2313</v>
          </cell>
          <cell r="D323" t="str">
            <v>000042944288039751</v>
          </cell>
          <cell r="E323" t="str">
            <v>MJ螺纹双耳游动托板自锁螺母</v>
          </cell>
          <cell r="F323" t="str">
            <v>HB8387-2013</v>
          </cell>
          <cell r="G323" t="str">
            <v>6</v>
          </cell>
          <cell r="H323" t="str">
            <v/>
          </cell>
          <cell r="I323" t="str">
            <v/>
          </cell>
          <cell r="J323" t="str">
            <v>组件</v>
          </cell>
          <cell r="K323">
            <v>91</v>
          </cell>
          <cell r="L323">
            <v>45961</v>
          </cell>
          <cell r="M323" t="str">
            <v>1-已打印</v>
          </cell>
        </row>
        <row r="323">
          <cell r="O323">
            <v>0</v>
          </cell>
          <cell r="P323" t="str">
            <v>哈尔滨东安实业发展有限公司</v>
          </cell>
          <cell r="Q323" t="str">
            <v>50</v>
          </cell>
        </row>
        <row r="323">
          <cell r="U323" t="str">
            <v>010000721131</v>
          </cell>
          <cell r="V323" t="str">
            <v/>
          </cell>
          <cell r="W323" t="str">
            <v/>
          </cell>
          <cell r="X323" t="str">
            <v>CP-108-A</v>
          </cell>
          <cell r="Y323" t="str">
            <v/>
          </cell>
          <cell r="Z323" t="str">
            <v>1906</v>
          </cell>
          <cell r="AA323" t="str">
            <v>1100135389</v>
          </cell>
          <cell r="AB323">
            <v>135</v>
          </cell>
          <cell r="AC323" t="str">
            <v/>
          </cell>
          <cell r="AD323">
            <v>56</v>
          </cell>
          <cell r="AE323" t="str">
            <v>G-100016975-241014-0042-1</v>
          </cell>
        </row>
        <row r="324">
          <cell r="B324" t="str">
            <v>7101022910</v>
          </cell>
          <cell r="C324" t="str">
            <v>G2505-1321</v>
          </cell>
          <cell r="D324" t="str">
            <v>000042944360151880</v>
          </cell>
          <cell r="E324" t="str">
            <v>圆柱销</v>
          </cell>
          <cell r="F324" t="str">
            <v>Q/8S1337.1-2024</v>
          </cell>
          <cell r="G324" t="str">
            <v>A-014</v>
          </cell>
          <cell r="H324" t="str">
            <v>27-35HRC</v>
          </cell>
          <cell r="I324" t="str">
            <v>Ct·P</v>
          </cell>
          <cell r="J324" t="str">
            <v>GH2132</v>
          </cell>
          <cell r="K324">
            <v>15</v>
          </cell>
          <cell r="L324">
            <v>45947</v>
          </cell>
          <cell r="M324" t="str">
            <v>3-配货完成</v>
          </cell>
        </row>
        <row r="324">
          <cell r="O324">
            <v>0</v>
          </cell>
          <cell r="P324" t="str">
            <v>哈尔滨东安实业发展有限公司</v>
          </cell>
          <cell r="Q324" t="str">
            <v>30</v>
          </cell>
        </row>
        <row r="324">
          <cell r="U324" t="str">
            <v>010000827084</v>
          </cell>
          <cell r="V324" t="str">
            <v>BIAOQIAN2</v>
          </cell>
          <cell r="W324" t="str">
            <v/>
          </cell>
          <cell r="X324" t="str">
            <v>CP-108-A</v>
          </cell>
          <cell r="Y324" t="str">
            <v/>
          </cell>
          <cell r="Z324" t="str">
            <v>1906</v>
          </cell>
          <cell r="AA324" t="str">
            <v>1100141949</v>
          </cell>
          <cell r="AB324">
            <v>15</v>
          </cell>
          <cell r="AC324" t="str">
            <v/>
          </cell>
          <cell r="AD324">
            <v>34.83</v>
          </cell>
          <cell r="AE324" t="str">
            <v>G-100016975-250221-0010-1</v>
          </cell>
        </row>
        <row r="325">
          <cell r="B325" t="str">
            <v>7101022902</v>
          </cell>
          <cell r="C325" t="str">
            <v>GW2408-003</v>
          </cell>
          <cell r="D325" t="str">
            <v>000042944360004322</v>
          </cell>
          <cell r="E325" t="str">
            <v>弹性圆柱销</v>
          </cell>
          <cell r="F325" t="str">
            <v>GB879-1986</v>
          </cell>
          <cell r="G325" t="str">
            <v>3×8</v>
          </cell>
          <cell r="H325" t="str">
            <v>420-560HV</v>
          </cell>
          <cell r="I325" t="str">
            <v>Ct·O</v>
          </cell>
          <cell r="J325" t="str">
            <v>65Mn</v>
          </cell>
          <cell r="K325">
            <v>190</v>
          </cell>
          <cell r="L325">
            <v>45947</v>
          </cell>
          <cell r="M325" t="str">
            <v>3-配货完成</v>
          </cell>
        </row>
        <row r="325">
          <cell r="O325">
            <v>0</v>
          </cell>
          <cell r="P325" t="str">
            <v>哈尔滨东安实业发展有限公司</v>
          </cell>
          <cell r="Q325" t="str">
            <v>10</v>
          </cell>
        </row>
        <row r="325">
          <cell r="U325" t="str">
            <v/>
          </cell>
          <cell r="V325" t="str">
            <v>BIAOQIAN1</v>
          </cell>
          <cell r="W325" t="str">
            <v/>
          </cell>
          <cell r="X325" t="str">
            <v>XH-000/CP-27-5-2-2</v>
          </cell>
          <cell r="Y325" t="str">
            <v/>
          </cell>
          <cell r="Z325" t="str">
            <v>1906</v>
          </cell>
          <cell r="AA325" t="str">
            <v>1100122539</v>
          </cell>
          <cell r="AB325">
            <v>200</v>
          </cell>
          <cell r="AC325" t="str">
            <v/>
          </cell>
          <cell r="AD325">
            <v>0.4</v>
          </cell>
          <cell r="AE325" t="str">
            <v>G1302-231220-286-H</v>
          </cell>
        </row>
        <row r="326">
          <cell r="B326" t="str">
            <v>7101022897</v>
          </cell>
          <cell r="C326" t="str">
            <v>GW2505-040</v>
          </cell>
          <cell r="D326" t="str">
            <v>000042944239004239</v>
          </cell>
          <cell r="E326" t="str">
            <v>光杆公差带r6抗剪型100°沉头高锁螺栓</v>
          </cell>
          <cell r="F326" t="str">
            <v>GJB134.2-1986</v>
          </cell>
          <cell r="G326" t="str">
            <v>6×14</v>
          </cell>
          <cell r="H326" t="str">
            <v>σb=1175±100MPa</v>
          </cell>
          <cell r="I326" t="str">
            <v>Ct·O+Dp·CA</v>
          </cell>
          <cell r="J326" t="str">
            <v>ML30CrMnSiA</v>
          </cell>
          <cell r="K326">
            <v>34</v>
          </cell>
          <cell r="L326">
            <v>45947</v>
          </cell>
          <cell r="M326" t="str">
            <v>3-配货完成</v>
          </cell>
        </row>
        <row r="326">
          <cell r="O326">
            <v>0</v>
          </cell>
          <cell r="P326" t="str">
            <v>哈尔滨东安实业发展有限公司</v>
          </cell>
          <cell r="Q326" t="str">
            <v>10</v>
          </cell>
        </row>
        <row r="326">
          <cell r="U326" t="str">
            <v/>
          </cell>
          <cell r="V326" t="str">
            <v>PANQIFANG</v>
          </cell>
          <cell r="W326" t="str">
            <v/>
          </cell>
          <cell r="X326" t="str">
            <v>XH-91-4-2-3</v>
          </cell>
          <cell r="Y326" t="str">
            <v/>
          </cell>
          <cell r="Z326" t="str">
            <v>1906</v>
          </cell>
          <cell r="AA326" t="str">
            <v>1100153644</v>
          </cell>
          <cell r="AB326">
            <v>85</v>
          </cell>
          <cell r="AC326" t="str">
            <v/>
          </cell>
          <cell r="AD326">
            <v>101.44</v>
          </cell>
          <cell r="AE326" t="str">
            <v>G-100016975-250925-0053</v>
          </cell>
        </row>
        <row r="327">
          <cell r="B327" t="str">
            <v>7101022886</v>
          </cell>
          <cell r="C327" t="str">
            <v>GW2505-040</v>
          </cell>
          <cell r="D327" t="str">
            <v>000042944239004239</v>
          </cell>
          <cell r="E327" t="str">
            <v>高锁螺栓</v>
          </cell>
          <cell r="F327" t="str">
            <v>GJB134.2-6×14</v>
          </cell>
          <cell r="G327" t="str">
            <v>6×14</v>
          </cell>
          <cell r="H327" t="str">
            <v>σb=1175±100MPa</v>
          </cell>
          <cell r="I327" t="str">
            <v>Ct·O+Dp·CA</v>
          </cell>
          <cell r="J327" t="str">
            <v>ML30CrMnSiA</v>
          </cell>
          <cell r="K327">
            <v>51</v>
          </cell>
          <cell r="L327">
            <v>45947</v>
          </cell>
          <cell r="M327" t="str">
            <v>3-配货完成</v>
          </cell>
        </row>
        <row r="327">
          <cell r="O327">
            <v>0</v>
          </cell>
          <cell r="P327" t="str">
            <v>哈尔滨东安实业发展有限公司</v>
          </cell>
          <cell r="Q327" t="str">
            <v>30</v>
          </cell>
        </row>
        <row r="327">
          <cell r="U327" t="str">
            <v/>
          </cell>
          <cell r="V327" t="str">
            <v>PANQIFANG</v>
          </cell>
          <cell r="W327" t="str">
            <v/>
          </cell>
          <cell r="X327" t="str">
            <v>XH-91-4-2-3</v>
          </cell>
          <cell r="Y327" t="str">
            <v/>
          </cell>
          <cell r="Z327" t="str">
            <v>1906</v>
          </cell>
          <cell r="AA327" t="str">
            <v>1100145380</v>
          </cell>
          <cell r="AB327">
            <v>51</v>
          </cell>
          <cell r="AC327" t="str">
            <v/>
          </cell>
          <cell r="AD327">
            <v>101.4</v>
          </cell>
          <cell r="AE327" t="str">
            <v>G-100016975-250416-0020</v>
          </cell>
        </row>
        <row r="328">
          <cell r="B328" t="str">
            <v>7101020770</v>
          </cell>
          <cell r="C328" t="str">
            <v>G2411-2338</v>
          </cell>
          <cell r="D328" t="str">
            <v>000042944039095271</v>
          </cell>
          <cell r="E328" t="str">
            <v>带键自锁螺套</v>
          </cell>
          <cell r="F328" t="str">
            <v>Q/S15.1119A-6</v>
          </cell>
          <cell r="G328" t="str">
            <v>A-6</v>
          </cell>
          <cell r="H328" t="str">
            <v/>
          </cell>
          <cell r="I328" t="str">
            <v/>
          </cell>
          <cell r="J328" t="str">
            <v>组件</v>
          </cell>
          <cell r="K328">
            <v>120</v>
          </cell>
          <cell r="L328">
            <v>45944</v>
          </cell>
          <cell r="M328" t="str">
            <v>1-已打印</v>
          </cell>
        </row>
        <row r="328">
          <cell r="O328">
            <v>0</v>
          </cell>
          <cell r="P328" t="str">
            <v>哈尔滨东安实业发展有限公司</v>
          </cell>
          <cell r="Q328" t="str">
            <v>20</v>
          </cell>
        </row>
        <row r="328">
          <cell r="U328" t="str">
            <v>010000754260</v>
          </cell>
          <cell r="V328" t="str">
            <v/>
          </cell>
          <cell r="W328" t="str">
            <v/>
          </cell>
          <cell r="X328" t="str">
            <v>CP-C8-4-4-4</v>
          </cell>
          <cell r="Y328" t="str">
            <v/>
          </cell>
          <cell r="Z328" t="str">
            <v>1906</v>
          </cell>
          <cell r="AA328" t="str">
            <v>1100153106</v>
          </cell>
          <cell r="AB328">
            <v>120</v>
          </cell>
          <cell r="AC328" t="str">
            <v>GJ2411-02338</v>
          </cell>
          <cell r="AD328">
            <v>90</v>
          </cell>
          <cell r="AE328" t="str">
            <v>G-100016975-250917-0049</v>
          </cell>
        </row>
        <row r="329">
          <cell r="B329" t="str">
            <v>7101048396</v>
          </cell>
          <cell r="C329" t="str">
            <v>G2504-2289</v>
          </cell>
          <cell r="D329" t="str">
            <v>000042944000104943</v>
          </cell>
          <cell r="E329" t="str">
            <v>铝制短膨胀堵头</v>
          </cell>
          <cell r="F329" t="str">
            <v>AS3123</v>
          </cell>
          <cell r="G329" t="str">
            <v>AS3123-07</v>
          </cell>
          <cell r="H329" t="str">
            <v/>
          </cell>
          <cell r="I329" t="str">
            <v>阳极化+绿色</v>
          </cell>
          <cell r="J329" t="str">
            <v>2024</v>
          </cell>
          <cell r="K329">
            <v>50</v>
          </cell>
          <cell r="L329">
            <v>46000</v>
          </cell>
          <cell r="M329" t="str">
            <v>4-检验完成</v>
          </cell>
        </row>
        <row r="329">
          <cell r="O329">
            <v>0</v>
          </cell>
          <cell r="P329" t="str">
            <v>哈尔滨东安实业发展有限公司</v>
          </cell>
          <cell r="Q329" t="str">
            <v>60</v>
          </cell>
          <cell r="R329">
            <v>46003</v>
          </cell>
        </row>
        <row r="329">
          <cell r="U329" t="str">
            <v>010000810012</v>
          </cell>
          <cell r="V329" t="str">
            <v>BIAOQIAN4</v>
          </cell>
          <cell r="W329" t="str">
            <v/>
          </cell>
          <cell r="X329" t="str">
            <v>CP-108-A</v>
          </cell>
          <cell r="Y329" t="str">
            <v/>
          </cell>
          <cell r="Z329" t="str">
            <v>1906</v>
          </cell>
          <cell r="AA329" t="str">
            <v>1100139149</v>
          </cell>
          <cell r="AB329">
            <v>50</v>
          </cell>
          <cell r="AC329" t="str">
            <v/>
          </cell>
          <cell r="AD329">
            <v>58</v>
          </cell>
          <cell r="AE329" t="str">
            <v>G-100016975-241223-0215</v>
          </cell>
        </row>
        <row r="330">
          <cell r="B330" t="str">
            <v>7101050649</v>
          </cell>
          <cell r="C330" t="str">
            <v>G2508-1269</v>
          </cell>
          <cell r="D330" t="str">
            <v>000042944281023596</v>
          </cell>
          <cell r="E330" t="str">
            <v>六角开槽螺母</v>
          </cell>
          <cell r="F330" t="str">
            <v>8S.DFD21.4.012</v>
          </cell>
          <cell r="G330" t="str">
            <v>-</v>
          </cell>
          <cell r="H330" t="str">
            <v>27-35HRC</v>
          </cell>
          <cell r="I330" t="str">
            <v>Ct·P</v>
          </cell>
          <cell r="J330" t="str">
            <v>GH2132</v>
          </cell>
          <cell r="K330">
            <v>50</v>
          </cell>
          <cell r="L330">
            <v>46007</v>
          </cell>
          <cell r="M330" t="str">
            <v>1-已打印</v>
          </cell>
        </row>
        <row r="330">
          <cell r="O330">
            <v>0</v>
          </cell>
          <cell r="P330" t="str">
            <v>哈尔滨东安实业发展有限公司</v>
          </cell>
          <cell r="Q330" t="str">
            <v>10</v>
          </cell>
        </row>
        <row r="330">
          <cell r="U330" t="str">
            <v>010000855605</v>
          </cell>
          <cell r="V330" t="str">
            <v/>
          </cell>
          <cell r="W330" t="str">
            <v/>
          </cell>
          <cell r="X330" t="str">
            <v>CP-108-A</v>
          </cell>
          <cell r="Y330" t="str">
            <v/>
          </cell>
          <cell r="Z330" t="str">
            <v>1906</v>
          </cell>
          <cell r="AA330" t="str">
            <v>1100154156</v>
          </cell>
          <cell r="AB330">
            <v>50</v>
          </cell>
          <cell r="AC330" t="str">
            <v>GJ2508-01269 D 2A</v>
          </cell>
          <cell r="AD330">
            <v>128.34</v>
          </cell>
          <cell r="AE330" t="str">
            <v>G-100016975-251014-0058</v>
          </cell>
        </row>
        <row r="331">
          <cell r="B331" t="str">
            <v>7101050502</v>
          </cell>
          <cell r="C331" t="str">
            <v>G2510-0655</v>
          </cell>
          <cell r="D331" t="str">
            <v>000042944239010409</v>
          </cell>
          <cell r="E331" t="str">
            <v>优质GH2132UNJ螺纹十二角头螺栓</v>
          </cell>
          <cell r="F331" t="str">
            <v>Q/8S1332-04-J022</v>
          </cell>
          <cell r="G331" t="str">
            <v>04-J022</v>
          </cell>
          <cell r="H331" t="str">
            <v>σb≥1035MPa,29-38HRC</v>
          </cell>
          <cell r="I331" t="str">
            <v>化学钝化</v>
          </cell>
          <cell r="J331" t="str">
            <v>优质GH2132</v>
          </cell>
          <cell r="K331">
            <v>159</v>
          </cell>
          <cell r="L331">
            <v>46007</v>
          </cell>
          <cell r="M331" t="str">
            <v>3-配货完成</v>
          </cell>
        </row>
        <row r="331">
          <cell r="O331">
            <v>0</v>
          </cell>
          <cell r="P331" t="str">
            <v>哈尔滨东安实业发展有限公司</v>
          </cell>
          <cell r="Q331" t="str">
            <v>20</v>
          </cell>
        </row>
        <row r="331">
          <cell r="U331" t="str">
            <v>010000873735</v>
          </cell>
          <cell r="V331" t="str">
            <v>BIAOQIAN3</v>
          </cell>
          <cell r="W331" t="str">
            <v/>
          </cell>
          <cell r="X331" t="str">
            <v>CP-108-A</v>
          </cell>
          <cell r="Y331" t="str">
            <v/>
          </cell>
          <cell r="Z331" t="str">
            <v>1906</v>
          </cell>
          <cell r="AA331" t="str">
            <v>1100156803</v>
          </cell>
          <cell r="AB331">
            <v>400</v>
          </cell>
          <cell r="AC331" t="str">
            <v/>
          </cell>
          <cell r="AD331">
            <v>75.24</v>
          </cell>
          <cell r="AE331" t="str">
            <v>G-100016975-251202-0073</v>
          </cell>
        </row>
        <row r="332">
          <cell r="B332" t="str">
            <v>7101050501</v>
          </cell>
          <cell r="C332" t="str">
            <v>G2510-0655</v>
          </cell>
          <cell r="D332" t="str">
            <v>000042944239010409</v>
          </cell>
          <cell r="E332" t="str">
            <v>优质GH2132UNJ螺纹十二角头螺栓</v>
          </cell>
          <cell r="F332" t="str">
            <v>Q/8S1332-04-J022</v>
          </cell>
          <cell r="G332" t="str">
            <v>04-J022</v>
          </cell>
          <cell r="H332" t="str">
            <v>σb≥1035MPa,29-38HRC</v>
          </cell>
          <cell r="I332" t="str">
            <v>化学钝化</v>
          </cell>
          <cell r="J332" t="str">
            <v>优质GH2132</v>
          </cell>
          <cell r="K332">
            <v>140</v>
          </cell>
          <cell r="L332">
            <v>46007</v>
          </cell>
          <cell r="M332" t="str">
            <v>3-配货完成</v>
          </cell>
        </row>
        <row r="332">
          <cell r="O332">
            <v>0</v>
          </cell>
          <cell r="P332" t="str">
            <v>哈尔滨东安实业发展有限公司</v>
          </cell>
          <cell r="Q332" t="str">
            <v>20</v>
          </cell>
        </row>
        <row r="332">
          <cell r="U332" t="str">
            <v>010000873735</v>
          </cell>
          <cell r="V332" t="str">
            <v>BIAOQIAN3</v>
          </cell>
          <cell r="W332" t="str">
            <v/>
          </cell>
          <cell r="X332" t="str">
            <v>CP-108-A</v>
          </cell>
          <cell r="Y332" t="str">
            <v/>
          </cell>
          <cell r="Z332" t="str">
            <v>1906</v>
          </cell>
          <cell r="AA332" t="str">
            <v>1100154156</v>
          </cell>
          <cell r="AB332">
            <v>200</v>
          </cell>
          <cell r="AC332" t="str">
            <v/>
          </cell>
          <cell r="AD332">
            <v>75.24</v>
          </cell>
          <cell r="AE332" t="str">
            <v>G-100016975-251014-0058</v>
          </cell>
        </row>
        <row r="333">
          <cell r="B333" t="str">
            <v>7101048443</v>
          </cell>
          <cell r="C333" t="str">
            <v>G2503-2951</v>
          </cell>
          <cell r="D333" t="str">
            <v>000042944000104944</v>
          </cell>
          <cell r="E333" t="str">
            <v>铝制短膨胀堵头</v>
          </cell>
          <cell r="F333" t="str">
            <v>AS3123-08</v>
          </cell>
          <cell r="G333" t="str">
            <v>AS3123-08</v>
          </cell>
          <cell r="H333" t="str">
            <v/>
          </cell>
          <cell r="I333" t="str">
            <v>阳极化+绿色</v>
          </cell>
          <cell r="J333" t="str">
            <v>2024</v>
          </cell>
          <cell r="K333">
            <v>50</v>
          </cell>
          <cell r="L333">
            <v>46000</v>
          </cell>
          <cell r="M333" t="str">
            <v>4-检验完成</v>
          </cell>
        </row>
        <row r="333">
          <cell r="O333">
            <v>0</v>
          </cell>
          <cell r="P333" t="str">
            <v>哈尔滨东安实业发展有限公司</v>
          </cell>
          <cell r="Q333" t="str">
            <v>30</v>
          </cell>
          <cell r="R333">
            <v>46006</v>
          </cell>
        </row>
        <row r="333">
          <cell r="U333" t="str">
            <v>010000802535</v>
          </cell>
          <cell r="V333" t="str">
            <v>BIAOQIAN4</v>
          </cell>
          <cell r="W333" t="str">
            <v/>
          </cell>
          <cell r="X333" t="str">
            <v>CP-108-A</v>
          </cell>
          <cell r="Y333" t="str">
            <v/>
          </cell>
          <cell r="Z333" t="str">
            <v>1906</v>
          </cell>
          <cell r="AA333" t="str">
            <v>1100140060</v>
          </cell>
          <cell r="AB333">
            <v>50</v>
          </cell>
          <cell r="AC333" t="str">
            <v/>
          </cell>
          <cell r="AD333">
            <v>58</v>
          </cell>
          <cell r="AE333" t="str">
            <v>G-100016975-250109-0003</v>
          </cell>
        </row>
        <row r="334">
          <cell r="B334" t="str">
            <v>7101046990</v>
          </cell>
          <cell r="C334" t="str">
            <v>G2501-2461</v>
          </cell>
          <cell r="D334" t="str">
            <v>000042944319051601</v>
          </cell>
          <cell r="E334" t="str">
            <v>双六角自锁螺母</v>
          </cell>
          <cell r="F334" t="str">
            <v>AS3291A-2013</v>
          </cell>
          <cell r="G334" t="str">
            <v>AS3291-11</v>
          </cell>
          <cell r="H334" t="str">
            <v>32-42HRC</v>
          </cell>
          <cell r="I334" t="str">
            <v>镀银</v>
          </cell>
          <cell r="J334" t="str">
            <v>UNSN07001</v>
          </cell>
          <cell r="K334">
            <v>15</v>
          </cell>
          <cell r="L334">
            <v>45996</v>
          </cell>
          <cell r="M334" t="str">
            <v>3-配货完成</v>
          </cell>
        </row>
        <row r="334">
          <cell r="O334">
            <v>0</v>
          </cell>
          <cell r="P334" t="str">
            <v>哈尔滨东安实业发展有限公司</v>
          </cell>
          <cell r="Q334" t="str">
            <v>10</v>
          </cell>
        </row>
        <row r="334">
          <cell r="U334" t="str">
            <v>010000777424</v>
          </cell>
          <cell r="V334" t="str">
            <v>BIAOQIAN2</v>
          </cell>
          <cell r="W334" t="str">
            <v/>
          </cell>
          <cell r="X334" t="str">
            <v>CP-43-3-1-4/5/6</v>
          </cell>
          <cell r="Y334" t="str">
            <v/>
          </cell>
          <cell r="Z334" t="str">
            <v>1906</v>
          </cell>
          <cell r="AA334" t="str">
            <v>1100156806</v>
          </cell>
          <cell r="AB334">
            <v>15</v>
          </cell>
          <cell r="AC334" t="str">
            <v/>
          </cell>
          <cell r="AD334">
            <v>55</v>
          </cell>
          <cell r="AE334" t="str">
            <v>G-100016975-251202-0075</v>
          </cell>
        </row>
        <row r="335">
          <cell r="B335" t="str">
            <v>7101041853</v>
          </cell>
          <cell r="C335" t="str">
            <v>G2502-3076</v>
          </cell>
          <cell r="D335" t="str">
            <v>000042944239004239</v>
          </cell>
          <cell r="E335" t="str">
            <v>光杆公差带r6抗剪型100°沉头高锁螺栓</v>
          </cell>
          <cell r="F335" t="str">
            <v>GJB134.2-6×14</v>
          </cell>
          <cell r="G335" t="str">
            <v>6×14</v>
          </cell>
          <cell r="H335" t="str">
            <v>σb=1175±100MPa</v>
          </cell>
          <cell r="I335" t="str">
            <v>Ct·O+Dp·CA</v>
          </cell>
          <cell r="J335" t="str">
            <v>ML30CrMnSiA</v>
          </cell>
          <cell r="K335">
            <v>120</v>
          </cell>
          <cell r="L335">
            <v>45986</v>
          </cell>
          <cell r="M335" t="str">
            <v>3-配货完成</v>
          </cell>
        </row>
        <row r="335">
          <cell r="O335">
            <v>0</v>
          </cell>
          <cell r="P335" t="str">
            <v>哈尔滨东安实业发展有限公司</v>
          </cell>
          <cell r="Q335" t="str">
            <v>50</v>
          </cell>
        </row>
        <row r="335">
          <cell r="U335" t="str">
            <v>010000789278</v>
          </cell>
          <cell r="V335" t="str">
            <v>BIAOQIAN1</v>
          </cell>
          <cell r="W335" t="str">
            <v/>
          </cell>
          <cell r="X335" t="str">
            <v>CP-108-A</v>
          </cell>
          <cell r="Y335" t="str">
            <v/>
          </cell>
          <cell r="Z335" t="str">
            <v>1906</v>
          </cell>
          <cell r="AA335" t="str">
            <v>1100124770</v>
          </cell>
          <cell r="AB335">
            <v>320</v>
          </cell>
          <cell r="AC335" t="str">
            <v/>
          </cell>
          <cell r="AD335">
            <v>101.44</v>
          </cell>
          <cell r="AE335" t="str">
            <v>G1302-240205-037</v>
          </cell>
        </row>
        <row r="336">
          <cell r="B336" t="str">
            <v>7101031685</v>
          </cell>
          <cell r="C336" t="str">
            <v>G2409-1811</v>
          </cell>
          <cell r="D336" t="str">
            <v>000042944239008493</v>
          </cell>
          <cell r="E336" t="str">
            <v>高锁螺栓</v>
          </cell>
          <cell r="F336" t="str">
            <v>JS20.14.012</v>
          </cell>
          <cell r="G336" t="str">
            <v>-</v>
          </cell>
          <cell r="H336" t="str">
            <v>σb=1175±100MPa</v>
          </cell>
          <cell r="I336" t="str">
            <v>Ct·O+十六醇</v>
          </cell>
          <cell r="J336" t="str">
            <v>ML30CrMnSiA</v>
          </cell>
          <cell r="K336">
            <v>72</v>
          </cell>
          <cell r="L336">
            <v>45966</v>
          </cell>
          <cell r="M336" t="str">
            <v>4-检验完成</v>
          </cell>
        </row>
        <row r="336">
          <cell r="O336">
            <v>0</v>
          </cell>
          <cell r="P336" t="str">
            <v>哈尔滨东安实业发展有限公司</v>
          </cell>
          <cell r="Q336" t="str">
            <v>130</v>
          </cell>
          <cell r="R336">
            <v>45974</v>
          </cell>
        </row>
        <row r="336">
          <cell r="U336" t="str">
            <v>010000736436</v>
          </cell>
          <cell r="V336" t="str">
            <v>BIAOQIAN4</v>
          </cell>
          <cell r="W336" t="str">
            <v/>
          </cell>
          <cell r="X336" t="str">
            <v>CP-108-A</v>
          </cell>
          <cell r="Y336" t="str">
            <v/>
          </cell>
          <cell r="Z336" t="str">
            <v>1906</v>
          </cell>
          <cell r="AA336" t="str">
            <v>1100124375</v>
          </cell>
          <cell r="AB336">
            <v>100</v>
          </cell>
          <cell r="AC336" t="str">
            <v>GJ2409-01811-D-1A</v>
          </cell>
          <cell r="AD336">
            <v>101.44</v>
          </cell>
          <cell r="AE336" t="str">
            <v>G1302-240122-035</v>
          </cell>
        </row>
        <row r="337">
          <cell r="B337" t="str">
            <v>7101030097</v>
          </cell>
          <cell r="C337" t="str">
            <v>G2407-2313</v>
          </cell>
          <cell r="D337" t="str">
            <v>000042944288039751</v>
          </cell>
          <cell r="E337" t="str">
            <v>MJ螺纹双耳游动托板自锁螺母</v>
          </cell>
          <cell r="F337" t="str">
            <v>HB8387-2013</v>
          </cell>
          <cell r="G337" t="str">
            <v>6</v>
          </cell>
          <cell r="H337" t="str">
            <v/>
          </cell>
          <cell r="I337" t="str">
            <v/>
          </cell>
          <cell r="J337" t="str">
            <v>组件</v>
          </cell>
          <cell r="K337">
            <v>91</v>
          </cell>
          <cell r="L337">
            <v>45961</v>
          </cell>
          <cell r="M337" t="str">
            <v>1-已打印</v>
          </cell>
        </row>
        <row r="337">
          <cell r="O337">
            <v>0</v>
          </cell>
          <cell r="P337" t="str">
            <v>哈尔滨东安实业发展有限公司</v>
          </cell>
          <cell r="Q337" t="str">
            <v>50</v>
          </cell>
        </row>
        <row r="337">
          <cell r="U337" t="str">
            <v>010000721131</v>
          </cell>
          <cell r="V337" t="str">
            <v/>
          </cell>
          <cell r="W337" t="str">
            <v/>
          </cell>
          <cell r="X337" t="str">
            <v>CP-108-A</v>
          </cell>
          <cell r="Y337" t="str">
            <v/>
          </cell>
          <cell r="Z337" t="str">
            <v>1906</v>
          </cell>
          <cell r="AA337" t="str">
            <v>1100135389</v>
          </cell>
          <cell r="AB337">
            <v>135</v>
          </cell>
          <cell r="AC337" t="str">
            <v/>
          </cell>
          <cell r="AD337">
            <v>56</v>
          </cell>
          <cell r="AE337" t="str">
            <v>G-100016975-241014-0042-1</v>
          </cell>
        </row>
        <row r="338">
          <cell r="B338" t="str">
            <v>7101022910</v>
          </cell>
          <cell r="C338" t="str">
            <v>G2505-1321</v>
          </cell>
          <cell r="D338" t="str">
            <v>000042944360151880</v>
          </cell>
          <cell r="E338" t="str">
            <v>圆柱销</v>
          </cell>
          <cell r="F338" t="str">
            <v>Q/8S1337.1-2024</v>
          </cell>
          <cell r="G338" t="str">
            <v>A-014</v>
          </cell>
          <cell r="H338" t="str">
            <v>27-35HRC</v>
          </cell>
          <cell r="I338" t="str">
            <v>Ct·P</v>
          </cell>
          <cell r="J338" t="str">
            <v>GH2132</v>
          </cell>
          <cell r="K338">
            <v>15</v>
          </cell>
          <cell r="L338">
            <v>45947</v>
          </cell>
          <cell r="M338" t="str">
            <v>3-配货完成</v>
          </cell>
        </row>
        <row r="338">
          <cell r="O338">
            <v>0</v>
          </cell>
          <cell r="P338" t="str">
            <v>哈尔滨东安实业发展有限公司</v>
          </cell>
          <cell r="Q338" t="str">
            <v>30</v>
          </cell>
        </row>
        <row r="338">
          <cell r="U338" t="str">
            <v>010000827084</v>
          </cell>
          <cell r="V338" t="str">
            <v>BIAOQIAN2</v>
          </cell>
          <cell r="W338" t="str">
            <v/>
          </cell>
          <cell r="X338" t="str">
            <v>CP-108-A</v>
          </cell>
          <cell r="Y338" t="str">
            <v/>
          </cell>
          <cell r="Z338" t="str">
            <v>1906</v>
          </cell>
          <cell r="AA338" t="str">
            <v>1100141949</v>
          </cell>
          <cell r="AB338">
            <v>15</v>
          </cell>
          <cell r="AC338" t="str">
            <v/>
          </cell>
          <cell r="AD338">
            <v>34.83</v>
          </cell>
          <cell r="AE338" t="str">
            <v>G-100016975-250221-0010-1</v>
          </cell>
        </row>
        <row r="339">
          <cell r="B339" t="str">
            <v>7101022902</v>
          </cell>
          <cell r="C339" t="str">
            <v>GW2408-003</v>
          </cell>
          <cell r="D339" t="str">
            <v>000042944360004322</v>
          </cell>
          <cell r="E339" t="str">
            <v>弹性圆柱销</v>
          </cell>
          <cell r="F339" t="str">
            <v>GB879-1986</v>
          </cell>
          <cell r="G339" t="str">
            <v>3×8</v>
          </cell>
          <cell r="H339" t="str">
            <v>420-560HV</v>
          </cell>
          <cell r="I339" t="str">
            <v>Ct·O</v>
          </cell>
          <cell r="J339" t="str">
            <v>65Mn</v>
          </cell>
          <cell r="K339">
            <v>190</v>
          </cell>
          <cell r="L339">
            <v>45947</v>
          </cell>
          <cell r="M339" t="str">
            <v>3-配货完成</v>
          </cell>
        </row>
        <row r="339">
          <cell r="O339">
            <v>0</v>
          </cell>
          <cell r="P339" t="str">
            <v>哈尔滨东安实业发展有限公司</v>
          </cell>
          <cell r="Q339" t="str">
            <v>10</v>
          </cell>
        </row>
        <row r="339">
          <cell r="U339" t="str">
            <v/>
          </cell>
          <cell r="V339" t="str">
            <v>BIAOQIAN1</v>
          </cell>
          <cell r="W339" t="str">
            <v/>
          </cell>
          <cell r="X339" t="str">
            <v>XH-000/CP-27-5-2-2</v>
          </cell>
          <cell r="Y339" t="str">
            <v/>
          </cell>
          <cell r="Z339" t="str">
            <v>1906</v>
          </cell>
          <cell r="AA339" t="str">
            <v>1100122539</v>
          </cell>
          <cell r="AB339">
            <v>200</v>
          </cell>
          <cell r="AC339" t="str">
            <v/>
          </cell>
          <cell r="AD339">
            <v>0.4</v>
          </cell>
          <cell r="AE339" t="str">
            <v>G1302-231220-286-H</v>
          </cell>
        </row>
        <row r="340">
          <cell r="B340" t="str">
            <v>7101022897</v>
          </cell>
          <cell r="C340" t="str">
            <v>GW2505-040</v>
          </cell>
          <cell r="D340" t="str">
            <v>000042944239004239</v>
          </cell>
          <cell r="E340" t="str">
            <v>光杆公差带r6抗剪型100°沉头高锁螺栓</v>
          </cell>
          <cell r="F340" t="str">
            <v>GJB134.2-1986</v>
          </cell>
          <cell r="G340" t="str">
            <v>6×14</v>
          </cell>
          <cell r="H340" t="str">
            <v>σb=1175±100MPa</v>
          </cell>
          <cell r="I340" t="str">
            <v>Ct·O+Dp·CA</v>
          </cell>
          <cell r="J340" t="str">
            <v>ML30CrMnSiA</v>
          </cell>
          <cell r="K340">
            <v>34</v>
          </cell>
          <cell r="L340">
            <v>45947</v>
          </cell>
          <cell r="M340" t="str">
            <v>3-配货完成</v>
          </cell>
        </row>
        <row r="340">
          <cell r="O340">
            <v>0</v>
          </cell>
          <cell r="P340" t="str">
            <v>哈尔滨东安实业发展有限公司</v>
          </cell>
          <cell r="Q340" t="str">
            <v>10</v>
          </cell>
        </row>
        <row r="340">
          <cell r="U340" t="str">
            <v/>
          </cell>
          <cell r="V340" t="str">
            <v>PANQIFANG</v>
          </cell>
          <cell r="W340" t="str">
            <v/>
          </cell>
          <cell r="X340" t="str">
            <v>XH-91-4-2-3</v>
          </cell>
          <cell r="Y340" t="str">
            <v/>
          </cell>
          <cell r="Z340" t="str">
            <v>1906</v>
          </cell>
          <cell r="AA340" t="str">
            <v>1100153644</v>
          </cell>
          <cell r="AB340">
            <v>85</v>
          </cell>
          <cell r="AC340" t="str">
            <v/>
          </cell>
          <cell r="AD340">
            <v>101.44</v>
          </cell>
          <cell r="AE340" t="str">
            <v>G-100016975-250925-0053</v>
          </cell>
        </row>
        <row r="341">
          <cell r="B341" t="str">
            <v>7101022886</v>
          </cell>
          <cell r="C341" t="str">
            <v>GW2505-040</v>
          </cell>
          <cell r="D341" t="str">
            <v>000042944239004239</v>
          </cell>
          <cell r="E341" t="str">
            <v>高锁螺栓</v>
          </cell>
          <cell r="F341" t="str">
            <v>GJB134.2-6×14</v>
          </cell>
          <cell r="G341" t="str">
            <v>6×14</v>
          </cell>
          <cell r="H341" t="str">
            <v>σb=1175±100MPa</v>
          </cell>
          <cell r="I341" t="str">
            <v>Ct·O+Dp·CA</v>
          </cell>
          <cell r="J341" t="str">
            <v>ML30CrMnSiA</v>
          </cell>
          <cell r="K341">
            <v>51</v>
          </cell>
          <cell r="L341">
            <v>45947</v>
          </cell>
          <cell r="M341" t="str">
            <v>3-配货完成</v>
          </cell>
        </row>
        <row r="341">
          <cell r="O341">
            <v>0</v>
          </cell>
          <cell r="P341" t="str">
            <v>哈尔滨东安实业发展有限公司</v>
          </cell>
          <cell r="Q341" t="str">
            <v>30</v>
          </cell>
        </row>
        <row r="341">
          <cell r="U341" t="str">
            <v/>
          </cell>
          <cell r="V341" t="str">
            <v>PANQIFANG</v>
          </cell>
          <cell r="W341" t="str">
            <v/>
          </cell>
          <cell r="X341" t="str">
            <v>XH-91-4-2-3</v>
          </cell>
          <cell r="Y341" t="str">
            <v/>
          </cell>
          <cell r="Z341" t="str">
            <v>1906</v>
          </cell>
          <cell r="AA341" t="str">
            <v>1100145380</v>
          </cell>
          <cell r="AB341">
            <v>51</v>
          </cell>
          <cell r="AC341" t="str">
            <v/>
          </cell>
          <cell r="AD341">
            <v>101.4</v>
          </cell>
          <cell r="AE341" t="str">
            <v>G-100016975-250416-0020</v>
          </cell>
        </row>
        <row r="342">
          <cell r="B342" t="str">
            <v>7101020770</v>
          </cell>
          <cell r="C342" t="str">
            <v>G2411-2338</v>
          </cell>
          <cell r="D342" t="str">
            <v>000042944039095271</v>
          </cell>
          <cell r="E342" t="str">
            <v>带键自锁螺套</v>
          </cell>
          <cell r="F342" t="str">
            <v>Q/S15.1119A-6</v>
          </cell>
          <cell r="G342" t="str">
            <v>A-6</v>
          </cell>
          <cell r="H342" t="str">
            <v/>
          </cell>
          <cell r="I342" t="str">
            <v/>
          </cell>
          <cell r="J342" t="str">
            <v>组件</v>
          </cell>
          <cell r="K342">
            <v>120</v>
          </cell>
          <cell r="L342">
            <v>45944</v>
          </cell>
          <cell r="M342" t="str">
            <v>1-已打印</v>
          </cell>
        </row>
        <row r="342">
          <cell r="O342">
            <v>0</v>
          </cell>
          <cell r="P342" t="str">
            <v>哈尔滨东安实业发展有限公司</v>
          </cell>
          <cell r="Q342" t="str">
            <v>20</v>
          </cell>
        </row>
        <row r="342">
          <cell r="U342" t="str">
            <v>010000754260</v>
          </cell>
          <cell r="V342" t="str">
            <v/>
          </cell>
          <cell r="W342" t="str">
            <v/>
          </cell>
          <cell r="X342" t="str">
            <v>CP-C8-4-4-4</v>
          </cell>
          <cell r="Y342" t="str">
            <v/>
          </cell>
          <cell r="Z342" t="str">
            <v>1906</v>
          </cell>
          <cell r="AA342" t="str">
            <v>1100153106</v>
          </cell>
          <cell r="AB342">
            <v>120</v>
          </cell>
          <cell r="AC342" t="str">
            <v>GJ2411-02338</v>
          </cell>
          <cell r="AD342">
            <v>90</v>
          </cell>
          <cell r="AE342" t="str">
            <v>G-100016975-250917-0049</v>
          </cell>
        </row>
        <row r="343">
          <cell r="B343" t="str">
            <v>7101053112</v>
          </cell>
          <cell r="C343" t="str">
            <v>G2506-0512</v>
          </cell>
          <cell r="D343" t="str">
            <v>000042944239133303</v>
          </cell>
          <cell r="E343" t="str">
            <v>高温合金A286短螺纹紧公差100°小沉头螺栓</v>
          </cell>
          <cell r="F343" t="str">
            <v>NAS8703(1版)</v>
          </cell>
          <cell r="G343" t="str">
            <v>NAS8703U3</v>
          </cell>
          <cell r="H343" t="str">
            <v>σb=160-190KSI</v>
          </cell>
          <cell r="I343" t="str">
            <v>钝化</v>
          </cell>
          <cell r="J343" t="str">
            <v>A286</v>
          </cell>
          <cell r="K343">
            <v>10</v>
          </cell>
          <cell r="L343">
            <v>46013</v>
          </cell>
          <cell r="M343" t="str">
            <v>3-配货完成</v>
          </cell>
        </row>
        <row r="343">
          <cell r="O343">
            <v>0</v>
          </cell>
          <cell r="P343" t="str">
            <v>哈尔滨东安实业发展有限公司</v>
          </cell>
          <cell r="Q343" t="str">
            <v>10</v>
          </cell>
        </row>
        <row r="343">
          <cell r="U343" t="str">
            <v>010000831945</v>
          </cell>
          <cell r="V343" t="str">
            <v>BIAOQIAN2</v>
          </cell>
          <cell r="W343" t="str">
            <v/>
          </cell>
          <cell r="X343" t="str">
            <v>CP-21-2-2-8</v>
          </cell>
          <cell r="Y343" t="str">
            <v/>
          </cell>
          <cell r="Z343" t="str">
            <v>1906</v>
          </cell>
          <cell r="AA343" t="str">
            <v>1100156012</v>
          </cell>
          <cell r="AB343">
            <v>50</v>
          </cell>
          <cell r="AC343" t="str">
            <v/>
          </cell>
          <cell r="AD343">
            <v>20</v>
          </cell>
          <cell r="AE343" t="str">
            <v>G-100016975-251114-0068</v>
          </cell>
        </row>
        <row r="344">
          <cell r="B344" t="str">
            <v>7101053112</v>
          </cell>
          <cell r="C344" t="str">
            <v>G2404-0789</v>
          </cell>
          <cell r="D344" t="str">
            <v>000042944239133303</v>
          </cell>
          <cell r="E344" t="str">
            <v>高温合金A286短螺纹紧公差100°小沉头螺栓</v>
          </cell>
          <cell r="F344" t="str">
            <v>NAS8703(1版)</v>
          </cell>
          <cell r="G344" t="str">
            <v>NAS8703U3</v>
          </cell>
          <cell r="H344" t="str">
            <v>σb=160-190KSI</v>
          </cell>
          <cell r="I344" t="str">
            <v>钝化</v>
          </cell>
          <cell r="J344" t="str">
            <v>A286</v>
          </cell>
          <cell r="K344">
            <v>3</v>
          </cell>
          <cell r="L344">
            <v>46013</v>
          </cell>
          <cell r="M344" t="str">
            <v>3-配货完成</v>
          </cell>
        </row>
        <row r="344">
          <cell r="O344">
            <v>0</v>
          </cell>
          <cell r="P344" t="str">
            <v>哈尔滨东安实业发展有限公司</v>
          </cell>
          <cell r="Q344" t="str">
            <v>10</v>
          </cell>
        </row>
        <row r="344">
          <cell r="U344" t="str">
            <v>010000690279</v>
          </cell>
          <cell r="V344" t="str">
            <v>BIAOQIAN2</v>
          </cell>
          <cell r="W344" t="str">
            <v/>
          </cell>
          <cell r="X344" t="str">
            <v>CP-108-A</v>
          </cell>
          <cell r="Y344" t="str">
            <v/>
          </cell>
          <cell r="Z344" t="str">
            <v>1906</v>
          </cell>
          <cell r="AA344" t="str">
            <v>1100156012</v>
          </cell>
          <cell r="AB344">
            <v>50</v>
          </cell>
          <cell r="AC344" t="str">
            <v/>
          </cell>
          <cell r="AD344">
            <v>20</v>
          </cell>
          <cell r="AE344" t="str">
            <v>G-100016975-251114-0068</v>
          </cell>
        </row>
        <row r="345">
          <cell r="B345" t="str">
            <v>7101052983</v>
          </cell>
          <cell r="C345" t="str">
            <v>G2506-0645</v>
          </cell>
          <cell r="D345" t="str">
            <v>000042944039000019</v>
          </cell>
          <cell r="E345" t="str">
            <v>带键锁紧螺套</v>
          </cell>
          <cell r="F345" t="str">
            <v>8S.DFD20.6.802</v>
          </cell>
          <cell r="G345" t="str">
            <v>-</v>
          </cell>
          <cell r="H345" t="str">
            <v/>
          </cell>
          <cell r="I345" t="str">
            <v/>
          </cell>
          <cell r="J345" t="str">
            <v>组件</v>
          </cell>
          <cell r="K345">
            <v>50</v>
          </cell>
          <cell r="L345">
            <v>46012</v>
          </cell>
          <cell r="M345" t="str">
            <v>3-配货完成</v>
          </cell>
        </row>
        <row r="345">
          <cell r="O345">
            <v>0</v>
          </cell>
          <cell r="P345" t="str">
            <v>哈尔滨东安实业发展有限公司</v>
          </cell>
          <cell r="Q345" t="str">
            <v>10</v>
          </cell>
        </row>
        <row r="345">
          <cell r="U345" t="str">
            <v>010000832455</v>
          </cell>
          <cell r="V345" t="str">
            <v>BIAOQIAN3</v>
          </cell>
          <cell r="W345" t="str">
            <v/>
          </cell>
          <cell r="X345" t="str">
            <v>CP-108-A</v>
          </cell>
          <cell r="Y345" t="str">
            <v/>
          </cell>
          <cell r="Z345" t="str">
            <v>1906</v>
          </cell>
          <cell r="AA345" t="str">
            <v>1100151515</v>
          </cell>
          <cell r="AB345">
            <v>50</v>
          </cell>
          <cell r="AC345" t="str">
            <v>GJ2506-00645 D 1A</v>
          </cell>
          <cell r="AD345">
            <v>117.79</v>
          </cell>
          <cell r="AE345" t="str">
            <v>G-100016975-250815-0039</v>
          </cell>
        </row>
        <row r="346">
          <cell r="B346" t="str">
            <v>7101052981</v>
          </cell>
          <cell r="C346" t="str">
            <v>G2506-0645</v>
          </cell>
          <cell r="D346" t="str">
            <v>000042944039000019</v>
          </cell>
          <cell r="E346" t="str">
            <v>带键锁紧螺套</v>
          </cell>
          <cell r="F346" t="str">
            <v>8S.DFD20.6.802</v>
          </cell>
          <cell r="G346" t="str">
            <v>-</v>
          </cell>
          <cell r="H346" t="str">
            <v/>
          </cell>
          <cell r="I346" t="str">
            <v/>
          </cell>
          <cell r="J346" t="str">
            <v>组件</v>
          </cell>
          <cell r="K346">
            <v>7</v>
          </cell>
          <cell r="L346">
            <v>46012</v>
          </cell>
          <cell r="M346" t="str">
            <v>3-配货完成</v>
          </cell>
        </row>
        <row r="346">
          <cell r="O346">
            <v>0</v>
          </cell>
          <cell r="P346" t="str">
            <v>哈尔滨东安实业发展有限公司</v>
          </cell>
          <cell r="Q346" t="str">
            <v>10</v>
          </cell>
        </row>
        <row r="346">
          <cell r="U346" t="str">
            <v>010000832455</v>
          </cell>
          <cell r="V346" t="str">
            <v>BIAOQIAN3</v>
          </cell>
          <cell r="W346" t="str">
            <v/>
          </cell>
          <cell r="X346" t="str">
            <v>CP-108-A</v>
          </cell>
          <cell r="Y346" t="str">
            <v/>
          </cell>
          <cell r="Z346" t="str">
            <v>1906</v>
          </cell>
          <cell r="AA346" t="str">
            <v>1100136375</v>
          </cell>
          <cell r="AB346">
            <v>7</v>
          </cell>
          <cell r="AC346" t="str">
            <v>GJ2506-00645 D 1A</v>
          </cell>
          <cell r="AD346">
            <v>117.79</v>
          </cell>
          <cell r="AE346" t="str">
            <v>G-100016975-241030-0204-1</v>
          </cell>
        </row>
        <row r="347">
          <cell r="B347" t="str">
            <v>7101041853</v>
          </cell>
          <cell r="C347" t="str">
            <v>G2502-3076</v>
          </cell>
          <cell r="D347" t="str">
            <v>000042944239004239</v>
          </cell>
          <cell r="E347" t="str">
            <v>光杆公差带r6抗剪型100°沉头高锁螺栓</v>
          </cell>
          <cell r="F347" t="str">
            <v>GJB134.2-6×14</v>
          </cell>
          <cell r="G347" t="str">
            <v>6×14</v>
          </cell>
          <cell r="H347" t="str">
            <v>σb=1175±100MPa</v>
          </cell>
          <cell r="I347" t="str">
            <v>Ct·O+Dp·CA</v>
          </cell>
          <cell r="J347" t="str">
            <v>ML30CrMnSiA</v>
          </cell>
          <cell r="K347">
            <v>120</v>
          </cell>
          <cell r="L347">
            <v>45986</v>
          </cell>
          <cell r="M347" t="str">
            <v>3-配货完成</v>
          </cell>
        </row>
        <row r="347">
          <cell r="O347">
            <v>0</v>
          </cell>
          <cell r="P347" t="str">
            <v>哈尔滨东安实业发展有限公司</v>
          </cell>
          <cell r="Q347" t="str">
            <v>50</v>
          </cell>
        </row>
        <row r="347">
          <cell r="U347" t="str">
            <v>010000789278</v>
          </cell>
          <cell r="V347" t="str">
            <v>BIAOQIAN1</v>
          </cell>
          <cell r="W347" t="str">
            <v/>
          </cell>
          <cell r="X347" t="str">
            <v>CP-108-A</v>
          </cell>
          <cell r="Y347" t="str">
            <v/>
          </cell>
          <cell r="Z347" t="str">
            <v>1906</v>
          </cell>
          <cell r="AA347" t="str">
            <v>1100124770</v>
          </cell>
          <cell r="AB347">
            <v>320</v>
          </cell>
          <cell r="AC347" t="str">
            <v/>
          </cell>
          <cell r="AD347">
            <v>101.44</v>
          </cell>
          <cell r="AE347" t="str">
            <v>G1302-240205-037</v>
          </cell>
        </row>
        <row r="348">
          <cell r="B348" t="str">
            <v>7101030097</v>
          </cell>
          <cell r="C348" t="str">
            <v>G2407-2313</v>
          </cell>
          <cell r="D348" t="str">
            <v>000042944288039751</v>
          </cell>
          <cell r="E348" t="str">
            <v>MJ螺纹双耳游动托板自锁螺母</v>
          </cell>
          <cell r="F348" t="str">
            <v>HB8387-2013</v>
          </cell>
          <cell r="G348" t="str">
            <v>6</v>
          </cell>
          <cell r="H348" t="str">
            <v/>
          </cell>
          <cell r="I348" t="str">
            <v/>
          </cell>
          <cell r="J348" t="str">
            <v>组件</v>
          </cell>
          <cell r="K348">
            <v>91</v>
          </cell>
          <cell r="L348">
            <v>45961</v>
          </cell>
          <cell r="M348" t="str">
            <v>1-已打印</v>
          </cell>
        </row>
        <row r="348">
          <cell r="O348">
            <v>0</v>
          </cell>
          <cell r="P348" t="str">
            <v>哈尔滨东安实业发展有限公司</v>
          </cell>
          <cell r="Q348" t="str">
            <v>50</v>
          </cell>
        </row>
        <row r="348">
          <cell r="U348" t="str">
            <v>010000721131</v>
          </cell>
          <cell r="V348" t="str">
            <v/>
          </cell>
          <cell r="W348" t="str">
            <v/>
          </cell>
          <cell r="X348" t="str">
            <v>CP-108-A</v>
          </cell>
          <cell r="Y348" t="str">
            <v/>
          </cell>
          <cell r="Z348" t="str">
            <v>1906</v>
          </cell>
          <cell r="AA348" t="str">
            <v>1100135389</v>
          </cell>
          <cell r="AB348">
            <v>135</v>
          </cell>
          <cell r="AC348" t="str">
            <v/>
          </cell>
          <cell r="AD348">
            <v>56</v>
          </cell>
          <cell r="AE348" t="str">
            <v>G-100016975-241014-0042-1</v>
          </cell>
        </row>
        <row r="349">
          <cell r="B349" t="str">
            <v>7101022910</v>
          </cell>
          <cell r="C349" t="str">
            <v>G2505-1321</v>
          </cell>
          <cell r="D349" t="str">
            <v>000042944360151880</v>
          </cell>
          <cell r="E349" t="str">
            <v>圆柱销</v>
          </cell>
          <cell r="F349" t="str">
            <v>Q/8S1337.1-2024</v>
          </cell>
          <cell r="G349" t="str">
            <v>A-014</v>
          </cell>
          <cell r="H349" t="str">
            <v>27-35HRC</v>
          </cell>
          <cell r="I349" t="str">
            <v>Ct·P</v>
          </cell>
          <cell r="J349" t="str">
            <v>GH2132</v>
          </cell>
          <cell r="K349">
            <v>15</v>
          </cell>
          <cell r="L349">
            <v>45947</v>
          </cell>
          <cell r="M349" t="str">
            <v>3-配货完成</v>
          </cell>
        </row>
        <row r="349">
          <cell r="O349">
            <v>0</v>
          </cell>
          <cell r="P349" t="str">
            <v>哈尔滨东安实业发展有限公司</v>
          </cell>
          <cell r="Q349" t="str">
            <v>30</v>
          </cell>
        </row>
        <row r="349">
          <cell r="U349" t="str">
            <v>010000827084</v>
          </cell>
          <cell r="V349" t="str">
            <v>BIAOQIAN2</v>
          </cell>
          <cell r="W349" t="str">
            <v/>
          </cell>
          <cell r="X349" t="str">
            <v>CP-108-A</v>
          </cell>
          <cell r="Y349" t="str">
            <v/>
          </cell>
          <cell r="Z349" t="str">
            <v>1906</v>
          </cell>
          <cell r="AA349" t="str">
            <v>1100141949</v>
          </cell>
          <cell r="AB349">
            <v>15</v>
          </cell>
          <cell r="AC349" t="str">
            <v/>
          </cell>
          <cell r="AD349">
            <v>34.83</v>
          </cell>
          <cell r="AE349" t="str">
            <v>G-100016975-250221-0010-1</v>
          </cell>
        </row>
        <row r="350">
          <cell r="B350" t="str">
            <v>7101022902</v>
          </cell>
          <cell r="C350" t="str">
            <v>GW2408-003</v>
          </cell>
          <cell r="D350" t="str">
            <v>000042944360004322</v>
          </cell>
          <cell r="E350" t="str">
            <v>弹性圆柱销</v>
          </cell>
          <cell r="F350" t="str">
            <v>GB879-1986</v>
          </cell>
          <cell r="G350" t="str">
            <v>3×8</v>
          </cell>
          <cell r="H350" t="str">
            <v>420-560HV</v>
          </cell>
          <cell r="I350" t="str">
            <v>Ct·O</v>
          </cell>
          <cell r="J350" t="str">
            <v>65Mn</v>
          </cell>
          <cell r="K350">
            <v>190</v>
          </cell>
          <cell r="L350">
            <v>45947</v>
          </cell>
          <cell r="M350" t="str">
            <v>3-配货完成</v>
          </cell>
        </row>
        <row r="350">
          <cell r="O350">
            <v>0</v>
          </cell>
          <cell r="P350" t="str">
            <v>哈尔滨东安实业发展有限公司</v>
          </cell>
          <cell r="Q350" t="str">
            <v>10</v>
          </cell>
        </row>
        <row r="350">
          <cell r="U350" t="str">
            <v/>
          </cell>
          <cell r="V350" t="str">
            <v>BIAOQIAN1</v>
          </cell>
          <cell r="W350" t="str">
            <v/>
          </cell>
          <cell r="X350" t="str">
            <v>XH-000/CP-27-5-2-2</v>
          </cell>
          <cell r="Y350" t="str">
            <v/>
          </cell>
          <cell r="Z350" t="str">
            <v>1906</v>
          </cell>
          <cell r="AA350" t="str">
            <v>1100122539</v>
          </cell>
          <cell r="AB350">
            <v>200</v>
          </cell>
          <cell r="AC350" t="str">
            <v/>
          </cell>
          <cell r="AD350">
            <v>0.4</v>
          </cell>
          <cell r="AE350" t="str">
            <v>G1302-231220-286-H</v>
          </cell>
        </row>
        <row r="351">
          <cell r="B351" t="str">
            <v>7101022897</v>
          </cell>
          <cell r="C351" t="str">
            <v>GW2505-040</v>
          </cell>
          <cell r="D351" t="str">
            <v>000042944239004239</v>
          </cell>
          <cell r="E351" t="str">
            <v>光杆公差带r6抗剪型100°沉头高锁螺栓</v>
          </cell>
          <cell r="F351" t="str">
            <v>GJB134.2-1986</v>
          </cell>
          <cell r="G351" t="str">
            <v>6×14</v>
          </cell>
          <cell r="H351" t="str">
            <v>σb=1175±100MPa</v>
          </cell>
          <cell r="I351" t="str">
            <v>Ct·O+Dp·CA</v>
          </cell>
          <cell r="J351" t="str">
            <v>ML30CrMnSiA</v>
          </cell>
          <cell r="K351">
            <v>34</v>
          </cell>
          <cell r="L351">
            <v>45947</v>
          </cell>
          <cell r="M351" t="str">
            <v>3-配货完成</v>
          </cell>
        </row>
        <row r="351">
          <cell r="O351">
            <v>0</v>
          </cell>
          <cell r="P351" t="str">
            <v>哈尔滨东安实业发展有限公司</v>
          </cell>
          <cell r="Q351" t="str">
            <v>10</v>
          </cell>
        </row>
        <row r="351">
          <cell r="U351" t="str">
            <v/>
          </cell>
          <cell r="V351" t="str">
            <v>PANQIFANG</v>
          </cell>
          <cell r="W351" t="str">
            <v/>
          </cell>
          <cell r="X351" t="str">
            <v>XH-91-4-2-3</v>
          </cell>
          <cell r="Y351" t="str">
            <v/>
          </cell>
          <cell r="Z351" t="str">
            <v>1906</v>
          </cell>
          <cell r="AA351" t="str">
            <v>1100153644</v>
          </cell>
          <cell r="AB351">
            <v>85</v>
          </cell>
          <cell r="AC351" t="str">
            <v/>
          </cell>
          <cell r="AD351">
            <v>101.44</v>
          </cell>
          <cell r="AE351" t="str">
            <v>G-100016975-250925-0053</v>
          </cell>
        </row>
        <row r="352">
          <cell r="B352" t="str">
            <v>7101022886</v>
          </cell>
          <cell r="C352" t="str">
            <v>GW2505-040</v>
          </cell>
          <cell r="D352" t="str">
            <v>000042944239004239</v>
          </cell>
          <cell r="E352" t="str">
            <v>高锁螺栓</v>
          </cell>
          <cell r="F352" t="str">
            <v>GJB134.2-6×14</v>
          </cell>
          <cell r="G352" t="str">
            <v>6×14</v>
          </cell>
          <cell r="H352" t="str">
            <v>σb=1175±100MPa</v>
          </cell>
          <cell r="I352" t="str">
            <v>Ct·O+Dp·CA</v>
          </cell>
          <cell r="J352" t="str">
            <v>ML30CrMnSiA</v>
          </cell>
          <cell r="K352">
            <v>51</v>
          </cell>
          <cell r="L352">
            <v>45947</v>
          </cell>
          <cell r="M352" t="str">
            <v>3-配货完成</v>
          </cell>
        </row>
        <row r="352">
          <cell r="O352">
            <v>0</v>
          </cell>
          <cell r="P352" t="str">
            <v>哈尔滨东安实业发展有限公司</v>
          </cell>
          <cell r="Q352" t="str">
            <v>30</v>
          </cell>
        </row>
        <row r="352">
          <cell r="U352" t="str">
            <v/>
          </cell>
          <cell r="V352" t="str">
            <v>PANQIFANG</v>
          </cell>
          <cell r="W352" t="str">
            <v/>
          </cell>
          <cell r="X352" t="str">
            <v>XH-91-4-2-3</v>
          </cell>
          <cell r="Y352" t="str">
            <v/>
          </cell>
          <cell r="Z352" t="str">
            <v>1906</v>
          </cell>
          <cell r="AA352" t="str">
            <v>1100145380</v>
          </cell>
          <cell r="AB352">
            <v>51</v>
          </cell>
          <cell r="AC352" t="str">
            <v/>
          </cell>
          <cell r="AD352">
            <v>101.4</v>
          </cell>
          <cell r="AE352" t="str">
            <v>G-100016975-250416-0020</v>
          </cell>
        </row>
        <row r="353">
          <cell r="B353" t="str">
            <v>7101020770</v>
          </cell>
          <cell r="C353" t="str">
            <v>G2411-2338</v>
          </cell>
          <cell r="D353" t="str">
            <v>000042944039095271</v>
          </cell>
          <cell r="E353" t="str">
            <v>带键自锁螺套</v>
          </cell>
          <cell r="F353" t="str">
            <v>Q/S15.1119A-6</v>
          </cell>
          <cell r="G353" t="str">
            <v>A-6</v>
          </cell>
          <cell r="H353" t="str">
            <v/>
          </cell>
          <cell r="I353" t="str">
            <v/>
          </cell>
          <cell r="J353" t="str">
            <v>组件</v>
          </cell>
          <cell r="K353">
            <v>120</v>
          </cell>
          <cell r="L353">
            <v>45944</v>
          </cell>
          <cell r="M353" t="str">
            <v>1-已打印</v>
          </cell>
        </row>
        <row r="353">
          <cell r="O353">
            <v>0</v>
          </cell>
          <cell r="P353" t="str">
            <v>哈尔滨东安实业发展有限公司</v>
          </cell>
          <cell r="Q353" t="str">
            <v>20</v>
          </cell>
        </row>
        <row r="353">
          <cell r="U353" t="str">
            <v>010000754260</v>
          </cell>
          <cell r="V353" t="str">
            <v/>
          </cell>
          <cell r="W353" t="str">
            <v/>
          </cell>
          <cell r="X353" t="str">
            <v>CP-C8-4-4-4</v>
          </cell>
          <cell r="Y353" t="str">
            <v/>
          </cell>
          <cell r="Z353" t="str">
            <v>1906</v>
          </cell>
          <cell r="AA353" t="str">
            <v>1100153106</v>
          </cell>
          <cell r="AB353">
            <v>120</v>
          </cell>
          <cell r="AC353" t="str">
            <v>GJ2411-02338</v>
          </cell>
          <cell r="AD353">
            <v>90</v>
          </cell>
          <cell r="AE353" t="str">
            <v>G-100016975-250917-0049</v>
          </cell>
        </row>
        <row r="354">
          <cell r="B354" t="str">
            <v>7101056102</v>
          </cell>
          <cell r="C354" t="str">
            <v>G2505-1800</v>
          </cell>
          <cell r="D354" t="str">
            <v>000042944319132758</v>
          </cell>
          <cell r="E354" t="str">
            <v>环槽螺母</v>
          </cell>
          <cell r="F354" t="str">
            <v>AS4370(F版)</v>
          </cell>
          <cell r="G354" t="str">
            <v>AS4370S06-NL</v>
          </cell>
          <cell r="H354" t="str">
            <v/>
          </cell>
          <cell r="I354" t="str">
            <v>钝化+涂固体膜润滑</v>
          </cell>
          <cell r="J354" t="str">
            <v>AISI347</v>
          </cell>
          <cell r="K354">
            <v>30</v>
          </cell>
          <cell r="L354">
            <v>46020</v>
          </cell>
          <cell r="M354" t="str">
            <v>4-检验完成</v>
          </cell>
        </row>
        <row r="354">
          <cell r="O354">
            <v>0</v>
          </cell>
          <cell r="P354" t="str">
            <v>哈尔滨东安实业发展有限公司</v>
          </cell>
          <cell r="Q354" t="str">
            <v>10</v>
          </cell>
          <cell r="R354">
            <v>46022</v>
          </cell>
        </row>
        <row r="354">
          <cell r="U354" t="str">
            <v>010000829226</v>
          </cell>
          <cell r="V354" t="str">
            <v>BIAOQIAN2</v>
          </cell>
          <cell r="W354" t="str">
            <v/>
          </cell>
          <cell r="X354" t="str">
            <v>CP-108-A</v>
          </cell>
          <cell r="Y354" t="str">
            <v/>
          </cell>
          <cell r="Z354" t="str">
            <v>1906</v>
          </cell>
          <cell r="AA354" t="str">
            <v>1100153447</v>
          </cell>
          <cell r="AB354">
            <v>44</v>
          </cell>
          <cell r="AC354" t="str">
            <v/>
          </cell>
          <cell r="AD354">
            <v>180</v>
          </cell>
          <cell r="AE354" t="str">
            <v>G-100016975-250924-0052</v>
          </cell>
        </row>
        <row r="355">
          <cell r="B355" t="str">
            <v>7101041853</v>
          </cell>
          <cell r="C355" t="str">
            <v>G2502-3076</v>
          </cell>
          <cell r="D355" t="str">
            <v>000042944239004239</v>
          </cell>
          <cell r="E355" t="str">
            <v>光杆公差带r6抗剪型100°沉头高锁螺栓</v>
          </cell>
          <cell r="F355" t="str">
            <v>GJB134.2-6×14</v>
          </cell>
          <cell r="G355" t="str">
            <v>6×14</v>
          </cell>
          <cell r="H355" t="str">
            <v>σb=1175±100MPa</v>
          </cell>
          <cell r="I355" t="str">
            <v>Ct·O+Dp·CA</v>
          </cell>
          <cell r="J355" t="str">
            <v>ML30CrMnSiA</v>
          </cell>
          <cell r="K355">
            <v>120</v>
          </cell>
          <cell r="L355">
            <v>45986</v>
          </cell>
          <cell r="M355" t="str">
            <v>3-配货完成</v>
          </cell>
        </row>
        <row r="355">
          <cell r="O355">
            <v>0</v>
          </cell>
          <cell r="P355" t="str">
            <v>哈尔滨东安实业发展有限公司</v>
          </cell>
          <cell r="Q355" t="str">
            <v>50</v>
          </cell>
        </row>
        <row r="355">
          <cell r="U355" t="str">
            <v>010000789278</v>
          </cell>
          <cell r="V355" t="str">
            <v>BIAOQIAN1</v>
          </cell>
          <cell r="W355" t="str">
            <v/>
          </cell>
          <cell r="X355" t="str">
            <v>CP-108-A</v>
          </cell>
          <cell r="Y355" t="str">
            <v/>
          </cell>
          <cell r="Z355" t="str">
            <v>1906</v>
          </cell>
          <cell r="AA355" t="str">
            <v>1100124770</v>
          </cell>
          <cell r="AB355">
            <v>320</v>
          </cell>
          <cell r="AC355" t="str">
            <v/>
          </cell>
          <cell r="AD355">
            <v>101.44</v>
          </cell>
          <cell r="AE355" t="str">
            <v>G1302-240205-037</v>
          </cell>
        </row>
        <row r="356">
          <cell r="B356" t="str">
            <v>7101030097</v>
          </cell>
          <cell r="C356" t="str">
            <v>G2407-2313</v>
          </cell>
          <cell r="D356" t="str">
            <v>000042944288039751</v>
          </cell>
          <cell r="E356" t="str">
            <v>MJ螺纹双耳游动托板自锁螺母</v>
          </cell>
          <cell r="F356" t="str">
            <v>HB8387-2013</v>
          </cell>
          <cell r="G356" t="str">
            <v>6</v>
          </cell>
          <cell r="H356" t="str">
            <v/>
          </cell>
          <cell r="I356" t="str">
            <v/>
          </cell>
          <cell r="J356" t="str">
            <v>组件</v>
          </cell>
          <cell r="K356">
            <v>91</v>
          </cell>
          <cell r="L356">
            <v>45961</v>
          </cell>
          <cell r="M356" t="str">
            <v>1-已打印</v>
          </cell>
        </row>
        <row r="356">
          <cell r="O356">
            <v>0</v>
          </cell>
          <cell r="P356" t="str">
            <v>哈尔滨东安实业发展有限公司</v>
          </cell>
          <cell r="Q356" t="str">
            <v>50</v>
          </cell>
        </row>
        <row r="356">
          <cell r="U356" t="str">
            <v>010000721131</v>
          </cell>
          <cell r="V356" t="str">
            <v/>
          </cell>
          <cell r="W356" t="str">
            <v/>
          </cell>
          <cell r="X356" t="str">
            <v>CP-108-A</v>
          </cell>
          <cell r="Y356" t="str">
            <v/>
          </cell>
          <cell r="Z356" t="str">
            <v>1906</v>
          </cell>
          <cell r="AA356" t="str">
            <v>1100135389</v>
          </cell>
          <cell r="AB356">
            <v>135</v>
          </cell>
          <cell r="AC356" t="str">
            <v/>
          </cell>
          <cell r="AD356">
            <v>56</v>
          </cell>
          <cell r="AE356" t="str">
            <v>G-100016975-241014-0042-1</v>
          </cell>
        </row>
        <row r="357">
          <cell r="B357" t="str">
            <v>7101022910</v>
          </cell>
          <cell r="C357" t="str">
            <v>G2505-1321</v>
          </cell>
          <cell r="D357" t="str">
            <v>000042944360151880</v>
          </cell>
          <cell r="E357" t="str">
            <v>圆柱销</v>
          </cell>
          <cell r="F357" t="str">
            <v>Q/8S1337.1-2024</v>
          </cell>
          <cell r="G357" t="str">
            <v>A-014</v>
          </cell>
          <cell r="H357" t="str">
            <v>27-35HRC</v>
          </cell>
          <cell r="I357" t="str">
            <v>Ct·P</v>
          </cell>
          <cell r="J357" t="str">
            <v>GH2132</v>
          </cell>
          <cell r="K357">
            <v>15</v>
          </cell>
          <cell r="L357">
            <v>45947</v>
          </cell>
          <cell r="M357" t="str">
            <v>3-配货完成</v>
          </cell>
        </row>
        <row r="357">
          <cell r="O357">
            <v>0</v>
          </cell>
          <cell r="P357" t="str">
            <v>哈尔滨东安实业发展有限公司</v>
          </cell>
          <cell r="Q357" t="str">
            <v>30</v>
          </cell>
        </row>
        <row r="357">
          <cell r="U357" t="str">
            <v>010000827084</v>
          </cell>
          <cell r="V357" t="str">
            <v>BIAOQIAN2</v>
          </cell>
          <cell r="W357" t="str">
            <v/>
          </cell>
          <cell r="X357" t="str">
            <v>CP-108-A</v>
          </cell>
          <cell r="Y357" t="str">
            <v/>
          </cell>
          <cell r="Z357" t="str">
            <v>1906</v>
          </cell>
          <cell r="AA357" t="str">
            <v>1100141949</v>
          </cell>
          <cell r="AB357">
            <v>15</v>
          </cell>
          <cell r="AC357" t="str">
            <v/>
          </cell>
          <cell r="AD357">
            <v>34.83</v>
          </cell>
          <cell r="AE357" t="str">
            <v>G-100016975-250221-0010-1</v>
          </cell>
        </row>
        <row r="358">
          <cell r="B358" t="str">
            <v>7101022902</v>
          </cell>
          <cell r="C358" t="str">
            <v>GW2408-003</v>
          </cell>
          <cell r="D358" t="str">
            <v>000042944360004322</v>
          </cell>
          <cell r="E358" t="str">
            <v>弹性圆柱销</v>
          </cell>
          <cell r="F358" t="str">
            <v>GB879-1986</v>
          </cell>
          <cell r="G358" t="str">
            <v>3×8</v>
          </cell>
          <cell r="H358" t="str">
            <v>420-560HV</v>
          </cell>
          <cell r="I358" t="str">
            <v>Ct·O</v>
          </cell>
          <cell r="J358" t="str">
            <v>65Mn</v>
          </cell>
          <cell r="K358">
            <v>190</v>
          </cell>
          <cell r="L358">
            <v>45947</v>
          </cell>
          <cell r="M358" t="str">
            <v>3-配货完成</v>
          </cell>
        </row>
        <row r="358">
          <cell r="O358">
            <v>0</v>
          </cell>
          <cell r="P358" t="str">
            <v>哈尔滨东安实业发展有限公司</v>
          </cell>
          <cell r="Q358" t="str">
            <v>10</v>
          </cell>
        </row>
        <row r="358">
          <cell r="U358" t="str">
            <v/>
          </cell>
          <cell r="V358" t="str">
            <v>BIAOQIAN1</v>
          </cell>
          <cell r="W358" t="str">
            <v/>
          </cell>
          <cell r="X358" t="str">
            <v>XH-000/CP-27-5-2-2</v>
          </cell>
          <cell r="Y358" t="str">
            <v/>
          </cell>
          <cell r="Z358" t="str">
            <v>1906</v>
          </cell>
          <cell r="AA358" t="str">
            <v>1100122539</v>
          </cell>
          <cell r="AB358">
            <v>200</v>
          </cell>
          <cell r="AC358" t="str">
            <v/>
          </cell>
          <cell r="AD358">
            <v>0.4</v>
          </cell>
          <cell r="AE358" t="str">
            <v>G1302-231220-286-H</v>
          </cell>
        </row>
        <row r="359">
          <cell r="B359" t="str">
            <v>7101022897</v>
          </cell>
          <cell r="C359" t="str">
            <v>GW2505-040</v>
          </cell>
          <cell r="D359" t="str">
            <v>000042944239004239</v>
          </cell>
          <cell r="E359" t="str">
            <v>光杆公差带r6抗剪型100°沉头高锁螺栓</v>
          </cell>
          <cell r="F359" t="str">
            <v>GJB134.2-1986</v>
          </cell>
          <cell r="G359" t="str">
            <v>6×14</v>
          </cell>
          <cell r="H359" t="str">
            <v>σb=1175±100MPa</v>
          </cell>
          <cell r="I359" t="str">
            <v>Ct·O+Dp·CA</v>
          </cell>
          <cell r="J359" t="str">
            <v>ML30CrMnSiA</v>
          </cell>
          <cell r="K359">
            <v>34</v>
          </cell>
          <cell r="L359">
            <v>45947</v>
          </cell>
          <cell r="M359" t="str">
            <v>3-配货完成</v>
          </cell>
        </row>
        <row r="359">
          <cell r="O359">
            <v>0</v>
          </cell>
          <cell r="P359" t="str">
            <v>哈尔滨东安实业发展有限公司</v>
          </cell>
          <cell r="Q359" t="str">
            <v>10</v>
          </cell>
        </row>
        <row r="359">
          <cell r="U359" t="str">
            <v/>
          </cell>
          <cell r="V359" t="str">
            <v>PANQIFANG</v>
          </cell>
          <cell r="W359" t="str">
            <v/>
          </cell>
          <cell r="X359" t="str">
            <v>XH-91-4-2-3</v>
          </cell>
          <cell r="Y359" t="str">
            <v/>
          </cell>
          <cell r="Z359" t="str">
            <v>1906</v>
          </cell>
          <cell r="AA359" t="str">
            <v>1100153644</v>
          </cell>
          <cell r="AB359">
            <v>85</v>
          </cell>
          <cell r="AC359" t="str">
            <v/>
          </cell>
          <cell r="AD359">
            <v>101.44</v>
          </cell>
          <cell r="AE359" t="str">
            <v>G-100016975-250925-0053</v>
          </cell>
        </row>
        <row r="360">
          <cell r="B360" t="str">
            <v>7101022886</v>
          </cell>
          <cell r="C360" t="str">
            <v>GW2505-040</v>
          </cell>
          <cell r="D360" t="str">
            <v>000042944239004239</v>
          </cell>
          <cell r="E360" t="str">
            <v>高锁螺栓</v>
          </cell>
          <cell r="F360" t="str">
            <v>GJB134.2-6×14</v>
          </cell>
          <cell r="G360" t="str">
            <v>6×14</v>
          </cell>
          <cell r="H360" t="str">
            <v>σb=1175±100MPa</v>
          </cell>
          <cell r="I360" t="str">
            <v>Ct·O+Dp·CA</v>
          </cell>
          <cell r="J360" t="str">
            <v>ML30CrMnSiA</v>
          </cell>
          <cell r="K360">
            <v>51</v>
          </cell>
          <cell r="L360">
            <v>45947</v>
          </cell>
          <cell r="M360" t="str">
            <v>3-配货完成</v>
          </cell>
        </row>
        <row r="360">
          <cell r="O360">
            <v>0</v>
          </cell>
          <cell r="P360" t="str">
            <v>哈尔滨东安实业发展有限公司</v>
          </cell>
          <cell r="Q360" t="str">
            <v>30</v>
          </cell>
        </row>
        <row r="360">
          <cell r="U360" t="str">
            <v/>
          </cell>
          <cell r="V360" t="str">
            <v>PANQIFANG</v>
          </cell>
          <cell r="W360" t="str">
            <v/>
          </cell>
          <cell r="X360" t="str">
            <v>XH-91-4-2-3</v>
          </cell>
          <cell r="Y360" t="str">
            <v/>
          </cell>
          <cell r="Z360" t="str">
            <v>1906</v>
          </cell>
          <cell r="AA360" t="str">
            <v>1100145380</v>
          </cell>
          <cell r="AB360">
            <v>51</v>
          </cell>
          <cell r="AC360" t="str">
            <v/>
          </cell>
          <cell r="AD360">
            <v>101.4</v>
          </cell>
          <cell r="AE360" t="str">
            <v>G-100016975-250416-0020</v>
          </cell>
        </row>
        <row r="361">
          <cell r="B361" t="str">
            <v>7101020770</v>
          </cell>
          <cell r="C361" t="str">
            <v>G2411-2338</v>
          </cell>
          <cell r="D361" t="str">
            <v>000042944039095271</v>
          </cell>
          <cell r="E361" t="str">
            <v>带键自锁螺套</v>
          </cell>
          <cell r="F361" t="str">
            <v>Q/S15.1119A-6</v>
          </cell>
          <cell r="G361" t="str">
            <v>A-6</v>
          </cell>
          <cell r="H361" t="str">
            <v/>
          </cell>
          <cell r="I361" t="str">
            <v/>
          </cell>
          <cell r="J361" t="str">
            <v>组件</v>
          </cell>
          <cell r="K361">
            <v>120</v>
          </cell>
          <cell r="L361">
            <v>45944</v>
          </cell>
          <cell r="M361" t="str">
            <v>1-已打印</v>
          </cell>
        </row>
        <row r="361">
          <cell r="O361">
            <v>0</v>
          </cell>
          <cell r="P361" t="str">
            <v>哈尔滨东安实业发展有限公司</v>
          </cell>
          <cell r="Q361" t="str">
            <v>20</v>
          </cell>
        </row>
        <row r="361">
          <cell r="U361" t="str">
            <v>010000754260</v>
          </cell>
          <cell r="V361" t="str">
            <v/>
          </cell>
          <cell r="W361" t="str">
            <v/>
          </cell>
          <cell r="X361" t="str">
            <v>CP-C8-4-4-4</v>
          </cell>
          <cell r="Y361" t="str">
            <v/>
          </cell>
          <cell r="Z361" t="str">
            <v>1906</v>
          </cell>
          <cell r="AA361" t="str">
            <v>1100153106</v>
          </cell>
          <cell r="AB361">
            <v>120</v>
          </cell>
          <cell r="AC361" t="str">
            <v>GJ2411-02338</v>
          </cell>
          <cell r="AD361">
            <v>90</v>
          </cell>
          <cell r="AE361" t="str">
            <v>G-100016975-250917-0049</v>
          </cell>
        </row>
        <row r="362">
          <cell r="B362">
            <v>7101062008</v>
          </cell>
          <cell r="C362" t="str">
            <v>G2511-1288</v>
          </cell>
          <cell r="D362">
            <v>42944039122089</v>
          </cell>
          <cell r="E362" t="str">
            <v>加长带键自锁螺套</v>
          </cell>
          <cell r="F362" t="str">
            <v>Q/S15.1120A-6</v>
          </cell>
          <cell r="G362" t="str">
            <v>A-6</v>
          </cell>
        </row>
        <row r="362">
          <cell r="J362" t="str">
            <v>组件</v>
          </cell>
          <cell r="K362">
            <v>116</v>
          </cell>
          <cell r="L362" t="str">
            <v>2026.01.12</v>
          </cell>
          <cell r="M362" t="str">
            <v>3-配货完成</v>
          </cell>
        </row>
        <row r="362">
          <cell r="P362" t="str">
            <v>哈尔滨东安实业发展有限公司</v>
          </cell>
          <cell r="Q362">
            <v>10</v>
          </cell>
        </row>
        <row r="362">
          <cell r="U362">
            <v>10000885460</v>
          </cell>
          <cell r="V362" t="str">
            <v>BIAOQIAN2</v>
          </cell>
        </row>
        <row r="362">
          <cell r="X362" t="str">
            <v>CP-108-A</v>
          </cell>
        </row>
        <row r="362">
          <cell r="Z362">
            <v>1906</v>
          </cell>
          <cell r="AA362">
            <v>1100152545</v>
          </cell>
          <cell r="AB362">
            <v>700</v>
          </cell>
        </row>
        <row r="362">
          <cell r="AD362">
            <v>225</v>
          </cell>
          <cell r="AE362" t="str">
            <v>G-100016975-250905-0043</v>
          </cell>
        </row>
        <row r="363">
          <cell r="B363">
            <v>7101062007</v>
          </cell>
          <cell r="C363" t="str">
            <v>G2509-1193</v>
          </cell>
          <cell r="D363">
            <v>42944039122089</v>
          </cell>
          <cell r="E363" t="str">
            <v>加长带键自锁螺套</v>
          </cell>
          <cell r="F363" t="str">
            <v>Q/S15.1120A-6</v>
          </cell>
          <cell r="G363" t="str">
            <v>A-6</v>
          </cell>
        </row>
        <row r="363">
          <cell r="J363" t="str">
            <v>组件</v>
          </cell>
          <cell r="K363">
            <v>485</v>
          </cell>
          <cell r="L363" t="str">
            <v>2026.01.12</v>
          </cell>
          <cell r="M363" t="str">
            <v>3-配货完成</v>
          </cell>
        </row>
        <row r="363">
          <cell r="P363" t="str">
            <v>哈尔滨东安实业发展有限公司</v>
          </cell>
          <cell r="Q363">
            <v>10</v>
          </cell>
        </row>
        <row r="363">
          <cell r="U363">
            <v>10000863141</v>
          </cell>
          <cell r="V363" t="str">
            <v>BIAOQIAN4</v>
          </cell>
        </row>
        <row r="363">
          <cell r="X363" t="str">
            <v>CP-108-A</v>
          </cell>
        </row>
        <row r="363">
          <cell r="Z363">
            <v>1906</v>
          </cell>
          <cell r="AA363">
            <v>1100152545</v>
          </cell>
          <cell r="AB363">
            <v>700</v>
          </cell>
        </row>
        <row r="363">
          <cell r="AD363">
            <v>225</v>
          </cell>
          <cell r="AE363" t="str">
            <v>G-100016975-250905-0043</v>
          </cell>
        </row>
        <row r="364">
          <cell r="B364" t="str">
            <v>7101062688</v>
          </cell>
          <cell r="C364" t="str">
            <v>G2512-0932</v>
          </cell>
          <cell r="D364" t="str">
            <v>000042944319139776</v>
          </cell>
          <cell r="E364" t="str">
            <v>外套螺母</v>
          </cell>
          <cell r="F364" t="str">
            <v>CEE4006R06NL</v>
          </cell>
          <cell r="G364" t="str">
            <v>CEE4006R06NL</v>
          </cell>
          <cell r="H364" t="str">
            <v/>
          </cell>
          <cell r="I364" t="str">
            <v>钝化+干膜润滑</v>
          </cell>
          <cell r="J364" t="str">
            <v>321</v>
          </cell>
          <cell r="K364">
            <v>4</v>
          </cell>
          <cell r="L364">
            <v>46035</v>
          </cell>
          <cell r="M364" t="str">
            <v>3-配货完成</v>
          </cell>
        </row>
        <row r="364">
          <cell r="O364">
            <v>0</v>
          </cell>
          <cell r="P364" t="str">
            <v>哈尔滨东安实业发展有限公司</v>
          </cell>
          <cell r="Q364" t="str">
            <v>10</v>
          </cell>
        </row>
        <row r="364">
          <cell r="U364" t="str">
            <v>010000892897</v>
          </cell>
          <cell r="V364" t="str">
            <v>BIAOQIAN2</v>
          </cell>
          <cell r="W364" t="str">
            <v/>
          </cell>
          <cell r="X364" t="str">
            <v/>
          </cell>
          <cell r="Y364" t="str">
            <v/>
          </cell>
          <cell r="Z364" t="str">
            <v>1906</v>
          </cell>
          <cell r="AA364" t="str">
            <v>1100156954</v>
          </cell>
          <cell r="AB364">
            <v>7</v>
          </cell>
          <cell r="AC364" t="str">
            <v/>
          </cell>
          <cell r="AD364">
            <v>20</v>
          </cell>
          <cell r="AE364" t="str">
            <v>G-100016975-251204-0077XH</v>
          </cell>
        </row>
        <row r="365">
          <cell r="B365" t="str">
            <v>7101062440</v>
          </cell>
          <cell r="C365" t="str">
            <v>G2402-0258</v>
          </cell>
          <cell r="D365" t="str">
            <v>000042944000020596</v>
          </cell>
          <cell r="E365" t="str">
            <v>波形弹性卡箍</v>
          </cell>
          <cell r="F365" t="str">
            <v>8S.DFD20.9.002</v>
          </cell>
          <cell r="G365" t="str">
            <v>-</v>
          </cell>
          <cell r="H365" t="str">
            <v/>
          </cell>
          <cell r="I365" t="str">
            <v/>
          </cell>
          <cell r="J365" t="str">
            <v>0Cr18Ni9</v>
          </cell>
          <cell r="K365">
            <v>18</v>
          </cell>
          <cell r="L365">
            <v>46035</v>
          </cell>
          <cell r="M365" t="str">
            <v>3-配货完成</v>
          </cell>
        </row>
        <row r="365">
          <cell r="O365">
            <v>0</v>
          </cell>
          <cell r="P365" t="str">
            <v>哈尔滨东安实业发展有限公司</v>
          </cell>
          <cell r="Q365" t="str">
            <v>20</v>
          </cell>
        </row>
        <row r="365">
          <cell r="U365" t="str">
            <v>010000673055</v>
          </cell>
          <cell r="V365" t="str">
            <v>BIAOQIAN1</v>
          </cell>
          <cell r="W365" t="str">
            <v/>
          </cell>
          <cell r="X365" t="str">
            <v>CP-64-2-4-4</v>
          </cell>
          <cell r="Y365" t="str">
            <v/>
          </cell>
          <cell r="Z365" t="str">
            <v>1906</v>
          </cell>
          <cell r="AA365" t="str">
            <v>1100158737</v>
          </cell>
          <cell r="AB365">
            <v>62</v>
          </cell>
          <cell r="AC365" t="str">
            <v/>
          </cell>
          <cell r="AD365">
            <v>50</v>
          </cell>
          <cell r="AE365" t="str">
            <v>G-100016975-260109-0004</v>
          </cell>
        </row>
        <row r="366">
          <cell r="B366" t="str">
            <v>7101062440</v>
          </cell>
          <cell r="C366" t="str">
            <v>G2502-1604</v>
          </cell>
          <cell r="D366" t="str">
            <v>000042944000020595</v>
          </cell>
          <cell r="E366" t="str">
            <v>波形弹性卡箍</v>
          </cell>
          <cell r="F366" t="str">
            <v>8S.DFD20.9.001</v>
          </cell>
          <cell r="G366" t="str">
            <v>-</v>
          </cell>
          <cell r="H366" t="str">
            <v/>
          </cell>
          <cell r="I366" t="str">
            <v/>
          </cell>
          <cell r="J366" t="str">
            <v>0Cr18Ni9</v>
          </cell>
          <cell r="K366">
            <v>20</v>
          </cell>
          <cell r="L366">
            <v>46035</v>
          </cell>
          <cell r="M366" t="str">
            <v>3-配货完成</v>
          </cell>
        </row>
        <row r="366">
          <cell r="O366">
            <v>0</v>
          </cell>
          <cell r="P366" t="str">
            <v>哈尔滨东安实业发展有限公司</v>
          </cell>
          <cell r="Q366" t="str">
            <v>10</v>
          </cell>
        </row>
        <row r="366">
          <cell r="U366" t="str">
            <v>010000783723</v>
          </cell>
          <cell r="V366" t="str">
            <v>BIAOQIAN1</v>
          </cell>
          <cell r="W366" t="str">
            <v/>
          </cell>
          <cell r="X366" t="str">
            <v>CP-57-3-1-9</v>
          </cell>
          <cell r="Y366" t="str">
            <v/>
          </cell>
          <cell r="Z366" t="str">
            <v>1906</v>
          </cell>
          <cell r="AA366" t="str">
            <v>1100158737</v>
          </cell>
          <cell r="AB366">
            <v>273</v>
          </cell>
          <cell r="AC366" t="str">
            <v/>
          </cell>
          <cell r="AD366">
            <v>50</v>
          </cell>
          <cell r="AE366" t="str">
            <v>G-100016975-260109-0004</v>
          </cell>
        </row>
        <row r="367">
          <cell r="B367" t="str">
            <v>7101062008</v>
          </cell>
          <cell r="C367" t="str">
            <v>G2511-1288</v>
          </cell>
          <cell r="D367" t="str">
            <v>000042944039122089</v>
          </cell>
          <cell r="E367" t="str">
            <v>加长带键自锁螺套</v>
          </cell>
          <cell r="F367" t="str">
            <v>Q/S15.1120A-6</v>
          </cell>
          <cell r="G367" t="str">
            <v>A-6</v>
          </cell>
          <cell r="H367" t="str">
            <v/>
          </cell>
          <cell r="I367" t="str">
            <v/>
          </cell>
          <cell r="J367" t="str">
            <v>组件</v>
          </cell>
          <cell r="K367">
            <v>116</v>
          </cell>
          <cell r="L367">
            <v>46034</v>
          </cell>
          <cell r="M367" t="str">
            <v>3-配货完成</v>
          </cell>
        </row>
        <row r="367">
          <cell r="O367">
            <v>0</v>
          </cell>
          <cell r="P367" t="str">
            <v>哈尔滨东安实业发展有限公司</v>
          </cell>
          <cell r="Q367" t="str">
            <v>10</v>
          </cell>
        </row>
        <row r="367">
          <cell r="U367" t="str">
            <v>010000885460</v>
          </cell>
          <cell r="V367" t="str">
            <v>BIAOQIAN2</v>
          </cell>
          <cell r="W367" t="str">
            <v/>
          </cell>
          <cell r="X367" t="str">
            <v>CP-108-A</v>
          </cell>
          <cell r="Y367" t="str">
            <v/>
          </cell>
          <cell r="Z367" t="str">
            <v>1906</v>
          </cell>
          <cell r="AA367" t="str">
            <v>1100152545</v>
          </cell>
          <cell r="AB367">
            <v>700</v>
          </cell>
          <cell r="AC367" t="str">
            <v/>
          </cell>
          <cell r="AD367">
            <v>225</v>
          </cell>
          <cell r="AE367" t="str">
            <v>G-100016975-250905-0043</v>
          </cell>
        </row>
        <row r="368">
          <cell r="B368" t="str">
            <v>7101061694</v>
          </cell>
          <cell r="C368" t="str">
            <v>G2511-0567</v>
          </cell>
          <cell r="D368" t="str">
            <v>000042944240123192</v>
          </cell>
          <cell r="E368" t="str">
            <v>拧入钢件MJ螺纹过盈螺桩</v>
          </cell>
          <cell r="F368" t="str">
            <v>CE3002-CG6×1×34-1</v>
          </cell>
          <cell r="G368" t="str">
            <v>CE3002-CG6×1×34-1</v>
          </cell>
          <cell r="H368" t="str">
            <v>HRC26.5-35</v>
          </cell>
          <cell r="I368" t="str">
            <v>镀锌3-5μm</v>
          </cell>
          <cell r="J368" t="str">
            <v>30CrMnSiA</v>
          </cell>
          <cell r="K368">
            <v>50</v>
          </cell>
          <cell r="L368">
            <v>46033</v>
          </cell>
          <cell r="M368" t="str">
            <v>3-配货完成</v>
          </cell>
        </row>
        <row r="368">
          <cell r="O368">
            <v>0</v>
          </cell>
          <cell r="P368" t="str">
            <v>哈尔滨东安实业发展有限公司</v>
          </cell>
          <cell r="Q368" t="str">
            <v>10</v>
          </cell>
        </row>
        <row r="368">
          <cell r="U368" t="str">
            <v>010000881701</v>
          </cell>
          <cell r="V368" t="str">
            <v>BIAOQIAN4</v>
          </cell>
          <cell r="W368" t="str">
            <v/>
          </cell>
          <cell r="X368" t="str">
            <v>CP-108-A</v>
          </cell>
          <cell r="Y368" t="str">
            <v/>
          </cell>
          <cell r="Z368" t="str">
            <v>1906</v>
          </cell>
          <cell r="AA368" t="str">
            <v>1100155391</v>
          </cell>
          <cell r="AB368">
            <v>50</v>
          </cell>
          <cell r="AC368" t="str">
            <v/>
          </cell>
          <cell r="AD368">
            <v>56.96</v>
          </cell>
          <cell r="AE368" t="str">
            <v>G-100016975-251105-0064</v>
          </cell>
        </row>
        <row r="369">
          <cell r="B369" t="str">
            <v>7101060200</v>
          </cell>
          <cell r="C369" t="str">
            <v>G2509-1561</v>
          </cell>
          <cell r="D369" t="str">
            <v>000042944999136227</v>
          </cell>
          <cell r="E369" t="str">
            <v>锯齿锁环</v>
          </cell>
          <cell r="F369" t="str">
            <v>MS51990E106P</v>
          </cell>
          <cell r="G369" t="str">
            <v>MS51990E106P</v>
          </cell>
          <cell r="H369" t="str">
            <v>≥269HB</v>
          </cell>
          <cell r="I369" t="str">
            <v>钝化</v>
          </cell>
          <cell r="J369" t="str">
            <v>A286</v>
          </cell>
          <cell r="K369">
            <v>203</v>
          </cell>
          <cell r="L369">
            <v>46030</v>
          </cell>
          <cell r="M369" t="str">
            <v>3-配货完成</v>
          </cell>
        </row>
        <row r="369">
          <cell r="O369">
            <v>0</v>
          </cell>
          <cell r="P369" t="str">
            <v>哈尔滨东安实业发展有限公司</v>
          </cell>
          <cell r="Q369" t="str">
            <v>20</v>
          </cell>
        </row>
        <row r="369">
          <cell r="U369" t="str">
            <v>010000864053</v>
          </cell>
          <cell r="V369" t="str">
            <v>BIAOQIAN4</v>
          </cell>
          <cell r="W369" t="str">
            <v/>
          </cell>
          <cell r="X369" t="str">
            <v>CP-108-A</v>
          </cell>
          <cell r="Y369" t="str">
            <v/>
          </cell>
          <cell r="Z369" t="str">
            <v>1906</v>
          </cell>
          <cell r="AA369" t="str">
            <v>1100152712</v>
          </cell>
          <cell r="AB369">
            <v>203</v>
          </cell>
          <cell r="AC369" t="str">
            <v/>
          </cell>
          <cell r="AD369">
            <v>20</v>
          </cell>
          <cell r="AE369" t="str">
            <v>G-100016975-250905-0044</v>
          </cell>
        </row>
        <row r="370">
          <cell r="B370" t="str">
            <v>7101059180</v>
          </cell>
          <cell r="C370" t="str">
            <v>G2512-0590</v>
          </cell>
          <cell r="D370" t="str">
            <v>000042944000046747</v>
          </cell>
          <cell r="E370" t="str">
            <v>带键锁紧螺套</v>
          </cell>
          <cell r="F370" t="str">
            <v>HCB-42-819</v>
          </cell>
          <cell r="G370" t="str">
            <v>-</v>
          </cell>
          <cell r="H370" t="str">
            <v/>
          </cell>
          <cell r="I370" t="str">
            <v/>
          </cell>
          <cell r="J370" t="str">
            <v>组件</v>
          </cell>
          <cell r="K370">
            <v>29</v>
          </cell>
          <cell r="L370">
            <v>46029</v>
          </cell>
          <cell r="M370" t="str">
            <v>3-配货完成</v>
          </cell>
        </row>
        <row r="370">
          <cell r="O370">
            <v>0</v>
          </cell>
          <cell r="P370" t="str">
            <v>哈尔滨东安实业发展有限公司</v>
          </cell>
          <cell r="Q370" t="str">
            <v>190</v>
          </cell>
        </row>
        <row r="370">
          <cell r="U370" t="str">
            <v>010000891623</v>
          </cell>
          <cell r="V370" t="str">
            <v>BIAOQIAN1</v>
          </cell>
          <cell r="W370" t="str">
            <v/>
          </cell>
          <cell r="X370" t="str">
            <v>CP-108-A</v>
          </cell>
          <cell r="Y370" t="str">
            <v/>
          </cell>
          <cell r="Z370" t="str">
            <v>1906</v>
          </cell>
          <cell r="AA370" t="str">
            <v>1100141177</v>
          </cell>
          <cell r="AB370">
            <v>50</v>
          </cell>
          <cell r="AC370" t="str">
            <v/>
          </cell>
          <cell r="AD370">
            <v>50</v>
          </cell>
          <cell r="AE370" t="str">
            <v>G-100016975-250210-0006-1</v>
          </cell>
        </row>
        <row r="371">
          <cell r="B371" t="str">
            <v>7101059167</v>
          </cell>
          <cell r="C371" t="str">
            <v>G2510-1288</v>
          </cell>
          <cell r="D371" t="str">
            <v>000042944000160514</v>
          </cell>
          <cell r="E371" t="str">
            <v>熔焊型导管接嘴</v>
          </cell>
          <cell r="F371" t="str">
            <v>CE8004-1-05B</v>
          </cell>
          <cell r="G371" t="str">
            <v>CE8004-1-05B</v>
          </cell>
          <cell r="H371" t="str">
            <v/>
          </cell>
          <cell r="I371" t="str">
            <v>化学钝化</v>
          </cell>
          <cell r="J371" t="str">
            <v>321</v>
          </cell>
          <cell r="K371">
            <v>50</v>
          </cell>
          <cell r="L371">
            <v>46029</v>
          </cell>
          <cell r="M371" t="str">
            <v>4-检验完成</v>
          </cell>
        </row>
        <row r="371">
          <cell r="O371">
            <v>0</v>
          </cell>
          <cell r="P371" t="str">
            <v>哈尔滨东安实业发展有限公司</v>
          </cell>
          <cell r="Q371" t="str">
            <v>20</v>
          </cell>
          <cell r="R371">
            <v>46035</v>
          </cell>
        </row>
        <row r="371">
          <cell r="U371" t="str">
            <v>010000876180</v>
          </cell>
          <cell r="V371" t="str">
            <v>BIAOQIAN1</v>
          </cell>
          <cell r="W371" t="str">
            <v/>
          </cell>
          <cell r="X371" t="str">
            <v>CP-108-A</v>
          </cell>
          <cell r="Y371" t="str">
            <v/>
          </cell>
          <cell r="Z371" t="str">
            <v>1906</v>
          </cell>
          <cell r="AA371" t="str">
            <v>1100152863</v>
          </cell>
          <cell r="AB371">
            <v>50</v>
          </cell>
          <cell r="AC371" t="str">
            <v/>
          </cell>
          <cell r="AD371">
            <v>20</v>
          </cell>
          <cell r="AE371" t="str">
            <v>G-100016975-250909-0045</v>
          </cell>
        </row>
        <row r="372">
          <cell r="B372" t="str">
            <v>7101059155</v>
          </cell>
          <cell r="C372" t="str">
            <v>G2501-2504</v>
          </cell>
          <cell r="D372" t="str">
            <v>000042944288117418</v>
          </cell>
          <cell r="E372" t="str">
            <v>双耳游动自锁托板螺母</v>
          </cell>
          <cell r="F372" t="str">
            <v>AS3481-04</v>
          </cell>
          <cell r="G372" t="str">
            <v>AS3481-04</v>
          </cell>
          <cell r="H372" t="str">
            <v/>
          </cell>
          <cell r="I372" t="str">
            <v/>
          </cell>
          <cell r="J372" t="str">
            <v>组件</v>
          </cell>
          <cell r="K372">
            <v>90</v>
          </cell>
          <cell r="L372">
            <v>46029</v>
          </cell>
          <cell r="M372" t="str">
            <v>3-配货完成</v>
          </cell>
        </row>
        <row r="372">
          <cell r="O372">
            <v>0</v>
          </cell>
          <cell r="P372" t="str">
            <v>哈尔滨东安实业发展有限公司</v>
          </cell>
          <cell r="Q372" t="str">
            <v>10</v>
          </cell>
        </row>
        <row r="372">
          <cell r="U372" t="str">
            <v>010000777605</v>
          </cell>
          <cell r="V372" t="str">
            <v>BIAOQIAN2</v>
          </cell>
          <cell r="W372" t="str">
            <v/>
          </cell>
          <cell r="X372" t="str">
            <v>CP-108-A</v>
          </cell>
          <cell r="Y372" t="str">
            <v/>
          </cell>
          <cell r="Z372" t="str">
            <v>1906</v>
          </cell>
          <cell r="AA372" t="str">
            <v>1100158064</v>
          </cell>
          <cell r="AB372">
            <v>90</v>
          </cell>
          <cell r="AC372" t="str">
            <v/>
          </cell>
          <cell r="AD372">
            <v>41.52</v>
          </cell>
          <cell r="AE372" t="str">
            <v>G-100016975-260105-0002</v>
          </cell>
        </row>
        <row r="373">
          <cell r="B373" t="str">
            <v>7101058736</v>
          </cell>
          <cell r="C373" t="str">
            <v>G2512-1002</v>
          </cell>
          <cell r="D373" t="str">
            <v>000042944440114463</v>
          </cell>
          <cell r="E373" t="str">
            <v>钢丝挡圈</v>
          </cell>
          <cell r="F373" t="str">
            <v>Q/2S5335-2013</v>
          </cell>
          <cell r="G373" t="str">
            <v>6</v>
          </cell>
          <cell r="H373" t="str">
            <v/>
          </cell>
          <cell r="I373" t="str">
            <v/>
          </cell>
          <cell r="J373" t="str">
            <v>GH4145</v>
          </cell>
          <cell r="K373">
            <v>100</v>
          </cell>
          <cell r="L373">
            <v>46028</v>
          </cell>
          <cell r="M373" t="str">
            <v>3-配货完成</v>
          </cell>
        </row>
        <row r="373">
          <cell r="O373">
            <v>0</v>
          </cell>
          <cell r="P373" t="str">
            <v>哈尔滨东安实业发展有限公司</v>
          </cell>
          <cell r="Q373" t="str">
            <v>10</v>
          </cell>
        </row>
        <row r="373">
          <cell r="U373" t="str">
            <v>010000893047</v>
          </cell>
          <cell r="V373" t="str">
            <v>BIAOQIAN2</v>
          </cell>
          <cell r="W373" t="str">
            <v/>
          </cell>
          <cell r="X373" t="str">
            <v>CP-108-A</v>
          </cell>
          <cell r="Y373" t="str">
            <v/>
          </cell>
          <cell r="Z373" t="str">
            <v>1906</v>
          </cell>
          <cell r="AA373" t="str">
            <v>1100156803</v>
          </cell>
          <cell r="AB373">
            <v>100</v>
          </cell>
          <cell r="AC373" t="str">
            <v/>
          </cell>
          <cell r="AD373">
            <v>25</v>
          </cell>
          <cell r="AE373" t="str">
            <v>G-100016975-251202-0073</v>
          </cell>
        </row>
        <row r="374">
          <cell r="B374" t="str">
            <v>7101057638</v>
          </cell>
          <cell r="C374" t="str">
            <v>G2510-0069</v>
          </cell>
          <cell r="D374" t="str">
            <v>000042944239006862</v>
          </cell>
          <cell r="E374" t="str">
            <v>半圆头螺栓</v>
          </cell>
          <cell r="F374" t="str">
            <v>HB1-152-4×34</v>
          </cell>
          <cell r="G374" t="str">
            <v>4×34</v>
          </cell>
          <cell r="H374" t="str">
            <v>σb=1175±100MPa</v>
          </cell>
          <cell r="I374" t="str">
            <v>Ep·Zn·c2C</v>
          </cell>
          <cell r="J374" t="str">
            <v>ML30CrMnSiA</v>
          </cell>
          <cell r="K374">
            <v>500</v>
          </cell>
          <cell r="L374">
            <v>46027</v>
          </cell>
          <cell r="M374" t="str">
            <v>4-检验完成</v>
          </cell>
        </row>
        <row r="374">
          <cell r="O374">
            <v>0</v>
          </cell>
          <cell r="P374" t="str">
            <v>哈尔滨东安实业发展有限公司</v>
          </cell>
          <cell r="Q374" t="str">
            <v>60</v>
          </cell>
          <cell r="R374">
            <v>46030</v>
          </cell>
        </row>
        <row r="374">
          <cell r="U374" t="str">
            <v>010000870675</v>
          </cell>
          <cell r="V374" t="str">
            <v>BIAOQIAN3</v>
          </cell>
          <cell r="W374" t="str">
            <v/>
          </cell>
          <cell r="X374" t="str">
            <v>CP-108-A</v>
          </cell>
          <cell r="Y374" t="str">
            <v/>
          </cell>
          <cell r="Z374" t="str">
            <v>1906</v>
          </cell>
          <cell r="AA374" t="str">
            <v>1100153644</v>
          </cell>
          <cell r="AB374">
            <v>500</v>
          </cell>
          <cell r="AC374" t="str">
            <v/>
          </cell>
          <cell r="AD374">
            <v>15</v>
          </cell>
          <cell r="AE374" t="str">
            <v>G-100016975-250925-0053</v>
          </cell>
        </row>
        <row r="375">
          <cell r="B375" t="str">
            <v>7101041853</v>
          </cell>
          <cell r="C375" t="str">
            <v>G2502-3076</v>
          </cell>
          <cell r="D375" t="str">
            <v>000042944239004239</v>
          </cell>
          <cell r="E375" t="str">
            <v>光杆公差带r6抗剪型100°沉头高锁螺栓</v>
          </cell>
          <cell r="F375" t="str">
            <v>GJB134.2-6×14</v>
          </cell>
          <cell r="G375" t="str">
            <v>6×14</v>
          </cell>
          <cell r="H375" t="str">
            <v>σb=1175±100MPa</v>
          </cell>
          <cell r="I375" t="str">
            <v>Ct·O+Dp·CA</v>
          </cell>
          <cell r="J375" t="str">
            <v>ML30CrMnSiA</v>
          </cell>
          <cell r="K375">
            <v>120</v>
          </cell>
          <cell r="L375">
            <v>45986</v>
          </cell>
          <cell r="M375" t="str">
            <v>3-配货完成</v>
          </cell>
        </row>
        <row r="375">
          <cell r="O375">
            <v>0</v>
          </cell>
          <cell r="P375" t="str">
            <v>哈尔滨东安实业发展有限公司</v>
          </cell>
          <cell r="Q375" t="str">
            <v>50</v>
          </cell>
        </row>
        <row r="375">
          <cell r="U375" t="str">
            <v>010000789278</v>
          </cell>
          <cell r="V375" t="str">
            <v>BIAOQIAN1</v>
          </cell>
          <cell r="W375" t="str">
            <v/>
          </cell>
          <cell r="X375" t="str">
            <v>CP-108-A</v>
          </cell>
          <cell r="Y375" t="str">
            <v/>
          </cell>
          <cell r="Z375" t="str">
            <v>1906</v>
          </cell>
          <cell r="AA375" t="str">
            <v>1100124770</v>
          </cell>
          <cell r="AB375">
            <v>320</v>
          </cell>
          <cell r="AC375" t="str">
            <v/>
          </cell>
          <cell r="AD375">
            <v>101.44</v>
          </cell>
          <cell r="AE375" t="str">
            <v>G1302-240205-037</v>
          </cell>
        </row>
        <row r="376">
          <cell r="B376" t="str">
            <v>7101030097</v>
          </cell>
          <cell r="C376" t="str">
            <v>G2407-2313</v>
          </cell>
          <cell r="D376" t="str">
            <v>000042944288039751</v>
          </cell>
          <cell r="E376" t="str">
            <v>MJ螺纹双耳游动托板自锁螺母</v>
          </cell>
          <cell r="F376" t="str">
            <v>HB8387-2013</v>
          </cell>
          <cell r="G376" t="str">
            <v>6</v>
          </cell>
          <cell r="H376" t="str">
            <v/>
          </cell>
          <cell r="I376" t="str">
            <v/>
          </cell>
          <cell r="J376" t="str">
            <v>组件</v>
          </cell>
          <cell r="K376">
            <v>91</v>
          </cell>
          <cell r="L376">
            <v>45961</v>
          </cell>
          <cell r="M376" t="str">
            <v>1-已打印</v>
          </cell>
        </row>
        <row r="376">
          <cell r="O376">
            <v>0</v>
          </cell>
          <cell r="P376" t="str">
            <v>哈尔滨东安实业发展有限公司</v>
          </cell>
          <cell r="Q376" t="str">
            <v>50</v>
          </cell>
        </row>
        <row r="376">
          <cell r="U376" t="str">
            <v>010000721131</v>
          </cell>
          <cell r="V376" t="str">
            <v/>
          </cell>
          <cell r="W376" t="str">
            <v/>
          </cell>
          <cell r="X376" t="str">
            <v>CP-108-A</v>
          </cell>
          <cell r="Y376" t="str">
            <v/>
          </cell>
          <cell r="Z376" t="str">
            <v>1906</v>
          </cell>
          <cell r="AA376" t="str">
            <v>1100135389</v>
          </cell>
          <cell r="AB376">
            <v>135</v>
          </cell>
          <cell r="AC376" t="str">
            <v/>
          </cell>
          <cell r="AD376">
            <v>56</v>
          </cell>
          <cell r="AE376" t="str">
            <v>G-100016975-241014-0042-1</v>
          </cell>
        </row>
        <row r="377">
          <cell r="B377" t="str">
            <v>7101022910</v>
          </cell>
          <cell r="C377" t="str">
            <v>G2505-1321</v>
          </cell>
          <cell r="D377" t="str">
            <v>000042944360151880</v>
          </cell>
          <cell r="E377" t="str">
            <v>圆柱销</v>
          </cell>
          <cell r="F377" t="str">
            <v>Q/8S1337.1-2024</v>
          </cell>
          <cell r="G377" t="str">
            <v>A-014</v>
          </cell>
          <cell r="H377" t="str">
            <v>27-35HRC</v>
          </cell>
          <cell r="I377" t="str">
            <v>Ct·P</v>
          </cell>
          <cell r="J377" t="str">
            <v>GH2132</v>
          </cell>
          <cell r="K377">
            <v>15</v>
          </cell>
          <cell r="L377">
            <v>45947</v>
          </cell>
          <cell r="M377" t="str">
            <v>3-配货完成</v>
          </cell>
        </row>
        <row r="377">
          <cell r="O377">
            <v>0</v>
          </cell>
          <cell r="P377" t="str">
            <v>哈尔滨东安实业发展有限公司</v>
          </cell>
          <cell r="Q377" t="str">
            <v>30</v>
          </cell>
        </row>
        <row r="377">
          <cell r="U377" t="str">
            <v>010000827084</v>
          </cell>
          <cell r="V377" t="str">
            <v>BIAOQIAN2</v>
          </cell>
          <cell r="W377" t="str">
            <v/>
          </cell>
          <cell r="X377" t="str">
            <v>CP-108-A</v>
          </cell>
          <cell r="Y377" t="str">
            <v/>
          </cell>
          <cell r="Z377" t="str">
            <v>1906</v>
          </cell>
          <cell r="AA377" t="str">
            <v>1100141949</v>
          </cell>
          <cell r="AB377">
            <v>15</v>
          </cell>
          <cell r="AC377" t="str">
            <v/>
          </cell>
          <cell r="AD377">
            <v>34.83</v>
          </cell>
          <cell r="AE377" t="str">
            <v>G-100016975-250221-0010-1</v>
          </cell>
        </row>
        <row r="378">
          <cell r="B378" t="str">
            <v>7101022902</v>
          </cell>
          <cell r="C378" t="str">
            <v>GW2408-003</v>
          </cell>
          <cell r="D378" t="str">
            <v>000042944360004322</v>
          </cell>
          <cell r="E378" t="str">
            <v>弹性圆柱销</v>
          </cell>
          <cell r="F378" t="str">
            <v>GB879-1986</v>
          </cell>
          <cell r="G378" t="str">
            <v>3×8</v>
          </cell>
          <cell r="H378" t="str">
            <v>420-560HV</v>
          </cell>
          <cell r="I378" t="str">
            <v>Ct·O</v>
          </cell>
          <cell r="J378" t="str">
            <v>65Mn</v>
          </cell>
          <cell r="K378">
            <v>190</v>
          </cell>
          <cell r="L378">
            <v>45947</v>
          </cell>
          <cell r="M378" t="str">
            <v>3-配货完成</v>
          </cell>
        </row>
        <row r="378">
          <cell r="O378">
            <v>0</v>
          </cell>
          <cell r="P378" t="str">
            <v>哈尔滨东安实业发展有限公司</v>
          </cell>
          <cell r="Q378" t="str">
            <v>10</v>
          </cell>
        </row>
        <row r="378">
          <cell r="U378" t="str">
            <v/>
          </cell>
          <cell r="V378" t="str">
            <v>BIAOQIAN1</v>
          </cell>
          <cell r="W378" t="str">
            <v/>
          </cell>
          <cell r="X378" t="str">
            <v>XH-000/CP-27-5-2-2</v>
          </cell>
          <cell r="Y378" t="str">
            <v/>
          </cell>
          <cell r="Z378" t="str">
            <v>1906</v>
          </cell>
          <cell r="AA378" t="str">
            <v>1100122539</v>
          </cell>
          <cell r="AB378">
            <v>200</v>
          </cell>
          <cell r="AC378" t="str">
            <v/>
          </cell>
          <cell r="AD378">
            <v>0.4</v>
          </cell>
          <cell r="AE378" t="str">
            <v>G1302-231220-286-H</v>
          </cell>
        </row>
        <row r="379">
          <cell r="B379" t="str">
            <v>7101020770</v>
          </cell>
          <cell r="C379" t="str">
            <v>G2411-2338</v>
          </cell>
          <cell r="D379" t="str">
            <v>000042944039095271</v>
          </cell>
          <cell r="E379" t="str">
            <v>带键自锁螺套</v>
          </cell>
          <cell r="F379" t="str">
            <v>Q/S15.1119A-6</v>
          </cell>
          <cell r="G379" t="str">
            <v>A-6</v>
          </cell>
          <cell r="H379" t="str">
            <v/>
          </cell>
          <cell r="I379" t="str">
            <v/>
          </cell>
          <cell r="J379" t="str">
            <v>组件</v>
          </cell>
          <cell r="K379">
            <v>120</v>
          </cell>
          <cell r="L379">
            <v>45944</v>
          </cell>
          <cell r="M379" t="str">
            <v>1-已打印</v>
          </cell>
        </row>
        <row r="379">
          <cell r="O379">
            <v>0</v>
          </cell>
          <cell r="P379" t="str">
            <v>哈尔滨东安实业发展有限公司</v>
          </cell>
          <cell r="Q379" t="str">
            <v>20</v>
          </cell>
        </row>
        <row r="379">
          <cell r="U379" t="str">
            <v>010000754260</v>
          </cell>
          <cell r="V379" t="str">
            <v/>
          </cell>
          <cell r="W379" t="str">
            <v/>
          </cell>
          <cell r="X379" t="str">
            <v>CP-C8-4-4-4</v>
          </cell>
          <cell r="Y379" t="str">
            <v/>
          </cell>
          <cell r="Z379" t="str">
            <v>1906</v>
          </cell>
          <cell r="AA379" t="str">
            <v>1100153106</v>
          </cell>
          <cell r="AB379">
            <v>120</v>
          </cell>
          <cell r="AC379" t="str">
            <v>GJ2411-02338</v>
          </cell>
          <cell r="AD379">
            <v>90</v>
          </cell>
          <cell r="AE379" t="str">
            <v>G-100016975-250917-0049</v>
          </cell>
        </row>
        <row r="380">
          <cell r="B380" t="str">
            <v>7101063021</v>
          </cell>
          <cell r="C380" t="str">
            <v>G2411-2338</v>
          </cell>
          <cell r="D380" t="str">
            <v>000042944039095271</v>
          </cell>
          <cell r="E380" t="str">
            <v>带键自锁螺套</v>
          </cell>
          <cell r="F380" t="str">
            <v>Q/S15.1119A-6</v>
          </cell>
          <cell r="G380" t="str">
            <v>A-6</v>
          </cell>
          <cell r="H380" t="str">
            <v/>
          </cell>
          <cell r="I380" t="str">
            <v/>
          </cell>
          <cell r="J380" t="str">
            <v>组件</v>
          </cell>
          <cell r="K380">
            <v>20</v>
          </cell>
          <cell r="L380">
            <v>46036</v>
          </cell>
          <cell r="M380" t="str">
            <v>3-配货完成</v>
          </cell>
        </row>
        <row r="380">
          <cell r="O380">
            <v>0</v>
          </cell>
          <cell r="P380" t="str">
            <v>哈尔滨东安实业发展有限公司</v>
          </cell>
          <cell r="Q380" t="str">
            <v>20</v>
          </cell>
        </row>
        <row r="380">
          <cell r="U380" t="str">
            <v>010000754260</v>
          </cell>
          <cell r="V380" t="str">
            <v>BIAOQIAN4</v>
          </cell>
          <cell r="W380" t="str">
            <v/>
          </cell>
          <cell r="X380" t="str">
            <v>CP-C8-4-4-4</v>
          </cell>
          <cell r="Y380" t="str">
            <v/>
          </cell>
          <cell r="Z380" t="str">
            <v>1906</v>
          </cell>
          <cell r="AA380" t="str">
            <v>1100153106</v>
          </cell>
          <cell r="AB380">
            <v>120</v>
          </cell>
          <cell r="AC380" t="str">
            <v>GJ2411-02338</v>
          </cell>
          <cell r="AD380">
            <v>90</v>
          </cell>
          <cell r="AE380" t="str">
            <v>G-100016975-250917-0049</v>
          </cell>
        </row>
        <row r="381">
          <cell r="B381" t="str">
            <v>7101063016</v>
          </cell>
          <cell r="C381" t="str">
            <v>G2510-0938</v>
          </cell>
          <cell r="D381" t="str">
            <v>000042944000160513</v>
          </cell>
          <cell r="E381" t="str">
            <v>球形导管接头</v>
          </cell>
          <cell r="F381" t="str">
            <v>SPS8002</v>
          </cell>
          <cell r="G381" t="str">
            <v>CE8002-1-05B</v>
          </cell>
          <cell r="H381" t="str">
            <v/>
          </cell>
          <cell r="I381" t="str">
            <v>化学钝化</v>
          </cell>
          <cell r="J381" t="str">
            <v>321</v>
          </cell>
          <cell r="K381">
            <v>50</v>
          </cell>
          <cell r="L381">
            <v>46036</v>
          </cell>
          <cell r="M381" t="str">
            <v>3-配货完成</v>
          </cell>
        </row>
        <row r="381">
          <cell r="O381">
            <v>0</v>
          </cell>
          <cell r="P381" t="str">
            <v>哈尔滨东安实业发展有限公司</v>
          </cell>
          <cell r="Q381" t="str">
            <v>10</v>
          </cell>
        </row>
        <row r="381">
          <cell r="U381" t="str">
            <v>010000875213</v>
          </cell>
          <cell r="V381" t="str">
            <v>BIAOQIAN1</v>
          </cell>
          <cell r="W381" t="str">
            <v/>
          </cell>
          <cell r="X381" t="str">
            <v>CP-108-A</v>
          </cell>
          <cell r="Y381" t="str">
            <v/>
          </cell>
          <cell r="Z381" t="str">
            <v>1906</v>
          </cell>
          <cell r="AA381" t="str">
            <v>1100152863</v>
          </cell>
          <cell r="AB381">
            <v>50</v>
          </cell>
          <cell r="AC381" t="str">
            <v/>
          </cell>
          <cell r="AD381">
            <v>20</v>
          </cell>
          <cell r="AE381" t="str">
            <v>G-100016975-250909-0045</v>
          </cell>
        </row>
        <row r="382">
          <cell r="B382" t="str">
            <v>7101062688</v>
          </cell>
          <cell r="C382" t="str">
            <v>G2512-0932</v>
          </cell>
          <cell r="D382" t="str">
            <v>000042944319139776</v>
          </cell>
          <cell r="E382" t="str">
            <v>外套螺母</v>
          </cell>
          <cell r="F382" t="str">
            <v>CEE4006R06NL</v>
          </cell>
          <cell r="G382" t="str">
            <v>CEE4006R06NL</v>
          </cell>
          <cell r="H382" t="str">
            <v/>
          </cell>
          <cell r="I382" t="str">
            <v>钝化+干膜润滑</v>
          </cell>
          <cell r="J382" t="str">
            <v>321</v>
          </cell>
          <cell r="K382">
            <v>4</v>
          </cell>
          <cell r="L382">
            <v>46035</v>
          </cell>
          <cell r="M382" t="str">
            <v>3-配货完成</v>
          </cell>
        </row>
        <row r="382">
          <cell r="O382">
            <v>0</v>
          </cell>
          <cell r="P382" t="str">
            <v>哈尔滨东安实业发展有限公司</v>
          </cell>
          <cell r="Q382" t="str">
            <v>10</v>
          </cell>
        </row>
        <row r="382">
          <cell r="U382" t="str">
            <v>010000892897</v>
          </cell>
          <cell r="V382" t="str">
            <v>BIAOQIAN2</v>
          </cell>
          <cell r="W382" t="str">
            <v/>
          </cell>
          <cell r="X382" t="str">
            <v/>
          </cell>
          <cell r="Y382" t="str">
            <v/>
          </cell>
          <cell r="Z382" t="str">
            <v>1906</v>
          </cell>
          <cell r="AA382" t="str">
            <v>1100156954</v>
          </cell>
          <cell r="AB382">
            <v>7</v>
          </cell>
          <cell r="AC382" t="str">
            <v/>
          </cell>
          <cell r="AD382">
            <v>20</v>
          </cell>
          <cell r="AE382" t="str">
            <v>G-100016975-251204-0077XH</v>
          </cell>
        </row>
        <row r="383">
          <cell r="B383" t="str">
            <v>7101062440</v>
          </cell>
          <cell r="C383" t="str">
            <v>G2502-1604</v>
          </cell>
          <cell r="D383" t="str">
            <v>000042944000020595</v>
          </cell>
          <cell r="E383" t="str">
            <v>波形弹性卡箍</v>
          </cell>
          <cell r="F383" t="str">
            <v>8S.DFD20.9.001</v>
          </cell>
          <cell r="G383" t="str">
            <v>-</v>
          </cell>
          <cell r="H383" t="str">
            <v/>
          </cell>
          <cell r="I383" t="str">
            <v/>
          </cell>
          <cell r="J383" t="str">
            <v>0Cr18Ni9</v>
          </cell>
          <cell r="K383">
            <v>20</v>
          </cell>
          <cell r="L383">
            <v>46035</v>
          </cell>
          <cell r="M383" t="str">
            <v>3-配货完成</v>
          </cell>
        </row>
        <row r="383">
          <cell r="O383">
            <v>0</v>
          </cell>
          <cell r="P383" t="str">
            <v>哈尔滨东安实业发展有限公司</v>
          </cell>
          <cell r="Q383" t="str">
            <v>10</v>
          </cell>
        </row>
        <row r="383">
          <cell r="U383" t="str">
            <v>010000783723</v>
          </cell>
          <cell r="V383" t="str">
            <v>BIAOQIAN1</v>
          </cell>
          <cell r="W383" t="str">
            <v/>
          </cell>
          <cell r="X383" t="str">
            <v>CP-57-3-1-9</v>
          </cell>
          <cell r="Y383" t="str">
            <v/>
          </cell>
          <cell r="Z383" t="str">
            <v>1906</v>
          </cell>
          <cell r="AA383" t="str">
            <v>1100158737</v>
          </cell>
          <cell r="AB383">
            <v>273</v>
          </cell>
          <cell r="AC383" t="str">
            <v/>
          </cell>
          <cell r="AD383">
            <v>50</v>
          </cell>
          <cell r="AE383" t="str">
            <v>G-100016975-260109-0004</v>
          </cell>
        </row>
        <row r="384">
          <cell r="B384" t="str">
            <v>7101062440</v>
          </cell>
          <cell r="C384" t="str">
            <v>G2402-0258</v>
          </cell>
          <cell r="D384" t="str">
            <v>000042944000020596</v>
          </cell>
          <cell r="E384" t="str">
            <v>波形弹性卡箍</v>
          </cell>
          <cell r="F384" t="str">
            <v>8S.DFD20.9.002</v>
          </cell>
          <cell r="G384" t="str">
            <v>-</v>
          </cell>
          <cell r="H384" t="str">
            <v/>
          </cell>
          <cell r="I384" t="str">
            <v/>
          </cell>
          <cell r="J384" t="str">
            <v>0Cr18Ni9</v>
          </cell>
          <cell r="K384">
            <v>18</v>
          </cell>
          <cell r="L384">
            <v>46035</v>
          </cell>
          <cell r="M384" t="str">
            <v>3-配货完成</v>
          </cell>
        </row>
        <row r="384">
          <cell r="O384">
            <v>0</v>
          </cell>
          <cell r="P384" t="str">
            <v>哈尔滨东安实业发展有限公司</v>
          </cell>
          <cell r="Q384" t="str">
            <v>20</v>
          </cell>
        </row>
        <row r="384">
          <cell r="U384" t="str">
            <v>010000673055</v>
          </cell>
          <cell r="V384" t="str">
            <v>BIAOQIAN1</v>
          </cell>
          <cell r="W384" t="str">
            <v/>
          </cell>
          <cell r="X384" t="str">
            <v>CP-64-2-4-4</v>
          </cell>
          <cell r="Y384" t="str">
            <v/>
          </cell>
          <cell r="Z384" t="str">
            <v>1906</v>
          </cell>
          <cell r="AA384" t="str">
            <v>1100158737</v>
          </cell>
          <cell r="AB384">
            <v>62</v>
          </cell>
          <cell r="AC384" t="str">
            <v/>
          </cell>
          <cell r="AD384">
            <v>50</v>
          </cell>
          <cell r="AE384" t="str">
            <v>G-100016975-260109-0004</v>
          </cell>
        </row>
        <row r="385">
          <cell r="B385" t="str">
            <v>7101061694</v>
          </cell>
          <cell r="C385" t="str">
            <v>G2511-0567</v>
          </cell>
          <cell r="D385" t="str">
            <v>000042944240123192</v>
          </cell>
          <cell r="E385" t="str">
            <v>拧入钢件MJ螺纹过盈螺桩</v>
          </cell>
          <cell r="F385" t="str">
            <v>CE3002-CG6×1×34-1</v>
          </cell>
          <cell r="G385" t="str">
            <v>CE3002-CG6×1×34-1</v>
          </cell>
          <cell r="H385" t="str">
            <v>HRC26.5-35</v>
          </cell>
          <cell r="I385" t="str">
            <v>镀锌3-5μm</v>
          </cell>
          <cell r="J385" t="str">
            <v>30CrMnSiA</v>
          </cell>
          <cell r="K385">
            <v>50</v>
          </cell>
          <cell r="L385">
            <v>46033</v>
          </cell>
          <cell r="M385" t="str">
            <v>3-配货完成</v>
          </cell>
        </row>
        <row r="385">
          <cell r="O385">
            <v>0</v>
          </cell>
          <cell r="P385" t="str">
            <v>哈尔滨东安实业发展有限公司</v>
          </cell>
          <cell r="Q385" t="str">
            <v>10</v>
          </cell>
        </row>
        <row r="385">
          <cell r="U385" t="str">
            <v>010000881701</v>
          </cell>
          <cell r="V385" t="str">
            <v>BIAOQIAN4</v>
          </cell>
          <cell r="W385" t="str">
            <v/>
          </cell>
          <cell r="X385" t="str">
            <v>CP-108-A</v>
          </cell>
          <cell r="Y385" t="str">
            <v/>
          </cell>
          <cell r="Z385" t="str">
            <v>1906</v>
          </cell>
          <cell r="AA385" t="str">
            <v>1100155391</v>
          </cell>
          <cell r="AB385">
            <v>50</v>
          </cell>
          <cell r="AC385" t="str">
            <v/>
          </cell>
          <cell r="AD385">
            <v>56.96</v>
          </cell>
          <cell r="AE385" t="str">
            <v>G-100016975-251105-0064</v>
          </cell>
        </row>
        <row r="386">
          <cell r="B386" t="str">
            <v>7101060200</v>
          </cell>
          <cell r="C386" t="str">
            <v>G2509-1561</v>
          </cell>
          <cell r="D386" t="str">
            <v>000042944999136227</v>
          </cell>
          <cell r="E386" t="str">
            <v>锯齿锁环</v>
          </cell>
          <cell r="F386" t="str">
            <v>MS51990E106P</v>
          </cell>
          <cell r="G386" t="str">
            <v>MS51990E106P</v>
          </cell>
          <cell r="H386" t="str">
            <v>≥269HB</v>
          </cell>
          <cell r="I386" t="str">
            <v>钝化</v>
          </cell>
          <cell r="J386" t="str">
            <v>A286</v>
          </cell>
          <cell r="K386">
            <v>203</v>
          </cell>
          <cell r="L386">
            <v>46030</v>
          </cell>
          <cell r="M386" t="str">
            <v>3-配货完成</v>
          </cell>
        </row>
        <row r="386">
          <cell r="O386">
            <v>0</v>
          </cell>
          <cell r="P386" t="str">
            <v>哈尔滨东安实业发展有限公司</v>
          </cell>
          <cell r="Q386" t="str">
            <v>20</v>
          </cell>
        </row>
        <row r="386">
          <cell r="U386" t="str">
            <v>010000864053</v>
          </cell>
          <cell r="V386" t="str">
            <v>BIAOQIAN4</v>
          </cell>
          <cell r="W386" t="str">
            <v/>
          </cell>
          <cell r="X386" t="str">
            <v>CP-108-A</v>
          </cell>
          <cell r="Y386" t="str">
            <v/>
          </cell>
          <cell r="Z386" t="str">
            <v>1906</v>
          </cell>
          <cell r="AA386" t="str">
            <v>1100152712</v>
          </cell>
          <cell r="AB386">
            <v>203</v>
          </cell>
          <cell r="AC386" t="str">
            <v/>
          </cell>
          <cell r="AD386">
            <v>20</v>
          </cell>
          <cell r="AE386" t="str">
            <v>G-100016975-250905-0044</v>
          </cell>
        </row>
        <row r="387">
          <cell r="B387" t="str">
            <v>7101059180</v>
          </cell>
          <cell r="C387" t="str">
            <v>G2512-0590</v>
          </cell>
          <cell r="D387" t="str">
            <v>000042944000046747</v>
          </cell>
          <cell r="E387" t="str">
            <v>带键锁紧螺套</v>
          </cell>
          <cell r="F387" t="str">
            <v>HCB-42-819</v>
          </cell>
          <cell r="G387" t="str">
            <v>-</v>
          </cell>
          <cell r="H387" t="str">
            <v/>
          </cell>
          <cell r="I387" t="str">
            <v/>
          </cell>
          <cell r="J387" t="str">
            <v>组件</v>
          </cell>
          <cell r="K387">
            <v>29</v>
          </cell>
          <cell r="L387">
            <v>46029</v>
          </cell>
          <cell r="M387" t="str">
            <v>3-配货完成</v>
          </cell>
        </row>
        <row r="387">
          <cell r="O387">
            <v>0</v>
          </cell>
          <cell r="P387" t="str">
            <v>哈尔滨东安实业发展有限公司</v>
          </cell>
          <cell r="Q387" t="str">
            <v>190</v>
          </cell>
        </row>
        <row r="387">
          <cell r="U387" t="str">
            <v>010000891623</v>
          </cell>
          <cell r="V387" t="str">
            <v>BIAOQIAN1</v>
          </cell>
          <cell r="W387" t="str">
            <v/>
          </cell>
          <cell r="X387" t="str">
            <v>CP-108-A</v>
          </cell>
          <cell r="Y387" t="str">
            <v/>
          </cell>
          <cell r="Z387" t="str">
            <v>1906</v>
          </cell>
          <cell r="AA387" t="str">
            <v>1100141177</v>
          </cell>
          <cell r="AB387">
            <v>50</v>
          </cell>
          <cell r="AC387" t="str">
            <v/>
          </cell>
          <cell r="AD387">
            <v>50</v>
          </cell>
          <cell r="AE387" t="str">
            <v>G-100016975-250210-0006-1</v>
          </cell>
        </row>
        <row r="388">
          <cell r="B388" t="str">
            <v>7101059155</v>
          </cell>
          <cell r="C388" t="str">
            <v>G2501-2504</v>
          </cell>
          <cell r="D388" t="str">
            <v>000042944288117418</v>
          </cell>
          <cell r="E388" t="str">
            <v>双耳游动自锁托板螺母</v>
          </cell>
          <cell r="F388" t="str">
            <v>AS3481-04</v>
          </cell>
          <cell r="G388" t="str">
            <v>AS3481-04</v>
          </cell>
          <cell r="H388" t="str">
            <v/>
          </cell>
          <cell r="I388" t="str">
            <v/>
          </cell>
          <cell r="J388" t="str">
            <v>组件</v>
          </cell>
          <cell r="K388">
            <v>90</v>
          </cell>
          <cell r="L388">
            <v>46029</v>
          </cell>
          <cell r="M388" t="str">
            <v>3-配货完成</v>
          </cell>
        </row>
        <row r="388">
          <cell r="O388">
            <v>0</v>
          </cell>
          <cell r="P388" t="str">
            <v>哈尔滨东安实业发展有限公司</v>
          </cell>
          <cell r="Q388" t="str">
            <v>10</v>
          </cell>
        </row>
        <row r="388">
          <cell r="U388" t="str">
            <v>010000777605</v>
          </cell>
          <cell r="V388" t="str">
            <v>BIAOQIAN2</v>
          </cell>
          <cell r="W388" t="str">
            <v/>
          </cell>
          <cell r="X388" t="str">
            <v>CP-108-A</v>
          </cell>
          <cell r="Y388" t="str">
            <v/>
          </cell>
          <cell r="Z388" t="str">
            <v>1906</v>
          </cell>
          <cell r="AA388" t="str">
            <v>1100158064</v>
          </cell>
          <cell r="AB388">
            <v>90</v>
          </cell>
          <cell r="AC388" t="str">
            <v/>
          </cell>
          <cell r="AD388">
            <v>41.52</v>
          </cell>
          <cell r="AE388" t="str">
            <v>G-100016975-260105-0002</v>
          </cell>
        </row>
        <row r="389">
          <cell r="B389" t="str">
            <v>7101058736</v>
          </cell>
          <cell r="C389" t="str">
            <v>G2512-1002</v>
          </cell>
          <cell r="D389" t="str">
            <v>000042944440114463</v>
          </cell>
          <cell r="E389" t="str">
            <v>钢丝挡圈</v>
          </cell>
          <cell r="F389" t="str">
            <v>Q/2S5335-2013</v>
          </cell>
          <cell r="G389" t="str">
            <v>6</v>
          </cell>
          <cell r="H389" t="str">
            <v/>
          </cell>
          <cell r="I389" t="str">
            <v/>
          </cell>
          <cell r="J389" t="str">
            <v>GH4145</v>
          </cell>
          <cell r="K389">
            <v>100</v>
          </cell>
          <cell r="L389">
            <v>46028</v>
          </cell>
          <cell r="M389" t="str">
            <v>3-配货完成</v>
          </cell>
        </row>
        <row r="389">
          <cell r="O389">
            <v>0</v>
          </cell>
          <cell r="P389" t="str">
            <v>哈尔滨东安实业发展有限公司</v>
          </cell>
          <cell r="Q389" t="str">
            <v>10</v>
          </cell>
        </row>
        <row r="389">
          <cell r="U389" t="str">
            <v>010000893047</v>
          </cell>
          <cell r="V389" t="str">
            <v>BIAOQIAN2</v>
          </cell>
          <cell r="W389" t="str">
            <v/>
          </cell>
          <cell r="X389" t="str">
            <v>CP-108-A</v>
          </cell>
          <cell r="Y389" t="str">
            <v/>
          </cell>
          <cell r="Z389" t="str">
            <v>1906</v>
          </cell>
          <cell r="AA389" t="str">
            <v>1100156803</v>
          </cell>
          <cell r="AB389">
            <v>100</v>
          </cell>
          <cell r="AC389" t="str">
            <v/>
          </cell>
          <cell r="AD389">
            <v>25</v>
          </cell>
          <cell r="AE389" t="str">
            <v>G-100016975-251202-0073</v>
          </cell>
        </row>
        <row r="390">
          <cell r="B390" t="str">
            <v>7101057638</v>
          </cell>
          <cell r="C390" t="str">
            <v>G2510-0069</v>
          </cell>
          <cell r="D390" t="str">
            <v>000042944239006862</v>
          </cell>
          <cell r="E390" t="str">
            <v>半圆头螺栓</v>
          </cell>
          <cell r="F390" t="str">
            <v>HB1-152-4×34</v>
          </cell>
          <cell r="G390" t="str">
            <v>4×34</v>
          </cell>
          <cell r="H390" t="str">
            <v>σb=1175±100MPa</v>
          </cell>
          <cell r="I390" t="str">
            <v>Ep·Zn·c2C</v>
          </cell>
          <cell r="J390" t="str">
            <v>ML30CrMnSiA</v>
          </cell>
          <cell r="K390">
            <v>500</v>
          </cell>
          <cell r="L390">
            <v>46027</v>
          </cell>
          <cell r="M390" t="str">
            <v>4-检验完成</v>
          </cell>
        </row>
        <row r="390">
          <cell r="O390">
            <v>0</v>
          </cell>
          <cell r="P390" t="str">
            <v>哈尔滨东安实业发展有限公司</v>
          </cell>
          <cell r="Q390" t="str">
            <v>60</v>
          </cell>
          <cell r="R390">
            <v>46030</v>
          </cell>
        </row>
        <row r="390">
          <cell r="U390" t="str">
            <v>010000870675</v>
          </cell>
          <cell r="V390" t="str">
            <v>BIAOQIAN3</v>
          </cell>
          <cell r="W390" t="str">
            <v/>
          </cell>
          <cell r="X390" t="str">
            <v>CP-108-A</v>
          </cell>
          <cell r="Y390" t="str">
            <v/>
          </cell>
          <cell r="Z390" t="str">
            <v>1906</v>
          </cell>
          <cell r="AA390" t="str">
            <v>1100153644</v>
          </cell>
          <cell r="AB390">
            <v>500</v>
          </cell>
          <cell r="AC390" t="str">
            <v/>
          </cell>
          <cell r="AD390">
            <v>15</v>
          </cell>
          <cell r="AE390" t="str">
            <v>G-100016975-250925-0053</v>
          </cell>
        </row>
        <row r="391">
          <cell r="B391" t="str">
            <v>7101041853</v>
          </cell>
          <cell r="C391" t="str">
            <v>G2502-3076</v>
          </cell>
          <cell r="D391" t="str">
            <v>000042944239004239</v>
          </cell>
          <cell r="E391" t="str">
            <v>光杆公差带r6抗剪型100°沉头高锁螺栓</v>
          </cell>
          <cell r="F391" t="str">
            <v>GJB134.2-6×14</v>
          </cell>
          <cell r="G391" t="str">
            <v>6×14</v>
          </cell>
          <cell r="H391" t="str">
            <v>σb=1175±100MPa</v>
          </cell>
          <cell r="I391" t="str">
            <v>Ct·O+Dp·CA</v>
          </cell>
          <cell r="J391" t="str">
            <v>ML30CrMnSiA</v>
          </cell>
          <cell r="K391">
            <v>120</v>
          </cell>
          <cell r="L391">
            <v>45986</v>
          </cell>
          <cell r="M391" t="str">
            <v>3-配货完成</v>
          </cell>
        </row>
        <row r="391">
          <cell r="O391">
            <v>0</v>
          </cell>
          <cell r="P391" t="str">
            <v>哈尔滨东安实业发展有限公司</v>
          </cell>
          <cell r="Q391" t="str">
            <v>50</v>
          </cell>
        </row>
        <row r="391">
          <cell r="U391" t="str">
            <v>010000789278</v>
          </cell>
          <cell r="V391" t="str">
            <v>BIAOQIAN1</v>
          </cell>
          <cell r="W391" t="str">
            <v/>
          </cell>
          <cell r="X391" t="str">
            <v>CP-108-A</v>
          </cell>
          <cell r="Y391" t="str">
            <v/>
          </cell>
          <cell r="Z391" t="str">
            <v>1906</v>
          </cell>
          <cell r="AA391" t="str">
            <v>1100124770</v>
          </cell>
          <cell r="AB391">
            <v>320</v>
          </cell>
          <cell r="AC391" t="str">
            <v/>
          </cell>
          <cell r="AD391">
            <v>101.44</v>
          </cell>
          <cell r="AE391" t="str">
            <v>G1302-240205-037</v>
          </cell>
        </row>
        <row r="392">
          <cell r="B392" t="str">
            <v>7101022910</v>
          </cell>
          <cell r="C392" t="str">
            <v>G2505-1321</v>
          </cell>
          <cell r="D392" t="str">
            <v>000042944360151880</v>
          </cell>
          <cell r="E392" t="str">
            <v>圆柱销</v>
          </cell>
          <cell r="F392" t="str">
            <v>Q/8S1337.1-2024</v>
          </cell>
          <cell r="G392" t="str">
            <v>A-014</v>
          </cell>
          <cell r="H392" t="str">
            <v>27-35HRC</v>
          </cell>
          <cell r="I392" t="str">
            <v>Ct·P</v>
          </cell>
          <cell r="J392" t="str">
            <v>GH2132</v>
          </cell>
          <cell r="K392">
            <v>15</v>
          </cell>
          <cell r="L392">
            <v>45947</v>
          </cell>
          <cell r="M392" t="str">
            <v>3-配货完成</v>
          </cell>
        </row>
        <row r="392">
          <cell r="O392">
            <v>0</v>
          </cell>
          <cell r="P392" t="str">
            <v>哈尔滨东安实业发展有限公司</v>
          </cell>
          <cell r="Q392" t="str">
            <v>30</v>
          </cell>
        </row>
        <row r="392">
          <cell r="U392" t="str">
            <v>010000827084</v>
          </cell>
          <cell r="V392" t="str">
            <v>BIAOQIAN2</v>
          </cell>
          <cell r="W392" t="str">
            <v/>
          </cell>
          <cell r="X392" t="str">
            <v>CP-108-A</v>
          </cell>
          <cell r="Y392" t="str">
            <v/>
          </cell>
          <cell r="Z392" t="str">
            <v>1906</v>
          </cell>
          <cell r="AA392" t="str">
            <v>1100141949</v>
          </cell>
          <cell r="AB392">
            <v>15</v>
          </cell>
          <cell r="AC392" t="str">
            <v/>
          </cell>
          <cell r="AD392">
            <v>34.83</v>
          </cell>
          <cell r="AE392" t="str">
            <v>G-100016975-250221-0010-1</v>
          </cell>
        </row>
        <row r="393">
          <cell r="B393" t="str">
            <v>7101022902</v>
          </cell>
          <cell r="C393" t="str">
            <v>GW2408-003</v>
          </cell>
          <cell r="D393" t="str">
            <v>000042944360004322</v>
          </cell>
          <cell r="E393" t="str">
            <v>弹性圆柱销</v>
          </cell>
          <cell r="F393" t="str">
            <v>GB879-1986</v>
          </cell>
          <cell r="G393" t="str">
            <v>3×8</v>
          </cell>
          <cell r="H393" t="str">
            <v>420-560HV</v>
          </cell>
          <cell r="I393" t="str">
            <v>Ct·O</v>
          </cell>
          <cell r="J393" t="str">
            <v>65Mn</v>
          </cell>
          <cell r="K393">
            <v>190</v>
          </cell>
          <cell r="L393">
            <v>45947</v>
          </cell>
          <cell r="M393" t="str">
            <v>3-配货完成</v>
          </cell>
        </row>
        <row r="393">
          <cell r="O393">
            <v>0</v>
          </cell>
          <cell r="P393" t="str">
            <v>哈尔滨东安实业发展有限公司</v>
          </cell>
          <cell r="Q393" t="str">
            <v>10</v>
          </cell>
        </row>
        <row r="393">
          <cell r="U393" t="str">
            <v/>
          </cell>
          <cell r="V393" t="str">
            <v>BIAOQIAN1</v>
          </cell>
          <cell r="W393" t="str">
            <v/>
          </cell>
          <cell r="X393" t="str">
            <v>XH-000/CP-27-5-2-2</v>
          </cell>
          <cell r="Y393" t="str">
            <v/>
          </cell>
          <cell r="Z393" t="str">
            <v>1906</v>
          </cell>
          <cell r="AA393" t="str">
            <v>1100122539</v>
          </cell>
          <cell r="AB393">
            <v>200</v>
          </cell>
          <cell r="AC393" t="str">
            <v/>
          </cell>
          <cell r="AD393">
            <v>0.4</v>
          </cell>
          <cell r="AE393" t="str">
            <v>G1302-231220-286-H</v>
          </cell>
        </row>
        <row r="394">
          <cell r="B394" t="str">
            <v>7101063676</v>
          </cell>
          <cell r="C394" t="str">
            <v>G2507-1931</v>
          </cell>
          <cell r="D394" t="str">
            <v>000042944999027928</v>
          </cell>
          <cell r="E394" t="str">
            <v>螺桩</v>
          </cell>
          <cell r="F394" t="str">
            <v>1BRZA12375-06-034</v>
          </cell>
          <cell r="G394" t="str">
            <v>06-034</v>
          </cell>
          <cell r="H394" t="str">
            <v>σb=980±100MPa</v>
          </cell>
          <cell r="I394" t="str">
            <v>Ep·Cd5-8·c2C</v>
          </cell>
          <cell r="J394" t="str">
            <v>40CrNiMoA</v>
          </cell>
          <cell r="K394">
            <v>248</v>
          </cell>
          <cell r="L394">
            <v>46037</v>
          </cell>
          <cell r="M394" t="str">
            <v>3-配货完成</v>
          </cell>
        </row>
        <row r="394">
          <cell r="O394">
            <v>0</v>
          </cell>
          <cell r="P394" t="str">
            <v>哈尔滨东安实业发展有限公司</v>
          </cell>
          <cell r="Q394" t="str">
            <v>110</v>
          </cell>
        </row>
        <row r="394">
          <cell r="U394" t="str">
            <v>010000848359</v>
          </cell>
          <cell r="V394" t="str">
            <v>BIAOQIAN4</v>
          </cell>
          <cell r="W394" t="str">
            <v/>
          </cell>
          <cell r="X394" t="str">
            <v>CP-108-A</v>
          </cell>
          <cell r="Y394" t="str">
            <v/>
          </cell>
          <cell r="Z394" t="str">
            <v>1906</v>
          </cell>
          <cell r="AA394" t="str">
            <v>1100141177</v>
          </cell>
          <cell r="AB394">
            <v>800</v>
          </cell>
          <cell r="AC394" t="str">
            <v/>
          </cell>
          <cell r="AD394">
            <v>80</v>
          </cell>
          <cell r="AE394" t="str">
            <v>G-100016975-250210-0006-1</v>
          </cell>
        </row>
        <row r="395">
          <cell r="B395" t="str">
            <v>7101063021</v>
          </cell>
          <cell r="C395" t="str">
            <v>G2411-2338</v>
          </cell>
          <cell r="D395" t="str">
            <v>000042944039095271</v>
          </cell>
          <cell r="E395" t="str">
            <v>带键自锁螺套</v>
          </cell>
          <cell r="F395" t="str">
            <v>Q/S15.1119A-6</v>
          </cell>
          <cell r="G395" t="str">
            <v>A-6</v>
          </cell>
          <cell r="H395" t="str">
            <v/>
          </cell>
          <cell r="I395" t="str">
            <v/>
          </cell>
          <cell r="J395" t="str">
            <v>组件</v>
          </cell>
          <cell r="K395">
            <v>20</v>
          </cell>
          <cell r="L395">
            <v>46036</v>
          </cell>
          <cell r="M395" t="str">
            <v>3-配货完成</v>
          </cell>
        </row>
        <row r="395">
          <cell r="O395">
            <v>0</v>
          </cell>
          <cell r="P395" t="str">
            <v>哈尔滨东安实业发展有限公司</v>
          </cell>
          <cell r="Q395" t="str">
            <v>20</v>
          </cell>
        </row>
        <row r="395">
          <cell r="U395" t="str">
            <v>010000754260</v>
          </cell>
          <cell r="V395" t="str">
            <v>BIAOQIAN4</v>
          </cell>
          <cell r="W395" t="str">
            <v/>
          </cell>
          <cell r="X395" t="str">
            <v>CP-C8-4-4-4</v>
          </cell>
          <cell r="Y395" t="str">
            <v/>
          </cell>
          <cell r="Z395" t="str">
            <v>1906</v>
          </cell>
          <cell r="AA395" t="str">
            <v>1100153106</v>
          </cell>
          <cell r="AB395">
            <v>120</v>
          </cell>
          <cell r="AC395" t="str">
            <v>GJ2411-02338</v>
          </cell>
          <cell r="AD395">
            <v>90</v>
          </cell>
          <cell r="AE395" t="str">
            <v>G-100016975-250917-0049</v>
          </cell>
        </row>
        <row r="396">
          <cell r="B396" t="str">
            <v>7101062440</v>
          </cell>
          <cell r="C396" t="str">
            <v>G2502-1604</v>
          </cell>
          <cell r="D396" t="str">
            <v>000042944000020595</v>
          </cell>
          <cell r="E396" t="str">
            <v>波形弹性卡箍</v>
          </cell>
          <cell r="F396" t="str">
            <v>8S.DFD20.9.001</v>
          </cell>
          <cell r="G396" t="str">
            <v>-</v>
          </cell>
          <cell r="H396" t="str">
            <v/>
          </cell>
          <cell r="I396" t="str">
            <v/>
          </cell>
          <cell r="J396" t="str">
            <v>0Cr18Ni9</v>
          </cell>
          <cell r="K396">
            <v>20</v>
          </cell>
          <cell r="L396">
            <v>46035</v>
          </cell>
          <cell r="M396" t="str">
            <v>4-检验完成</v>
          </cell>
        </row>
        <row r="396">
          <cell r="O396">
            <v>0</v>
          </cell>
          <cell r="P396" t="str">
            <v>哈尔滨东安实业发展有限公司</v>
          </cell>
          <cell r="Q396" t="str">
            <v>10</v>
          </cell>
          <cell r="R396">
            <v>46038</v>
          </cell>
        </row>
        <row r="396">
          <cell r="U396" t="str">
            <v>010000783723</v>
          </cell>
          <cell r="V396" t="str">
            <v>BIAOQIAN1</v>
          </cell>
          <cell r="W396" t="str">
            <v/>
          </cell>
          <cell r="X396" t="str">
            <v>CP-57-3-1-9</v>
          </cell>
          <cell r="Y396" t="str">
            <v/>
          </cell>
          <cell r="Z396" t="str">
            <v>1906</v>
          </cell>
          <cell r="AA396" t="str">
            <v>1100158737</v>
          </cell>
          <cell r="AB396">
            <v>273</v>
          </cell>
          <cell r="AC396" t="str">
            <v/>
          </cell>
          <cell r="AD396">
            <v>50</v>
          </cell>
          <cell r="AE396" t="str">
            <v>G-100016975-260109-0004</v>
          </cell>
        </row>
        <row r="397">
          <cell r="B397" t="str">
            <v>7101062440</v>
          </cell>
          <cell r="C397" t="str">
            <v>G2402-0258</v>
          </cell>
          <cell r="D397" t="str">
            <v>000042944000020596</v>
          </cell>
          <cell r="E397" t="str">
            <v>波形弹性卡箍</v>
          </cell>
          <cell r="F397" t="str">
            <v>8S.DFD20.9.002</v>
          </cell>
          <cell r="G397" t="str">
            <v>-</v>
          </cell>
          <cell r="H397" t="str">
            <v/>
          </cell>
          <cell r="I397" t="str">
            <v/>
          </cell>
          <cell r="J397" t="str">
            <v>0Cr18Ni9</v>
          </cell>
          <cell r="K397">
            <v>18</v>
          </cell>
          <cell r="L397">
            <v>46035</v>
          </cell>
          <cell r="M397" t="str">
            <v>4-检验完成</v>
          </cell>
        </row>
        <row r="397">
          <cell r="O397">
            <v>0</v>
          </cell>
          <cell r="P397" t="str">
            <v>哈尔滨东安实业发展有限公司</v>
          </cell>
          <cell r="Q397" t="str">
            <v>20</v>
          </cell>
          <cell r="R397">
            <v>46038</v>
          </cell>
        </row>
        <row r="397">
          <cell r="U397" t="str">
            <v>010000673055</v>
          </cell>
          <cell r="V397" t="str">
            <v>BIAOQIAN1</v>
          </cell>
          <cell r="W397" t="str">
            <v/>
          </cell>
          <cell r="X397" t="str">
            <v>CP-64-2-4-4</v>
          </cell>
          <cell r="Y397" t="str">
            <v/>
          </cell>
          <cell r="Z397" t="str">
            <v>1906</v>
          </cell>
          <cell r="AA397" t="str">
            <v>1100158737</v>
          </cell>
          <cell r="AB397">
            <v>62</v>
          </cell>
          <cell r="AC397" t="str">
            <v/>
          </cell>
          <cell r="AD397">
            <v>50</v>
          </cell>
          <cell r="AE397" t="str">
            <v>G-100016975-260109-0004</v>
          </cell>
        </row>
        <row r="398">
          <cell r="B398" t="str">
            <v>7101060200</v>
          </cell>
          <cell r="C398" t="str">
            <v>G2509-1561</v>
          </cell>
          <cell r="D398" t="str">
            <v>000042944999136227</v>
          </cell>
          <cell r="E398" t="str">
            <v>锯齿锁环</v>
          </cell>
          <cell r="F398" t="str">
            <v>MS51990E106P</v>
          </cell>
          <cell r="G398" t="str">
            <v>MS51990E106P</v>
          </cell>
          <cell r="H398" t="str">
            <v>≥269HB</v>
          </cell>
          <cell r="I398" t="str">
            <v>钝化</v>
          </cell>
          <cell r="J398" t="str">
            <v>A286</v>
          </cell>
          <cell r="K398">
            <v>203</v>
          </cell>
          <cell r="L398">
            <v>46030</v>
          </cell>
          <cell r="M398" t="str">
            <v>4-检验完成</v>
          </cell>
        </row>
        <row r="398">
          <cell r="O398">
            <v>0</v>
          </cell>
          <cell r="P398" t="str">
            <v>哈尔滨东安实业发展有限公司</v>
          </cell>
          <cell r="Q398" t="str">
            <v>20</v>
          </cell>
          <cell r="R398">
            <v>46038</v>
          </cell>
        </row>
        <row r="398">
          <cell r="U398" t="str">
            <v>010000864053</v>
          </cell>
          <cell r="V398" t="str">
            <v>BIAOQIAN4</v>
          </cell>
          <cell r="W398" t="str">
            <v/>
          </cell>
          <cell r="X398" t="str">
            <v>CP-108-A</v>
          </cell>
          <cell r="Y398" t="str">
            <v/>
          </cell>
          <cell r="Z398" t="str">
            <v>1906</v>
          </cell>
          <cell r="AA398" t="str">
            <v>1100152712</v>
          </cell>
          <cell r="AB398">
            <v>203</v>
          </cell>
          <cell r="AC398" t="str">
            <v/>
          </cell>
          <cell r="AD398">
            <v>20</v>
          </cell>
          <cell r="AE398" t="str">
            <v>G-100016975-250905-0044</v>
          </cell>
        </row>
        <row r="399">
          <cell r="B399" t="str">
            <v>7101059180</v>
          </cell>
          <cell r="C399" t="str">
            <v>G2512-0590</v>
          </cell>
          <cell r="D399" t="str">
            <v>000042944000046747</v>
          </cell>
          <cell r="E399" t="str">
            <v>带键锁紧螺套</v>
          </cell>
          <cell r="F399" t="str">
            <v>HCB-42-819</v>
          </cell>
          <cell r="G399" t="str">
            <v>-</v>
          </cell>
          <cell r="H399" t="str">
            <v/>
          </cell>
          <cell r="I399" t="str">
            <v/>
          </cell>
          <cell r="J399" t="str">
            <v>组件</v>
          </cell>
          <cell r="K399">
            <v>29</v>
          </cell>
          <cell r="L399">
            <v>46029</v>
          </cell>
          <cell r="M399" t="str">
            <v>4-检验完成</v>
          </cell>
        </row>
        <row r="399">
          <cell r="O399">
            <v>0</v>
          </cell>
          <cell r="P399" t="str">
            <v>哈尔滨东安实业发展有限公司</v>
          </cell>
          <cell r="Q399" t="str">
            <v>190</v>
          </cell>
          <cell r="R399">
            <v>46038</v>
          </cell>
        </row>
        <row r="399">
          <cell r="U399" t="str">
            <v>010000891623</v>
          </cell>
          <cell r="V399" t="str">
            <v>BIAOQIAN1</v>
          </cell>
          <cell r="W399" t="str">
            <v/>
          </cell>
          <cell r="X399" t="str">
            <v>CP-108-A</v>
          </cell>
          <cell r="Y399" t="str">
            <v/>
          </cell>
          <cell r="Z399" t="str">
            <v>1906</v>
          </cell>
          <cell r="AA399" t="str">
            <v>1100141177</v>
          </cell>
          <cell r="AB399">
            <v>50</v>
          </cell>
          <cell r="AC399" t="str">
            <v/>
          </cell>
          <cell r="AD399">
            <v>50</v>
          </cell>
          <cell r="AE399" t="str">
            <v>G-100016975-250210-0006-1</v>
          </cell>
        </row>
        <row r="400">
          <cell r="B400" t="str">
            <v>7101059155</v>
          </cell>
          <cell r="C400" t="str">
            <v>G2501-2504</v>
          </cell>
          <cell r="D400" t="str">
            <v>000042944288117418</v>
          </cell>
          <cell r="E400" t="str">
            <v>双耳游动自锁托板螺母</v>
          </cell>
          <cell r="F400" t="str">
            <v>AS3481-04</v>
          </cell>
          <cell r="G400" t="str">
            <v>AS3481-04</v>
          </cell>
          <cell r="H400" t="str">
            <v/>
          </cell>
          <cell r="I400" t="str">
            <v/>
          </cell>
          <cell r="J400" t="str">
            <v>组件</v>
          </cell>
          <cell r="K400">
            <v>90</v>
          </cell>
          <cell r="L400">
            <v>46029</v>
          </cell>
          <cell r="M400" t="str">
            <v>3-配货完成</v>
          </cell>
        </row>
        <row r="400">
          <cell r="O400">
            <v>0</v>
          </cell>
          <cell r="P400" t="str">
            <v>哈尔滨东安实业发展有限公司</v>
          </cell>
          <cell r="Q400" t="str">
            <v>10</v>
          </cell>
        </row>
        <row r="400">
          <cell r="U400" t="str">
            <v>010000777605</v>
          </cell>
          <cell r="V400" t="str">
            <v>BIAOQIAN2</v>
          </cell>
          <cell r="W400" t="str">
            <v/>
          </cell>
          <cell r="X400" t="str">
            <v>CP-108-A</v>
          </cell>
          <cell r="Y400" t="str">
            <v/>
          </cell>
          <cell r="Z400" t="str">
            <v>1906</v>
          </cell>
          <cell r="AA400" t="str">
            <v>1100158064</v>
          </cell>
          <cell r="AB400">
            <v>90</v>
          </cell>
          <cell r="AC400" t="str">
            <v/>
          </cell>
          <cell r="AD400">
            <v>41.52</v>
          </cell>
          <cell r="AE400" t="str">
            <v>G-100016975-260105-0002</v>
          </cell>
        </row>
        <row r="401">
          <cell r="B401" t="str">
            <v>7101058736</v>
          </cell>
          <cell r="C401" t="str">
            <v>G2512-1002</v>
          </cell>
          <cell r="D401" t="str">
            <v>000042944440114463</v>
          </cell>
          <cell r="E401" t="str">
            <v>钢丝挡圈</v>
          </cell>
          <cell r="F401" t="str">
            <v>Q/2S5335-2013</v>
          </cell>
          <cell r="G401" t="str">
            <v>6</v>
          </cell>
          <cell r="H401" t="str">
            <v/>
          </cell>
          <cell r="I401" t="str">
            <v/>
          </cell>
          <cell r="J401" t="str">
            <v>GH4145</v>
          </cell>
          <cell r="K401">
            <v>100</v>
          </cell>
          <cell r="L401">
            <v>46028</v>
          </cell>
          <cell r="M401" t="str">
            <v>4-检验完成</v>
          </cell>
        </row>
        <row r="401">
          <cell r="O401">
            <v>0</v>
          </cell>
          <cell r="P401" t="str">
            <v>哈尔滨东安实业发展有限公司</v>
          </cell>
          <cell r="Q401" t="str">
            <v>10</v>
          </cell>
          <cell r="R401">
            <v>46037</v>
          </cell>
        </row>
        <row r="401">
          <cell r="U401" t="str">
            <v>010000893047</v>
          </cell>
          <cell r="V401" t="str">
            <v>BIAOQIAN2</v>
          </cell>
          <cell r="W401" t="str">
            <v/>
          </cell>
          <cell r="X401" t="str">
            <v>CP-108-A</v>
          </cell>
          <cell r="Y401" t="str">
            <v/>
          </cell>
          <cell r="Z401" t="str">
            <v>1906</v>
          </cell>
          <cell r="AA401" t="str">
            <v>1100156803</v>
          </cell>
          <cell r="AB401">
            <v>100</v>
          </cell>
          <cell r="AC401" t="str">
            <v/>
          </cell>
          <cell r="AD401">
            <v>25</v>
          </cell>
          <cell r="AE401" t="str">
            <v>G-100016975-251202-0073</v>
          </cell>
        </row>
        <row r="402">
          <cell r="B402" t="str">
            <v>7101041853</v>
          </cell>
          <cell r="C402" t="str">
            <v>G2502-3076</v>
          </cell>
          <cell r="D402" t="str">
            <v>000042944239004239</v>
          </cell>
          <cell r="E402" t="str">
            <v>光杆公差带r6抗剪型100°沉头高锁螺栓</v>
          </cell>
          <cell r="F402" t="str">
            <v>GJB134.2-6×14</v>
          </cell>
          <cell r="G402" t="str">
            <v>6×14</v>
          </cell>
          <cell r="H402" t="str">
            <v>σb=1175±100MPa</v>
          </cell>
          <cell r="I402" t="str">
            <v>Ct·O+Dp·CA</v>
          </cell>
          <cell r="J402" t="str">
            <v>ML30CrMnSiA</v>
          </cell>
          <cell r="K402">
            <v>120</v>
          </cell>
          <cell r="L402">
            <v>45986</v>
          </cell>
          <cell r="M402" t="str">
            <v>3-配货完成</v>
          </cell>
        </row>
        <row r="402">
          <cell r="O402">
            <v>0</v>
          </cell>
          <cell r="P402" t="str">
            <v>哈尔滨东安实业发展有限公司</v>
          </cell>
          <cell r="Q402" t="str">
            <v>50</v>
          </cell>
        </row>
        <row r="402">
          <cell r="U402" t="str">
            <v>010000789278</v>
          </cell>
          <cell r="V402" t="str">
            <v>BIAOQIAN1</v>
          </cell>
          <cell r="W402" t="str">
            <v/>
          </cell>
          <cell r="X402" t="str">
            <v>CP-108-A</v>
          </cell>
          <cell r="Y402" t="str">
            <v/>
          </cell>
          <cell r="Z402" t="str">
            <v>1906</v>
          </cell>
          <cell r="AA402" t="str">
            <v>1100124770</v>
          </cell>
          <cell r="AB402">
            <v>320</v>
          </cell>
          <cell r="AC402" t="str">
            <v/>
          </cell>
          <cell r="AD402">
            <v>101.44</v>
          </cell>
          <cell r="AE402" t="str">
            <v>G1302-240205-037</v>
          </cell>
        </row>
        <row r="403">
          <cell r="B403" t="str">
            <v>7101022910</v>
          </cell>
          <cell r="C403" t="str">
            <v>G2505-1321</v>
          </cell>
          <cell r="D403" t="str">
            <v>000042944360151880</v>
          </cell>
          <cell r="E403" t="str">
            <v>圆柱销</v>
          </cell>
          <cell r="F403" t="str">
            <v>Q/8S1337.1-2024</v>
          </cell>
          <cell r="G403" t="str">
            <v>A-014</v>
          </cell>
          <cell r="H403" t="str">
            <v>27-35HRC</v>
          </cell>
          <cell r="I403" t="str">
            <v>Ct·P</v>
          </cell>
          <cell r="J403" t="str">
            <v>GH2132</v>
          </cell>
          <cell r="K403">
            <v>15</v>
          </cell>
          <cell r="L403">
            <v>45947</v>
          </cell>
          <cell r="M403" t="str">
            <v>3-配货完成</v>
          </cell>
        </row>
        <row r="403">
          <cell r="O403">
            <v>0</v>
          </cell>
          <cell r="P403" t="str">
            <v>哈尔滨东安实业发展有限公司</v>
          </cell>
          <cell r="Q403" t="str">
            <v>30</v>
          </cell>
        </row>
        <row r="403">
          <cell r="U403" t="str">
            <v>010000827084</v>
          </cell>
          <cell r="V403" t="str">
            <v>BIAOQIAN2</v>
          </cell>
          <cell r="W403" t="str">
            <v/>
          </cell>
          <cell r="X403" t="str">
            <v>CP-108-A</v>
          </cell>
          <cell r="Y403" t="str">
            <v/>
          </cell>
          <cell r="Z403" t="str">
            <v>1906</v>
          </cell>
          <cell r="AA403" t="str">
            <v>1100141949</v>
          </cell>
          <cell r="AB403">
            <v>15</v>
          </cell>
          <cell r="AC403" t="str">
            <v/>
          </cell>
          <cell r="AD403">
            <v>34.83</v>
          </cell>
          <cell r="AE403" t="str">
            <v>G-100016975-250221-0010-1</v>
          </cell>
        </row>
        <row r="404">
          <cell r="B404" t="str">
            <v>7101022902</v>
          </cell>
          <cell r="C404" t="str">
            <v>GW2408-003</v>
          </cell>
          <cell r="D404" t="str">
            <v>000042944360004322</v>
          </cell>
          <cell r="E404" t="str">
            <v>弹性圆柱销</v>
          </cell>
          <cell r="F404" t="str">
            <v>GB879-1986</v>
          </cell>
          <cell r="G404" t="str">
            <v>3×8</v>
          </cell>
          <cell r="H404" t="str">
            <v>420-560HV</v>
          </cell>
          <cell r="I404" t="str">
            <v>Ct·O</v>
          </cell>
          <cell r="J404" t="str">
            <v>65Mn</v>
          </cell>
          <cell r="K404">
            <v>190</v>
          </cell>
          <cell r="L404">
            <v>45947</v>
          </cell>
          <cell r="M404" t="str">
            <v>3-配货完成</v>
          </cell>
        </row>
        <row r="404">
          <cell r="O404">
            <v>0</v>
          </cell>
          <cell r="P404" t="str">
            <v>哈尔滨东安实业发展有限公司</v>
          </cell>
          <cell r="Q404" t="str">
            <v>10</v>
          </cell>
        </row>
        <row r="404">
          <cell r="U404" t="str">
            <v/>
          </cell>
          <cell r="V404" t="str">
            <v>BIAOQIAN1</v>
          </cell>
          <cell r="W404" t="str">
            <v/>
          </cell>
          <cell r="X404" t="str">
            <v>XH-000/CP-27-5-2-2</v>
          </cell>
          <cell r="Y404" t="str">
            <v/>
          </cell>
          <cell r="Z404" t="str">
            <v>1906</v>
          </cell>
          <cell r="AA404" t="str">
            <v>1100122539</v>
          </cell>
          <cell r="AB404">
            <v>200</v>
          </cell>
          <cell r="AC404" t="str">
            <v/>
          </cell>
          <cell r="AD404">
            <v>0.4</v>
          </cell>
          <cell r="AE404" t="str">
            <v>G1302-231220-286-H</v>
          </cell>
        </row>
        <row r="405">
          <cell r="B405" t="str">
            <v>7101065222</v>
          </cell>
          <cell r="C405" t="str">
            <v>G2512-0933</v>
          </cell>
          <cell r="D405" t="str">
            <v>000042944319139776</v>
          </cell>
          <cell r="E405" t="str">
            <v>外套螺母</v>
          </cell>
          <cell r="F405" t="str">
            <v>CEE4006R06NL</v>
          </cell>
          <cell r="G405" t="str">
            <v>CEE4006R06NL</v>
          </cell>
          <cell r="H405" t="str">
            <v/>
          </cell>
          <cell r="I405" t="str">
            <v>钝化+干膜润滑</v>
          </cell>
          <cell r="J405" t="str">
            <v>321</v>
          </cell>
          <cell r="K405">
            <v>50</v>
          </cell>
          <cell r="L405">
            <v>46040</v>
          </cell>
          <cell r="M405" t="str">
            <v>3-配货完成</v>
          </cell>
        </row>
        <row r="405">
          <cell r="O405">
            <v>0</v>
          </cell>
          <cell r="P405" t="str">
            <v>哈尔滨东安实业发展有限公司</v>
          </cell>
          <cell r="Q405" t="str">
            <v>20</v>
          </cell>
        </row>
        <row r="405">
          <cell r="U405" t="str">
            <v>010000892900</v>
          </cell>
          <cell r="V405" t="str">
            <v>BIAOQIAN3</v>
          </cell>
          <cell r="W405" t="str">
            <v/>
          </cell>
          <cell r="X405" t="str">
            <v/>
          </cell>
          <cell r="Y405" t="str">
            <v/>
          </cell>
          <cell r="Z405" t="str">
            <v>1906</v>
          </cell>
          <cell r="AA405" t="str">
            <v>1100157019</v>
          </cell>
          <cell r="AB405">
            <v>50</v>
          </cell>
          <cell r="AC405" t="str">
            <v/>
          </cell>
          <cell r="AD405">
            <v>20</v>
          </cell>
          <cell r="AE405" t="str">
            <v>G-100016975-251204-0076</v>
          </cell>
        </row>
        <row r="406">
          <cell r="B406" t="str">
            <v>7101065221</v>
          </cell>
          <cell r="C406" t="str">
            <v>G2512-0933</v>
          </cell>
          <cell r="D406" t="str">
            <v>000042944319139776</v>
          </cell>
          <cell r="E406" t="str">
            <v>外套螺母</v>
          </cell>
          <cell r="F406" t="str">
            <v>CEE4006R06NL</v>
          </cell>
          <cell r="G406" t="str">
            <v>CEE4006R06NL</v>
          </cell>
          <cell r="H406" t="str">
            <v/>
          </cell>
          <cell r="I406" t="str">
            <v>钝化+干膜润滑</v>
          </cell>
          <cell r="J406" t="str">
            <v>321</v>
          </cell>
          <cell r="K406">
            <v>3</v>
          </cell>
          <cell r="L406">
            <v>46040</v>
          </cell>
          <cell r="M406" t="str">
            <v>3-配货完成</v>
          </cell>
        </row>
        <row r="406">
          <cell r="O406">
            <v>0</v>
          </cell>
          <cell r="P406" t="str">
            <v>哈尔滨东安实业发展有限公司</v>
          </cell>
          <cell r="Q406" t="str">
            <v>10</v>
          </cell>
        </row>
        <row r="406">
          <cell r="U406" t="str">
            <v>010000892900</v>
          </cell>
          <cell r="V406" t="str">
            <v>BIAOQIAN3</v>
          </cell>
          <cell r="W406" t="str">
            <v/>
          </cell>
          <cell r="X406" t="str">
            <v/>
          </cell>
          <cell r="Y406" t="str">
            <v/>
          </cell>
          <cell r="Z406" t="str">
            <v>1906</v>
          </cell>
          <cell r="AA406" t="str">
            <v>1100156954</v>
          </cell>
          <cell r="AB406">
            <v>7</v>
          </cell>
          <cell r="AC406" t="str">
            <v/>
          </cell>
          <cell r="AD406">
            <v>20</v>
          </cell>
          <cell r="AE406" t="str">
            <v>G-100016975-251204-0077XH</v>
          </cell>
        </row>
        <row r="407">
          <cell r="B407" t="str">
            <v>7101064803</v>
          </cell>
          <cell r="C407" t="str">
            <v>G22601-006</v>
          </cell>
          <cell r="D407" t="str">
            <v>000042944320004305</v>
          </cell>
          <cell r="E407" t="str">
            <v>扁圆头铆钉</v>
          </cell>
          <cell r="F407" t="str">
            <v>GB871-86-2.5×12-ML15-Zn-D</v>
          </cell>
          <cell r="G407" t="str">
            <v>2.5×12</v>
          </cell>
          <cell r="H407" t="str">
            <v>退火</v>
          </cell>
          <cell r="I407" t="str">
            <v>Ep·Zn·c2C</v>
          </cell>
          <cell r="J407" t="str">
            <v>ML15</v>
          </cell>
          <cell r="K407">
            <v>500</v>
          </cell>
          <cell r="L407">
            <v>46039</v>
          </cell>
          <cell r="M407" t="str">
            <v>3-配货完成</v>
          </cell>
        </row>
        <row r="407">
          <cell r="O407">
            <v>0</v>
          </cell>
          <cell r="P407" t="str">
            <v>哈尔滨东安实业发展有限公司</v>
          </cell>
          <cell r="Q407" t="str">
            <v>10</v>
          </cell>
        </row>
        <row r="407">
          <cell r="U407" t="str">
            <v/>
          </cell>
          <cell r="V407" t="str">
            <v>BIAOQIAN4</v>
          </cell>
          <cell r="W407" t="str">
            <v/>
          </cell>
          <cell r="X407" t="str">
            <v>XH-000</v>
          </cell>
          <cell r="Y407" t="str">
            <v/>
          </cell>
          <cell r="Z407" t="str">
            <v>1906</v>
          </cell>
          <cell r="AA407" t="str">
            <v>1100155583</v>
          </cell>
          <cell r="AB407">
            <v>500</v>
          </cell>
          <cell r="AC407" t="str">
            <v/>
          </cell>
          <cell r="AD407">
            <v>0.4</v>
          </cell>
          <cell r="AE407" t="str">
            <v>G-100016975-251110-0066-1-T</v>
          </cell>
        </row>
        <row r="408">
          <cell r="B408" t="str">
            <v>7101059155</v>
          </cell>
          <cell r="C408" t="str">
            <v>G2501-2504</v>
          </cell>
          <cell r="D408" t="str">
            <v>000042944288117418</v>
          </cell>
          <cell r="E408" t="str">
            <v>双耳游动自锁托板螺母</v>
          </cell>
          <cell r="F408" t="str">
            <v>AS3481-04</v>
          </cell>
          <cell r="G408" t="str">
            <v>AS3481-04</v>
          </cell>
          <cell r="H408" t="str">
            <v/>
          </cell>
          <cell r="I408" t="str">
            <v/>
          </cell>
          <cell r="J408" t="str">
            <v>组件</v>
          </cell>
          <cell r="K408">
            <v>90</v>
          </cell>
          <cell r="L408">
            <v>46029</v>
          </cell>
          <cell r="M408" t="str">
            <v>3-配货完成</v>
          </cell>
        </row>
        <row r="408">
          <cell r="O408">
            <v>0</v>
          </cell>
          <cell r="P408" t="str">
            <v>哈尔滨东安实业发展有限公司</v>
          </cell>
          <cell r="Q408" t="str">
            <v>10</v>
          </cell>
        </row>
        <row r="408">
          <cell r="U408" t="str">
            <v>010000777605</v>
          </cell>
          <cell r="V408" t="str">
            <v>BIAOQIAN2</v>
          </cell>
          <cell r="W408" t="str">
            <v/>
          </cell>
          <cell r="X408" t="str">
            <v>CP-108-A</v>
          </cell>
          <cell r="Y408" t="str">
            <v/>
          </cell>
          <cell r="Z408" t="str">
            <v>1906</v>
          </cell>
          <cell r="AA408" t="str">
            <v>1100158064</v>
          </cell>
          <cell r="AB408">
            <v>90</v>
          </cell>
          <cell r="AC408" t="str">
            <v/>
          </cell>
          <cell r="AD408">
            <v>41.52</v>
          </cell>
          <cell r="AE408" t="str">
            <v>G-100016975-260105-0002</v>
          </cell>
        </row>
        <row r="409">
          <cell r="B409" t="str">
            <v>7101041853</v>
          </cell>
          <cell r="C409" t="str">
            <v>G2502-3076</v>
          </cell>
          <cell r="D409" t="str">
            <v>000042944239004239</v>
          </cell>
          <cell r="E409" t="str">
            <v>光杆公差带r6抗剪型100°沉头高锁螺栓</v>
          </cell>
          <cell r="F409" t="str">
            <v>GJB134.2-6×14</v>
          </cell>
          <cell r="G409" t="str">
            <v>6×14</v>
          </cell>
          <cell r="H409" t="str">
            <v>σb=1175±100MPa</v>
          </cell>
          <cell r="I409" t="str">
            <v>Ct·O+Dp·CA</v>
          </cell>
          <cell r="J409" t="str">
            <v>ML30CrMnSiA</v>
          </cell>
          <cell r="K409">
            <v>120</v>
          </cell>
          <cell r="L409">
            <v>45986</v>
          </cell>
          <cell r="M409" t="str">
            <v>3-配货完成</v>
          </cell>
        </row>
        <row r="409">
          <cell r="O409">
            <v>0</v>
          </cell>
          <cell r="P409" t="str">
            <v>哈尔滨东安实业发展有限公司</v>
          </cell>
          <cell r="Q409" t="str">
            <v>50</v>
          </cell>
        </row>
        <row r="409">
          <cell r="U409" t="str">
            <v>010000789278</v>
          </cell>
          <cell r="V409" t="str">
            <v>BIAOQIAN1</v>
          </cell>
          <cell r="W409" t="str">
            <v/>
          </cell>
          <cell r="X409" t="str">
            <v>CP-108-A</v>
          </cell>
          <cell r="Y409" t="str">
            <v/>
          </cell>
          <cell r="Z409" t="str">
            <v>1906</v>
          </cell>
          <cell r="AA409" t="str">
            <v>1100124770</v>
          </cell>
          <cell r="AB409">
            <v>320</v>
          </cell>
          <cell r="AC409" t="str">
            <v/>
          </cell>
          <cell r="AD409">
            <v>101.44</v>
          </cell>
          <cell r="AE409" t="str">
            <v>G1302-240205-037</v>
          </cell>
        </row>
        <row r="410">
          <cell r="B410" t="str">
            <v>7101022910</v>
          </cell>
          <cell r="C410" t="str">
            <v>G2505-1321</v>
          </cell>
          <cell r="D410" t="str">
            <v>000042944360151880</v>
          </cell>
          <cell r="E410" t="str">
            <v>圆柱销</v>
          </cell>
          <cell r="F410" t="str">
            <v>Q/8S1337.1-2024</v>
          </cell>
          <cell r="G410" t="str">
            <v>A-014</v>
          </cell>
          <cell r="H410" t="str">
            <v>27-35HRC</v>
          </cell>
          <cell r="I410" t="str">
            <v>Ct·P</v>
          </cell>
          <cell r="J410" t="str">
            <v>GH2132</v>
          </cell>
          <cell r="K410">
            <v>15</v>
          </cell>
          <cell r="L410">
            <v>45947</v>
          </cell>
          <cell r="M410" t="str">
            <v>3-配货完成</v>
          </cell>
        </row>
        <row r="410">
          <cell r="O410">
            <v>0</v>
          </cell>
          <cell r="P410" t="str">
            <v>哈尔滨东安实业发展有限公司</v>
          </cell>
          <cell r="Q410" t="str">
            <v>30</v>
          </cell>
        </row>
        <row r="410">
          <cell r="U410" t="str">
            <v>010000827084</v>
          </cell>
          <cell r="V410" t="str">
            <v>BIAOQIAN2</v>
          </cell>
          <cell r="W410" t="str">
            <v/>
          </cell>
          <cell r="X410" t="str">
            <v>CP-108-A</v>
          </cell>
          <cell r="Y410" t="str">
            <v/>
          </cell>
          <cell r="Z410" t="str">
            <v>1906</v>
          </cell>
          <cell r="AA410" t="str">
            <v>1100141949</v>
          </cell>
          <cell r="AB410">
            <v>15</v>
          </cell>
          <cell r="AC410" t="str">
            <v/>
          </cell>
          <cell r="AD410">
            <v>34.83</v>
          </cell>
          <cell r="AE410" t="str">
            <v>G-100016975-250221-0010-1</v>
          </cell>
        </row>
        <row r="411">
          <cell r="B411" t="str">
            <v>7101022902</v>
          </cell>
          <cell r="C411" t="str">
            <v>GW2408-003</v>
          </cell>
          <cell r="D411" t="str">
            <v>000042944360004322</v>
          </cell>
          <cell r="E411" t="str">
            <v>弹性圆柱销</v>
          </cell>
          <cell r="F411" t="str">
            <v>GB879-1986</v>
          </cell>
          <cell r="G411" t="str">
            <v>3×8</v>
          </cell>
          <cell r="H411" t="str">
            <v>420-560HV</v>
          </cell>
          <cell r="I411" t="str">
            <v>Ct·O</v>
          </cell>
          <cell r="J411" t="str">
            <v>65Mn</v>
          </cell>
          <cell r="K411">
            <v>190</v>
          </cell>
          <cell r="L411">
            <v>45947</v>
          </cell>
          <cell r="M411" t="str">
            <v>3-配货完成</v>
          </cell>
        </row>
        <row r="411">
          <cell r="O411">
            <v>0</v>
          </cell>
          <cell r="P411" t="str">
            <v>哈尔滨东安实业发展有限公司</v>
          </cell>
          <cell r="Q411" t="str">
            <v>10</v>
          </cell>
        </row>
        <row r="411">
          <cell r="U411" t="str">
            <v/>
          </cell>
          <cell r="V411" t="str">
            <v>BIAOQIAN1</v>
          </cell>
          <cell r="W411" t="str">
            <v/>
          </cell>
          <cell r="X411" t="str">
            <v>XH-000/CP-27-5-2-2</v>
          </cell>
          <cell r="Y411" t="str">
            <v/>
          </cell>
          <cell r="Z411" t="str">
            <v>1906</v>
          </cell>
          <cell r="AA411" t="str">
            <v>1100122539</v>
          </cell>
          <cell r="AB411">
            <v>200</v>
          </cell>
          <cell r="AC411" t="str">
            <v/>
          </cell>
          <cell r="AD411">
            <v>0.4</v>
          </cell>
          <cell r="AE411" t="str">
            <v>G1302-231220-286-H</v>
          </cell>
        </row>
        <row r="412">
          <cell r="B412" t="str">
            <v>7101069467</v>
          </cell>
          <cell r="C412" t="str">
            <v>G2601-1261</v>
          </cell>
          <cell r="D412" t="str">
            <v>000042944039122089</v>
          </cell>
          <cell r="E412" t="str">
            <v>加长带键自锁螺套</v>
          </cell>
          <cell r="F412" t="str">
            <v>Q/S15.1120A-6</v>
          </cell>
          <cell r="G412" t="str">
            <v>A-6</v>
          </cell>
          <cell r="H412" t="str">
            <v/>
          </cell>
          <cell r="I412" t="str">
            <v/>
          </cell>
          <cell r="J412" t="str">
            <v>组件</v>
          </cell>
          <cell r="K412">
            <v>211</v>
          </cell>
          <cell r="L412">
            <v>46047</v>
          </cell>
          <cell r="M412" t="str">
            <v>7-发运完成</v>
          </cell>
          <cell r="N412">
            <v>46047</v>
          </cell>
          <cell r="O412">
            <v>0.85920138888889</v>
          </cell>
          <cell r="P412" t="str">
            <v>哈尔滨东安实业发展有限公司</v>
          </cell>
          <cell r="Q412" t="str">
            <v>10</v>
          </cell>
          <cell r="R412">
            <v>46047</v>
          </cell>
          <cell r="S412">
            <v>46047</v>
          </cell>
          <cell r="T412">
            <v>46047</v>
          </cell>
          <cell r="U412" t="str">
            <v>010000903655</v>
          </cell>
          <cell r="V412" t="str">
            <v>BIAOQIAN3</v>
          </cell>
          <cell r="W412" t="str">
            <v/>
          </cell>
          <cell r="X412" t="str">
            <v>CP-108-A</v>
          </cell>
          <cell r="Y412" t="str">
            <v>LVYANAN</v>
          </cell>
          <cell r="Z412" t="str">
            <v>1906</v>
          </cell>
          <cell r="AA412" t="str">
            <v>1100155885</v>
          </cell>
          <cell r="AB412">
            <v>600</v>
          </cell>
          <cell r="AC412" t="str">
            <v/>
          </cell>
          <cell r="AD412">
            <v>225</v>
          </cell>
          <cell r="AE412" t="str">
            <v>G-100016975-251114-0067</v>
          </cell>
        </row>
        <row r="413">
          <cell r="B413" t="str">
            <v>7101069466</v>
          </cell>
          <cell r="C413" t="str">
            <v>G2601-1261</v>
          </cell>
          <cell r="D413" t="str">
            <v>000042944039122089</v>
          </cell>
          <cell r="E413" t="str">
            <v>加长带键自锁螺套</v>
          </cell>
          <cell r="F413" t="str">
            <v>Q/S15.1120A-6</v>
          </cell>
          <cell r="G413" t="str">
            <v>A-6</v>
          </cell>
          <cell r="H413" t="str">
            <v/>
          </cell>
          <cell r="I413" t="str">
            <v/>
          </cell>
          <cell r="J413" t="str">
            <v>组件</v>
          </cell>
          <cell r="K413">
            <v>20</v>
          </cell>
          <cell r="L413">
            <v>46047</v>
          </cell>
          <cell r="M413" t="str">
            <v>7-发运完成</v>
          </cell>
          <cell r="N413">
            <v>46047</v>
          </cell>
          <cell r="O413">
            <v>0.85907407407407</v>
          </cell>
          <cell r="P413" t="str">
            <v>哈尔滨东安实业发展有限公司</v>
          </cell>
          <cell r="Q413" t="str">
            <v>10</v>
          </cell>
          <cell r="R413">
            <v>46047</v>
          </cell>
          <cell r="S413">
            <v>46047</v>
          </cell>
          <cell r="T413">
            <v>46047</v>
          </cell>
          <cell r="U413" t="str">
            <v>010000903655</v>
          </cell>
          <cell r="V413" t="str">
            <v>BIAOQIAN3</v>
          </cell>
          <cell r="W413" t="str">
            <v/>
          </cell>
          <cell r="X413" t="str">
            <v>CP-108-A</v>
          </cell>
          <cell r="Y413" t="str">
            <v>LVYANAN</v>
          </cell>
          <cell r="Z413" t="str">
            <v>1906</v>
          </cell>
          <cell r="AA413" t="str">
            <v>1100152545</v>
          </cell>
          <cell r="AB413">
            <v>700</v>
          </cell>
          <cell r="AC413" t="str">
            <v/>
          </cell>
          <cell r="AD413">
            <v>225</v>
          </cell>
          <cell r="AE413" t="str">
            <v>G-100016975-250905-0043</v>
          </cell>
        </row>
        <row r="414">
          <cell r="B414" t="str">
            <v>7101074630</v>
          </cell>
          <cell r="C414" t="str">
            <v>G2508-2502</v>
          </cell>
          <cell r="D414" t="str">
            <v>000042944288001752</v>
          </cell>
          <cell r="E414" t="str">
            <v>UNJ螺纹十二角自锁螺母</v>
          </cell>
          <cell r="F414" t="str">
            <v>Q/8S1335A-04</v>
          </cell>
          <cell r="G414" t="str">
            <v>A-04</v>
          </cell>
          <cell r="H414" t="str">
            <v>σb≥900MPa,HRC27-HRC35</v>
          </cell>
          <cell r="I414" t="str">
            <v>镀银</v>
          </cell>
          <cell r="J414" t="str">
            <v>GH2132</v>
          </cell>
          <cell r="K414">
            <v>200</v>
          </cell>
          <cell r="L414">
            <v>46059</v>
          </cell>
          <cell r="M414" t="str">
            <v>3-配货完成</v>
          </cell>
        </row>
        <row r="414">
          <cell r="O414">
            <v>0</v>
          </cell>
          <cell r="P414" t="str">
            <v>哈尔滨东安实业发展有限公司</v>
          </cell>
          <cell r="Q414" t="str">
            <v>110</v>
          </cell>
        </row>
        <row r="414">
          <cell r="U414" t="str">
            <v>010000859638</v>
          </cell>
          <cell r="V414" t="str">
            <v>BIAOQIAN1</v>
          </cell>
          <cell r="W414" t="str">
            <v/>
          </cell>
          <cell r="X414" t="str">
            <v>CP-108-A</v>
          </cell>
          <cell r="Y414" t="str">
            <v/>
          </cell>
          <cell r="Z414" t="str">
            <v>1906</v>
          </cell>
          <cell r="AA414" t="str">
            <v>1100160153</v>
          </cell>
          <cell r="AB414">
            <v>200</v>
          </cell>
          <cell r="AC414" t="str">
            <v>GJ2508-02502</v>
          </cell>
          <cell r="AD414">
            <v>75.24</v>
          </cell>
          <cell r="AE414" t="str">
            <v>G-100016975-260204-0007</v>
          </cell>
        </row>
        <row r="415">
          <cell r="B415" t="str">
            <v>7101074066</v>
          </cell>
          <cell r="C415" t="str">
            <v>G2305-1678</v>
          </cell>
          <cell r="D415" t="str">
            <v>000042944320009721</v>
          </cell>
          <cell r="E415" t="str">
            <v>120°沉头铆钉</v>
          </cell>
          <cell r="F415" t="str">
            <v>HB6319-2002</v>
          </cell>
          <cell r="G415" t="str">
            <v>2.5×5</v>
          </cell>
          <cell r="H415" t="str">
            <v>淬火</v>
          </cell>
          <cell r="I415" t="str">
            <v>ECP</v>
          </cell>
          <cell r="J415" t="str">
            <v>1Cr18Ni9Ti</v>
          </cell>
          <cell r="K415">
            <v>24</v>
          </cell>
          <cell r="L415">
            <v>46058</v>
          </cell>
          <cell r="M415" t="str">
            <v>3-配货完成</v>
          </cell>
        </row>
        <row r="415">
          <cell r="O415">
            <v>0</v>
          </cell>
          <cell r="P415" t="str">
            <v>哈尔滨东安实业发展有限公司</v>
          </cell>
          <cell r="Q415" t="str">
            <v>20</v>
          </cell>
        </row>
        <row r="415">
          <cell r="U415" t="str">
            <v>010000602757</v>
          </cell>
          <cell r="V415" t="str">
            <v>BIAOQIAN1</v>
          </cell>
          <cell r="W415" t="str">
            <v/>
          </cell>
          <cell r="X415" t="str">
            <v>CP-19-4-1-19</v>
          </cell>
          <cell r="Y415" t="str">
            <v/>
          </cell>
          <cell r="Z415" t="str">
            <v>1906</v>
          </cell>
          <cell r="AA415" t="str">
            <v>1100160140</v>
          </cell>
          <cell r="AB415">
            <v>50</v>
          </cell>
          <cell r="AC415" t="str">
            <v>GJ2305-01678</v>
          </cell>
          <cell r="AD415">
            <v>0.8</v>
          </cell>
          <cell r="AE415" t="str">
            <v>G-100016975-260204-0008XH</v>
          </cell>
        </row>
        <row r="416">
          <cell r="B416" t="str">
            <v>7101074066</v>
          </cell>
          <cell r="C416" t="str">
            <v>G2401-0886</v>
          </cell>
          <cell r="D416" t="str">
            <v>000042944320009721</v>
          </cell>
          <cell r="E416" t="str">
            <v>120°沉头铆钉</v>
          </cell>
          <cell r="F416" t="str">
            <v>HB6319-2002</v>
          </cell>
          <cell r="G416" t="str">
            <v>2.5×5</v>
          </cell>
          <cell r="H416" t="str">
            <v>淬火</v>
          </cell>
          <cell r="I416" t="str">
            <v>ECP</v>
          </cell>
          <cell r="J416" t="str">
            <v>1Cr18Ni9Ti</v>
          </cell>
          <cell r="K416">
            <v>26</v>
          </cell>
          <cell r="L416">
            <v>46058</v>
          </cell>
          <cell r="M416" t="str">
            <v>3-配货完成</v>
          </cell>
        </row>
        <row r="416">
          <cell r="O416">
            <v>0</v>
          </cell>
          <cell r="P416" t="str">
            <v>哈尔滨东安实业发展有限公司</v>
          </cell>
          <cell r="Q416" t="str">
            <v>20</v>
          </cell>
        </row>
        <row r="416">
          <cell r="U416" t="str">
            <v>010000667082</v>
          </cell>
          <cell r="V416" t="str">
            <v>BIAOQIAN1</v>
          </cell>
          <cell r="W416" t="str">
            <v/>
          </cell>
          <cell r="X416" t="str">
            <v>CP-19-2-1-8</v>
          </cell>
          <cell r="Y416" t="str">
            <v/>
          </cell>
          <cell r="Z416" t="str">
            <v>1906</v>
          </cell>
          <cell r="AA416" t="str">
            <v>1100160140</v>
          </cell>
          <cell r="AB416">
            <v>50</v>
          </cell>
          <cell r="AC416" t="str">
            <v>GJ2401-00886</v>
          </cell>
          <cell r="AD416">
            <v>0.8</v>
          </cell>
          <cell r="AE416" t="str">
            <v>G-100016975-260204-0008XH</v>
          </cell>
        </row>
        <row r="417">
          <cell r="B417" t="str">
            <v>7101073964</v>
          </cell>
          <cell r="C417" t="str">
            <v>G2511-0436</v>
          </cell>
          <cell r="D417" t="str">
            <v>000042944039095271</v>
          </cell>
          <cell r="E417" t="str">
            <v>带键自锁螺套</v>
          </cell>
          <cell r="F417" t="str">
            <v>Q/S15.1119A-6</v>
          </cell>
          <cell r="G417" t="str">
            <v>A-6</v>
          </cell>
          <cell r="H417" t="str">
            <v/>
          </cell>
          <cell r="I417" t="str">
            <v/>
          </cell>
          <cell r="J417" t="str">
            <v>组件</v>
          </cell>
          <cell r="K417">
            <v>94</v>
          </cell>
          <cell r="L417">
            <v>46058</v>
          </cell>
          <cell r="M417" t="str">
            <v>3-配货完成</v>
          </cell>
        </row>
        <row r="417">
          <cell r="O417">
            <v>0</v>
          </cell>
          <cell r="P417" t="str">
            <v>哈尔滨东安实业发展有限公司</v>
          </cell>
          <cell r="Q417" t="str">
            <v>20</v>
          </cell>
        </row>
        <row r="417">
          <cell r="U417" t="str">
            <v>010000880866</v>
          </cell>
          <cell r="V417" t="str">
            <v>BIAOQIAN1</v>
          </cell>
          <cell r="W417" t="str">
            <v/>
          </cell>
          <cell r="X417" t="str">
            <v>CP-108-A</v>
          </cell>
          <cell r="Y417" t="str">
            <v/>
          </cell>
          <cell r="Z417" t="str">
            <v>1906</v>
          </cell>
          <cell r="AA417" t="str">
            <v>1100153106</v>
          </cell>
          <cell r="AB417">
            <v>120</v>
          </cell>
          <cell r="AC417" t="str">
            <v>GJ2511-00436</v>
          </cell>
          <cell r="AD417">
            <v>90</v>
          </cell>
          <cell r="AE417" t="str">
            <v>G-100016975-250917-0049</v>
          </cell>
        </row>
        <row r="418">
          <cell r="B418" t="str">
            <v>7101073898</v>
          </cell>
          <cell r="C418" t="str">
            <v>G2312-0470</v>
          </cell>
          <cell r="D418" t="str">
            <v>000042944999002605</v>
          </cell>
          <cell r="E418" t="str">
            <v>带键锁紧螺桩</v>
          </cell>
          <cell r="F418" t="str">
            <v>8S.DFD20.3.802</v>
          </cell>
          <cell r="G418" t="str">
            <v>-</v>
          </cell>
          <cell r="H418" t="str">
            <v/>
          </cell>
          <cell r="I418" t="str">
            <v/>
          </cell>
          <cell r="J418" t="str">
            <v>组件</v>
          </cell>
          <cell r="K418">
            <v>50</v>
          </cell>
          <cell r="L418">
            <v>46058</v>
          </cell>
          <cell r="M418" t="str">
            <v>3-配货完成</v>
          </cell>
        </row>
        <row r="418">
          <cell r="O418">
            <v>0</v>
          </cell>
          <cell r="P418" t="str">
            <v>哈尔滨东安实业发展有限公司</v>
          </cell>
          <cell r="Q418" t="str">
            <v>10</v>
          </cell>
        </row>
        <row r="418">
          <cell r="U418" t="str">
            <v>010000657073</v>
          </cell>
          <cell r="V418" t="str">
            <v>BIAOQIAN2</v>
          </cell>
          <cell r="W418" t="str">
            <v/>
          </cell>
          <cell r="X418" t="str">
            <v>CP-108-A/CP-C8-2-4-3</v>
          </cell>
          <cell r="Y418" t="str">
            <v/>
          </cell>
          <cell r="Z418" t="str">
            <v>1906</v>
          </cell>
          <cell r="AA418" t="str">
            <v>1100160140</v>
          </cell>
          <cell r="AB418">
            <v>50</v>
          </cell>
          <cell r="AC418" t="str">
            <v>GJ2312-00470-S-1A</v>
          </cell>
          <cell r="AD418">
            <v>197</v>
          </cell>
          <cell r="AE418" t="str">
            <v>G-100016975-260204-0008XH</v>
          </cell>
        </row>
        <row r="419">
          <cell r="B419" t="str">
            <v>7101073332</v>
          </cell>
          <cell r="C419" t="str">
            <v>G2504-3767</v>
          </cell>
          <cell r="D419" t="str">
            <v>000042944288000861</v>
          </cell>
          <cell r="E419" t="str">
            <v>六角开槽自锁螺母(最高工作温度650°)</v>
          </cell>
          <cell r="F419" t="str">
            <v>HB5635M6</v>
          </cell>
          <cell r="G419" t="str">
            <v>M6</v>
          </cell>
          <cell r="H419" t="str">
            <v>29-35HRC</v>
          </cell>
          <cell r="I419" t="str">
            <v>Ep·Ag</v>
          </cell>
          <cell r="J419" t="str">
            <v>GH2132</v>
          </cell>
          <cell r="K419">
            <v>50</v>
          </cell>
          <cell r="L419">
            <v>46057</v>
          </cell>
          <cell r="M419" t="str">
            <v>3-配货完成</v>
          </cell>
        </row>
        <row r="419">
          <cell r="O419">
            <v>0</v>
          </cell>
          <cell r="P419" t="str">
            <v>哈尔滨东安实业发展有限公司</v>
          </cell>
          <cell r="Q419" t="str">
            <v>10</v>
          </cell>
        </row>
        <row r="419">
          <cell r="U419" t="str">
            <v>010000815684</v>
          </cell>
          <cell r="V419" t="str">
            <v>BIAOQIAN4</v>
          </cell>
          <cell r="W419" t="str">
            <v/>
          </cell>
          <cell r="X419" t="str">
            <v>CP-108-A</v>
          </cell>
          <cell r="Y419" t="str">
            <v/>
          </cell>
          <cell r="Z419" t="str">
            <v>1906</v>
          </cell>
          <cell r="AA419" t="str">
            <v>1100143396</v>
          </cell>
          <cell r="AB419">
            <v>50</v>
          </cell>
          <cell r="AC419" t="str">
            <v/>
          </cell>
          <cell r="AD419">
            <v>37</v>
          </cell>
          <cell r="AE419" t="str">
            <v>G-100016975-250312-0016</v>
          </cell>
        </row>
        <row r="420">
          <cell r="B420" t="str">
            <v>7101069404</v>
          </cell>
          <cell r="C420" t="str">
            <v>G2512-0736</v>
          </cell>
          <cell r="D420" t="str">
            <v>000042944000162708</v>
          </cell>
          <cell r="E420" t="str">
            <v>熔焊型导管接嘴</v>
          </cell>
          <cell r="F420" t="str">
            <v>CE8004-1-06A</v>
          </cell>
          <cell r="G420" t="str">
            <v>CE8004-1-06A</v>
          </cell>
          <cell r="H420" t="str">
            <v/>
          </cell>
          <cell r="I420" t="str">
            <v>化学钝化</v>
          </cell>
          <cell r="J420" t="str">
            <v>321</v>
          </cell>
          <cell r="K420">
            <v>22</v>
          </cell>
          <cell r="L420">
            <v>46047</v>
          </cell>
          <cell r="M420" t="str">
            <v>4-检验完成</v>
          </cell>
        </row>
        <row r="420">
          <cell r="O420">
            <v>0</v>
          </cell>
          <cell r="P420" t="str">
            <v>哈尔滨东安实业发展有限公司</v>
          </cell>
          <cell r="Q420" t="str">
            <v>10</v>
          </cell>
          <cell r="R420">
            <v>46055</v>
          </cell>
        </row>
        <row r="420">
          <cell r="U420" t="str">
            <v>010000892178</v>
          </cell>
          <cell r="V420" t="str">
            <v>BIAOQIAN2</v>
          </cell>
          <cell r="W420" t="str">
            <v/>
          </cell>
          <cell r="X420" t="str">
            <v>CP-108-A</v>
          </cell>
          <cell r="Y420" t="str">
            <v/>
          </cell>
          <cell r="Z420" t="str">
            <v>1906</v>
          </cell>
          <cell r="AA420" t="str">
            <v>1100157019</v>
          </cell>
          <cell r="AB420">
            <v>22</v>
          </cell>
          <cell r="AC420" t="str">
            <v/>
          </cell>
          <cell r="AD420">
            <v>20</v>
          </cell>
          <cell r="AE420" t="str">
            <v>G-100016975-251204-0076</v>
          </cell>
        </row>
        <row r="421">
          <cell r="B421" t="str">
            <v>7101059155</v>
          </cell>
          <cell r="C421" t="str">
            <v>G2501-2504</v>
          </cell>
          <cell r="D421" t="str">
            <v>000042944288117418</v>
          </cell>
          <cell r="E421" t="str">
            <v>双耳游动自锁托板螺母</v>
          </cell>
          <cell r="F421" t="str">
            <v>AS3481-04</v>
          </cell>
          <cell r="G421" t="str">
            <v>AS3481-04</v>
          </cell>
          <cell r="H421" t="str">
            <v/>
          </cell>
          <cell r="I421" t="str">
            <v/>
          </cell>
          <cell r="J421" t="str">
            <v>组件</v>
          </cell>
          <cell r="K421">
            <v>90</v>
          </cell>
          <cell r="L421">
            <v>46029</v>
          </cell>
          <cell r="M421" t="str">
            <v>4-检验完成</v>
          </cell>
        </row>
        <row r="421">
          <cell r="O421">
            <v>0</v>
          </cell>
          <cell r="P421" t="str">
            <v>哈尔滨东安实业发展有限公司</v>
          </cell>
          <cell r="Q421" t="str">
            <v>10</v>
          </cell>
          <cell r="R421">
            <v>46056</v>
          </cell>
        </row>
        <row r="421">
          <cell r="U421" t="str">
            <v>010000777605</v>
          </cell>
          <cell r="V421" t="str">
            <v>BIAOQIAN2</v>
          </cell>
          <cell r="W421" t="str">
            <v/>
          </cell>
          <cell r="X421" t="str">
            <v>CP-108-A</v>
          </cell>
          <cell r="Y421" t="str">
            <v/>
          </cell>
          <cell r="Z421" t="str">
            <v>1906</v>
          </cell>
          <cell r="AA421" t="str">
            <v>1100158064</v>
          </cell>
          <cell r="AB421">
            <v>90</v>
          </cell>
          <cell r="AC421" t="str">
            <v/>
          </cell>
          <cell r="AD421">
            <v>41.52</v>
          </cell>
          <cell r="AE421" t="str">
            <v>G-100016975-260105-0002</v>
          </cell>
        </row>
        <row r="422">
          <cell r="B422" t="str">
            <v>7101041853</v>
          </cell>
          <cell r="C422" t="str">
            <v>G2502-3076</v>
          </cell>
          <cell r="D422" t="str">
            <v>000042944239004239</v>
          </cell>
          <cell r="E422" t="str">
            <v>光杆公差带r6抗剪型100°沉头高锁螺栓</v>
          </cell>
          <cell r="F422" t="str">
            <v>GJB134.2-6×14</v>
          </cell>
          <cell r="G422" t="str">
            <v>6×14</v>
          </cell>
          <cell r="H422" t="str">
            <v>σb=1175±100MPa</v>
          </cell>
          <cell r="I422" t="str">
            <v>Ct·O+Dp·CA</v>
          </cell>
          <cell r="J422" t="str">
            <v>ML30CrMnSiA</v>
          </cell>
          <cell r="K422">
            <v>120</v>
          </cell>
          <cell r="L422">
            <v>45986</v>
          </cell>
          <cell r="M422" t="str">
            <v>3-配货完成</v>
          </cell>
        </row>
        <row r="422">
          <cell r="O422">
            <v>0</v>
          </cell>
          <cell r="P422" t="str">
            <v>哈尔滨东安实业发展有限公司</v>
          </cell>
          <cell r="Q422" t="str">
            <v>50</v>
          </cell>
        </row>
        <row r="422">
          <cell r="U422" t="str">
            <v>010000789278</v>
          </cell>
          <cell r="V422" t="str">
            <v>BIAOQIAN1</v>
          </cell>
          <cell r="W422" t="str">
            <v/>
          </cell>
          <cell r="X422" t="str">
            <v>CP-108-A</v>
          </cell>
          <cell r="Y422" t="str">
            <v/>
          </cell>
          <cell r="Z422" t="str">
            <v>1906</v>
          </cell>
          <cell r="AA422" t="str">
            <v>1100124770</v>
          </cell>
          <cell r="AB422">
            <v>320</v>
          </cell>
          <cell r="AC422" t="str">
            <v/>
          </cell>
          <cell r="AD422">
            <v>101.44</v>
          </cell>
          <cell r="AE422" t="str">
            <v>G1302-240205-037</v>
          </cell>
        </row>
        <row r="423">
          <cell r="B423" t="str">
            <v>7101022910</v>
          </cell>
          <cell r="C423" t="str">
            <v>G2505-1321</v>
          </cell>
          <cell r="D423" t="str">
            <v>000042944360151880</v>
          </cell>
          <cell r="E423" t="str">
            <v>圆柱销</v>
          </cell>
          <cell r="F423" t="str">
            <v>Q/8S1337.1-2024</v>
          </cell>
          <cell r="G423" t="str">
            <v>A-014</v>
          </cell>
          <cell r="H423" t="str">
            <v>27-35HRC</v>
          </cell>
          <cell r="I423" t="str">
            <v>Ct·P</v>
          </cell>
          <cell r="J423" t="str">
            <v>GH2132</v>
          </cell>
          <cell r="K423">
            <v>15</v>
          </cell>
          <cell r="L423">
            <v>45947</v>
          </cell>
          <cell r="M423" t="str">
            <v>3-配货完成</v>
          </cell>
        </row>
        <row r="423">
          <cell r="O423">
            <v>0</v>
          </cell>
          <cell r="P423" t="str">
            <v>哈尔滨东安实业发展有限公司</v>
          </cell>
          <cell r="Q423" t="str">
            <v>30</v>
          </cell>
        </row>
        <row r="423">
          <cell r="U423" t="str">
            <v>010000827084</v>
          </cell>
          <cell r="V423" t="str">
            <v>BIAOQIAN2</v>
          </cell>
          <cell r="W423" t="str">
            <v/>
          </cell>
          <cell r="X423" t="str">
            <v>CP-108-A</v>
          </cell>
          <cell r="Y423" t="str">
            <v/>
          </cell>
          <cell r="Z423" t="str">
            <v>1906</v>
          </cell>
          <cell r="AA423" t="str">
            <v>1100141949</v>
          </cell>
          <cell r="AB423">
            <v>15</v>
          </cell>
          <cell r="AC423" t="str">
            <v/>
          </cell>
          <cell r="AD423">
            <v>34.83</v>
          </cell>
          <cell r="AE423" t="str">
            <v>G-100016975-250221-0010-1</v>
          </cell>
        </row>
        <row r="424">
          <cell r="B424" t="str">
            <v>7101079868</v>
          </cell>
          <cell r="C424" t="str">
            <v>G2512-0774</v>
          </cell>
          <cell r="D424" t="str">
            <v>000042944320119139</v>
          </cell>
          <cell r="E424" t="str">
            <v>铆钉</v>
          </cell>
          <cell r="F424" t="str">
            <v>11S70294</v>
          </cell>
          <cell r="G424" t="str">
            <v>-</v>
          </cell>
          <cell r="H424" t="str">
            <v>固溶</v>
          </cell>
          <cell r="I424" t="str">
            <v/>
          </cell>
          <cell r="J424" t="str">
            <v>06Cr18Ni9</v>
          </cell>
          <cell r="K424">
            <v>50</v>
          </cell>
          <cell r="L424">
            <v>46079</v>
          </cell>
          <cell r="M424" t="str">
            <v>3-配货完成</v>
          </cell>
        </row>
        <row r="424">
          <cell r="O424">
            <v>0</v>
          </cell>
          <cell r="P424" t="str">
            <v>哈尔滨东安实业发展有限公司</v>
          </cell>
          <cell r="Q424" t="str">
            <v>30</v>
          </cell>
        </row>
        <row r="424">
          <cell r="U424" t="str">
            <v>010000892411</v>
          </cell>
          <cell r="V424" t="str">
            <v>BIAOQIAN2</v>
          </cell>
          <cell r="W424" t="str">
            <v/>
          </cell>
          <cell r="X424" t="str">
            <v>CP-108-A</v>
          </cell>
          <cell r="Y424" t="str">
            <v/>
          </cell>
          <cell r="Z424" t="str">
            <v>1906</v>
          </cell>
          <cell r="AA424" t="str">
            <v>1100158737</v>
          </cell>
          <cell r="AB424">
            <v>50</v>
          </cell>
          <cell r="AC424" t="str">
            <v/>
          </cell>
          <cell r="AD424">
            <v>90</v>
          </cell>
          <cell r="AE424" t="str">
            <v>G-100016975-260109-0004</v>
          </cell>
        </row>
        <row r="425">
          <cell r="B425" t="str">
            <v>7101079513</v>
          </cell>
          <cell r="C425" t="str">
            <v>G2509-3412</v>
          </cell>
          <cell r="D425" t="str">
            <v>000042944239004239</v>
          </cell>
          <cell r="E425" t="str">
            <v>高锁螺栓</v>
          </cell>
          <cell r="F425" t="str">
            <v>GJB134.2-6×14</v>
          </cell>
          <cell r="G425" t="str">
            <v>6×14</v>
          </cell>
          <cell r="H425" t="str">
            <v>σb=1175±100MPa</v>
          </cell>
          <cell r="I425" t="str">
            <v>Ct·O+Dp·CA</v>
          </cell>
          <cell r="J425" t="str">
            <v>ML30CrMnSiA</v>
          </cell>
          <cell r="K425">
            <v>57</v>
          </cell>
          <cell r="L425">
            <v>46078</v>
          </cell>
          <cell r="M425" t="str">
            <v>3-配货完成</v>
          </cell>
        </row>
        <row r="425">
          <cell r="O425">
            <v>0</v>
          </cell>
          <cell r="P425" t="str">
            <v>哈尔滨东安实业发展有限公司</v>
          </cell>
          <cell r="Q425" t="str">
            <v>50</v>
          </cell>
        </row>
        <row r="425">
          <cell r="U425" t="str">
            <v>010000870128</v>
          </cell>
          <cell r="V425" t="str">
            <v>BIAOQIAN3</v>
          </cell>
          <cell r="W425" t="str">
            <v/>
          </cell>
          <cell r="X425" t="str">
            <v>CP-108-A/CP-60-3-4-1</v>
          </cell>
          <cell r="Y425" t="str">
            <v/>
          </cell>
          <cell r="Z425" t="str">
            <v>1906</v>
          </cell>
          <cell r="AA425" t="str">
            <v>1100124770</v>
          </cell>
          <cell r="AB425">
            <v>320</v>
          </cell>
          <cell r="AC425" t="str">
            <v/>
          </cell>
          <cell r="AD425">
            <v>101.44</v>
          </cell>
          <cell r="AE425" t="str">
            <v>G1302-240205-037</v>
          </cell>
        </row>
        <row r="426">
          <cell r="B426" t="str">
            <v>7101079513</v>
          </cell>
          <cell r="C426" t="str">
            <v>G2601-0247</v>
          </cell>
          <cell r="D426" t="str">
            <v>000042944239004239</v>
          </cell>
          <cell r="E426" t="str">
            <v>高锁螺栓</v>
          </cell>
          <cell r="F426" t="str">
            <v>GJB134.2-6×14</v>
          </cell>
          <cell r="G426" t="str">
            <v>6×14</v>
          </cell>
          <cell r="H426" t="str">
            <v>σb=1175±100MPa</v>
          </cell>
          <cell r="I426" t="str">
            <v>Ct·O+Dp·CA</v>
          </cell>
          <cell r="J426" t="str">
            <v>ML30CrMnSiA</v>
          </cell>
          <cell r="K426">
            <v>70</v>
          </cell>
          <cell r="L426">
            <v>46078</v>
          </cell>
          <cell r="M426" t="str">
            <v>3-配货完成</v>
          </cell>
        </row>
        <row r="426">
          <cell r="O426">
            <v>0</v>
          </cell>
          <cell r="P426" t="str">
            <v>哈尔滨东安实业发展有限公司</v>
          </cell>
          <cell r="Q426" t="str">
            <v>50</v>
          </cell>
        </row>
        <row r="426">
          <cell r="U426" t="str">
            <v>010000900654</v>
          </cell>
          <cell r="V426" t="str">
            <v>BIAOQIAN3</v>
          </cell>
          <cell r="W426" t="str">
            <v/>
          </cell>
          <cell r="X426" t="str">
            <v>CP-108-A</v>
          </cell>
          <cell r="Y426" t="str">
            <v/>
          </cell>
          <cell r="Z426" t="str">
            <v>1906</v>
          </cell>
          <cell r="AA426" t="str">
            <v>1100124770</v>
          </cell>
          <cell r="AB426">
            <v>320</v>
          </cell>
          <cell r="AC426" t="str">
            <v/>
          </cell>
          <cell r="AD426">
            <v>101.44</v>
          </cell>
          <cell r="AE426" t="str">
            <v>G1302-240205-037</v>
          </cell>
        </row>
        <row r="427">
          <cell r="B427" t="str">
            <v>7101079326</v>
          </cell>
          <cell r="C427" t="str">
            <v>G2507-1797</v>
          </cell>
          <cell r="D427" t="str">
            <v>000042944319000359</v>
          </cell>
          <cell r="E427" t="str">
            <v>抗剪型高锁螺母</v>
          </cell>
          <cell r="F427" t="str">
            <v>GJB134.1-1986 M6 LY12-CS 红色阳极化</v>
          </cell>
          <cell r="G427" t="str">
            <v>M6</v>
          </cell>
          <cell r="H427" t="str">
            <v/>
          </cell>
          <cell r="I427" t="str">
            <v>Et·A(s)·Cl(RD)+十六醇</v>
          </cell>
          <cell r="J427" t="str">
            <v>LY12-CS</v>
          </cell>
          <cell r="K427">
            <v>85</v>
          </cell>
          <cell r="L427">
            <v>46078</v>
          </cell>
          <cell r="M427" t="str">
            <v>3-配货完成</v>
          </cell>
        </row>
        <row r="427">
          <cell r="O427">
            <v>0</v>
          </cell>
          <cell r="P427" t="str">
            <v>哈尔滨东安实业发展有限公司</v>
          </cell>
          <cell r="Q427" t="str">
            <v>20</v>
          </cell>
        </row>
        <row r="427">
          <cell r="U427" t="str">
            <v>010000847896</v>
          </cell>
          <cell r="V427" t="str">
            <v>BIAOQIAN4</v>
          </cell>
          <cell r="W427" t="str">
            <v/>
          </cell>
          <cell r="X427" t="str">
            <v>CP-108-A</v>
          </cell>
          <cell r="Y427" t="str">
            <v/>
          </cell>
          <cell r="Z427" t="str">
            <v>1906</v>
          </cell>
          <cell r="AA427" t="str">
            <v>1100153644</v>
          </cell>
          <cell r="AB427">
            <v>85</v>
          </cell>
          <cell r="AC427" t="str">
            <v>GJ2507-01797</v>
          </cell>
          <cell r="AD427">
            <v>39.2</v>
          </cell>
          <cell r="AE427" t="str">
            <v>G-100016975-250925-0053</v>
          </cell>
        </row>
        <row r="428">
          <cell r="B428" t="str">
            <v>7101076553</v>
          </cell>
          <cell r="C428" t="str">
            <v>G2602-0792</v>
          </cell>
          <cell r="D428" t="str">
            <v>000042944039000153</v>
          </cell>
          <cell r="E428" t="str">
            <v>带键自锁螺套</v>
          </cell>
          <cell r="F428" t="str">
            <v>Q/S15.1119-6</v>
          </cell>
          <cell r="G428" t="str">
            <v>6</v>
          </cell>
          <cell r="H428" t="str">
            <v/>
          </cell>
          <cell r="I428" t="str">
            <v/>
          </cell>
          <cell r="J428" t="str">
            <v>组件</v>
          </cell>
          <cell r="K428">
            <v>113</v>
          </cell>
          <cell r="L428">
            <v>46064</v>
          </cell>
          <cell r="M428" t="str">
            <v>3-配货完成</v>
          </cell>
        </row>
        <row r="428">
          <cell r="O428">
            <v>0</v>
          </cell>
          <cell r="P428" t="str">
            <v>哈尔滨东安实业发展有限公司</v>
          </cell>
          <cell r="Q428" t="str">
            <v>50</v>
          </cell>
        </row>
        <row r="428">
          <cell r="U428" t="str">
            <v>010000913641</v>
          </cell>
          <cell r="V428" t="str">
            <v>BIAOQIAN1</v>
          </cell>
          <cell r="W428" t="str">
            <v/>
          </cell>
          <cell r="X428" t="str">
            <v>CP-108-A</v>
          </cell>
          <cell r="Y428" t="str">
            <v/>
          </cell>
          <cell r="Z428" t="str">
            <v>1906</v>
          </cell>
          <cell r="AA428" t="str">
            <v>1100160153</v>
          </cell>
          <cell r="AB428">
            <v>113</v>
          </cell>
          <cell r="AC428" t="str">
            <v/>
          </cell>
          <cell r="AD428">
            <v>119</v>
          </cell>
          <cell r="AE428" t="str">
            <v>G-100016975-260204-0007</v>
          </cell>
        </row>
        <row r="429">
          <cell r="B429" t="str">
            <v>7101073898</v>
          </cell>
          <cell r="C429" t="str">
            <v>G2312-0470</v>
          </cell>
          <cell r="D429" t="str">
            <v>000042944999002605</v>
          </cell>
          <cell r="E429" t="str">
            <v>带键锁紧螺桩</v>
          </cell>
          <cell r="F429" t="str">
            <v>8S.DFD20.3.802</v>
          </cell>
          <cell r="G429" t="str">
            <v>-</v>
          </cell>
          <cell r="H429" t="str">
            <v/>
          </cell>
          <cell r="I429" t="str">
            <v/>
          </cell>
          <cell r="J429" t="str">
            <v>组件</v>
          </cell>
          <cell r="K429">
            <v>50</v>
          </cell>
          <cell r="L429">
            <v>46058</v>
          </cell>
          <cell r="M429" t="str">
            <v>3-配货完成</v>
          </cell>
        </row>
        <row r="429">
          <cell r="O429">
            <v>0</v>
          </cell>
          <cell r="P429" t="str">
            <v>哈尔滨东安实业发展有限公司</v>
          </cell>
          <cell r="Q429" t="str">
            <v>10</v>
          </cell>
        </row>
        <row r="429">
          <cell r="U429" t="str">
            <v>010000657073</v>
          </cell>
          <cell r="V429" t="str">
            <v>BIAOQIAN2</v>
          </cell>
          <cell r="W429" t="str">
            <v/>
          </cell>
          <cell r="X429" t="str">
            <v>CP-108-A/CP-C8-2-4-3</v>
          </cell>
          <cell r="Y429" t="str">
            <v/>
          </cell>
          <cell r="Z429" t="str">
            <v>1906</v>
          </cell>
          <cell r="AA429" t="str">
            <v>1100160140</v>
          </cell>
          <cell r="AB429">
            <v>50</v>
          </cell>
          <cell r="AC429" t="str">
            <v>GJ2312-00470-S-1A</v>
          </cell>
          <cell r="AD429">
            <v>197</v>
          </cell>
          <cell r="AE429" t="str">
            <v>G-100016975-260204-0008XH</v>
          </cell>
        </row>
        <row r="430">
          <cell r="B430" t="str">
            <v>7101073332</v>
          </cell>
          <cell r="C430" t="str">
            <v>G2504-3767</v>
          </cell>
          <cell r="D430" t="str">
            <v>000042944288000861</v>
          </cell>
          <cell r="E430" t="str">
            <v>六角开槽自锁螺母(最高工作温度650°)</v>
          </cell>
          <cell r="F430" t="str">
            <v>HB5635M6</v>
          </cell>
          <cell r="G430" t="str">
            <v>M6</v>
          </cell>
          <cell r="H430" t="str">
            <v>29-35HRC</v>
          </cell>
          <cell r="I430" t="str">
            <v>Ep·Ag</v>
          </cell>
          <cell r="J430" t="str">
            <v>GH2132</v>
          </cell>
          <cell r="K430">
            <v>50</v>
          </cell>
          <cell r="L430">
            <v>46057</v>
          </cell>
          <cell r="M430" t="str">
            <v>3-配货完成</v>
          </cell>
        </row>
        <row r="430">
          <cell r="O430">
            <v>0</v>
          </cell>
          <cell r="P430" t="str">
            <v>哈尔滨东安实业发展有限公司</v>
          </cell>
          <cell r="Q430" t="str">
            <v>10</v>
          </cell>
        </row>
        <row r="430">
          <cell r="U430" t="str">
            <v>010000815684</v>
          </cell>
          <cell r="V430" t="str">
            <v>BIAOQIAN4</v>
          </cell>
          <cell r="W430" t="str">
            <v/>
          </cell>
          <cell r="X430" t="str">
            <v>CP-108-A</v>
          </cell>
          <cell r="Y430" t="str">
            <v/>
          </cell>
          <cell r="Z430" t="str">
            <v>1906</v>
          </cell>
          <cell r="AA430" t="str">
            <v>1100143396</v>
          </cell>
          <cell r="AB430">
            <v>50</v>
          </cell>
          <cell r="AC430" t="str">
            <v/>
          </cell>
          <cell r="AD430">
            <v>37</v>
          </cell>
          <cell r="AE430" t="str">
            <v>G-100016975-250312-0016</v>
          </cell>
        </row>
        <row r="431">
          <cell r="B431" t="str">
            <v>7101041853</v>
          </cell>
          <cell r="C431" t="str">
            <v>G2502-3076</v>
          </cell>
          <cell r="D431" t="str">
            <v>000042944239004239</v>
          </cell>
          <cell r="E431" t="str">
            <v>光杆公差带r6抗剪型100°沉头高锁螺栓</v>
          </cell>
          <cell r="F431" t="str">
            <v>GJB134.2-6×14</v>
          </cell>
          <cell r="G431" t="str">
            <v>6×14</v>
          </cell>
          <cell r="H431" t="str">
            <v>σb=1175±100MPa</v>
          </cell>
          <cell r="I431" t="str">
            <v>Ct·O+Dp·CA</v>
          </cell>
          <cell r="J431" t="str">
            <v>ML30CrMnSiA</v>
          </cell>
          <cell r="K431">
            <v>120</v>
          </cell>
          <cell r="L431">
            <v>45986</v>
          </cell>
          <cell r="M431" t="str">
            <v>4-检验完成</v>
          </cell>
        </row>
        <row r="431">
          <cell r="O431">
            <v>0</v>
          </cell>
          <cell r="P431" t="str">
            <v>哈尔滨东安实业发展有限公司</v>
          </cell>
          <cell r="Q431" t="str">
            <v>50</v>
          </cell>
          <cell r="R431">
            <v>46084</v>
          </cell>
        </row>
        <row r="431">
          <cell r="U431" t="str">
            <v>010000789278</v>
          </cell>
          <cell r="V431" t="str">
            <v>BIAOQIAN1</v>
          </cell>
          <cell r="W431" t="str">
            <v/>
          </cell>
          <cell r="X431" t="str">
            <v>CP-108-A</v>
          </cell>
          <cell r="Y431" t="str">
            <v/>
          </cell>
          <cell r="Z431" t="str">
            <v>1906</v>
          </cell>
          <cell r="AA431" t="str">
            <v>1100124770</v>
          </cell>
          <cell r="AB431">
            <v>320</v>
          </cell>
          <cell r="AC431" t="str">
            <v/>
          </cell>
          <cell r="AD431">
            <v>101.44</v>
          </cell>
          <cell r="AE431" t="str">
            <v>G1302-240205-037</v>
          </cell>
        </row>
        <row r="432">
          <cell r="B432" t="str">
            <v>7101022910</v>
          </cell>
          <cell r="C432" t="str">
            <v>G2505-1321</v>
          </cell>
          <cell r="D432" t="str">
            <v>000042944360151880</v>
          </cell>
          <cell r="E432" t="str">
            <v>圆柱销</v>
          </cell>
          <cell r="F432" t="str">
            <v>Q/8S1337.1-2024</v>
          </cell>
          <cell r="G432" t="str">
            <v>A-014</v>
          </cell>
          <cell r="H432" t="str">
            <v>27-35HRC</v>
          </cell>
          <cell r="I432" t="str">
            <v>Ct·P</v>
          </cell>
          <cell r="J432" t="str">
            <v>GH2132</v>
          </cell>
          <cell r="K432">
            <v>15</v>
          </cell>
          <cell r="L432">
            <v>45947</v>
          </cell>
          <cell r="M432" t="str">
            <v>3-配货完成</v>
          </cell>
        </row>
        <row r="432">
          <cell r="O432">
            <v>0</v>
          </cell>
          <cell r="P432" t="str">
            <v>哈尔滨东安实业发展有限公司</v>
          </cell>
          <cell r="Q432" t="str">
            <v>30</v>
          </cell>
        </row>
        <row r="432">
          <cell r="U432" t="str">
            <v>010000827084</v>
          </cell>
          <cell r="V432" t="str">
            <v>BIAOQIAN2</v>
          </cell>
          <cell r="W432" t="str">
            <v/>
          </cell>
          <cell r="X432" t="str">
            <v>CP-108-A</v>
          </cell>
          <cell r="Y432" t="str">
            <v/>
          </cell>
          <cell r="Z432" t="str">
            <v>1906</v>
          </cell>
          <cell r="AA432" t="str">
            <v>1100141949</v>
          </cell>
          <cell r="AB432">
            <v>15</v>
          </cell>
          <cell r="AC432" t="str">
            <v/>
          </cell>
          <cell r="AD432">
            <v>34.83</v>
          </cell>
          <cell r="AE432" t="str">
            <v>G-100016975-250221-0010-1</v>
          </cell>
        </row>
        <row r="433">
          <cell r="B433" t="str">
            <v>7101087949</v>
          </cell>
          <cell r="C433" t="str">
            <v>G2511-1030</v>
          </cell>
          <cell r="D433" t="str">
            <v>000042944288163527</v>
          </cell>
          <cell r="E433" t="str">
            <v>十二角自锁螺母</v>
          </cell>
          <cell r="F433" t="str">
            <v>AETG156B</v>
          </cell>
          <cell r="G433" t="str">
            <v>0610</v>
          </cell>
          <cell r="H433" t="str">
            <v>σb≥900MPa,27-35HRC</v>
          </cell>
          <cell r="I433" t="str">
            <v>螺纹Ep·Ag5-8</v>
          </cell>
          <cell r="J433" t="str">
            <v>GH2132</v>
          </cell>
          <cell r="K433">
            <v>50</v>
          </cell>
          <cell r="L433">
            <v>46097</v>
          </cell>
          <cell r="M433" t="str">
            <v>3-配货完成</v>
          </cell>
        </row>
        <row r="433">
          <cell r="O433">
            <v>0</v>
          </cell>
          <cell r="P433" t="str">
            <v>哈尔滨东安实业发展有限公司</v>
          </cell>
          <cell r="Q433" t="str">
            <v>40</v>
          </cell>
        </row>
        <row r="433">
          <cell r="U433" t="str">
            <v>010000883652</v>
          </cell>
          <cell r="V433" t="str">
            <v>BIAOQIAN1</v>
          </cell>
          <cell r="W433" t="str">
            <v/>
          </cell>
          <cell r="X433" t="str">
            <v>CP-108-A</v>
          </cell>
          <cell r="Y433" t="str">
            <v/>
          </cell>
          <cell r="Z433" t="str">
            <v>1906</v>
          </cell>
          <cell r="AA433" t="str">
            <v>1100158737</v>
          </cell>
          <cell r="AB433">
            <v>50</v>
          </cell>
          <cell r="AC433" t="str">
            <v/>
          </cell>
          <cell r="AD433">
            <v>20</v>
          </cell>
          <cell r="AE433" t="str">
            <v>G-100016975-260109-0004</v>
          </cell>
        </row>
        <row r="434">
          <cell r="B434" t="str">
            <v>7101087948</v>
          </cell>
          <cell r="C434" t="str">
            <v>G2511-1030</v>
          </cell>
          <cell r="D434" t="str">
            <v>000042944288163527</v>
          </cell>
          <cell r="E434" t="str">
            <v>十二角自锁螺母</v>
          </cell>
          <cell r="F434" t="str">
            <v>AETG156B</v>
          </cell>
          <cell r="G434" t="str">
            <v>0610</v>
          </cell>
          <cell r="H434" t="str">
            <v>σb≥900MPa,27-35HRC</v>
          </cell>
          <cell r="I434" t="str">
            <v>螺纹Ep·Ag5-8</v>
          </cell>
          <cell r="J434" t="str">
            <v>GH2132</v>
          </cell>
          <cell r="K434">
            <v>50</v>
          </cell>
          <cell r="L434">
            <v>46097</v>
          </cell>
          <cell r="M434" t="str">
            <v>3-配货完成</v>
          </cell>
        </row>
        <row r="434">
          <cell r="O434">
            <v>0</v>
          </cell>
          <cell r="P434" t="str">
            <v>哈尔滨东安实业发展有限公司</v>
          </cell>
          <cell r="Q434" t="str">
            <v>10</v>
          </cell>
        </row>
        <row r="434">
          <cell r="U434" t="str">
            <v>010000883652</v>
          </cell>
          <cell r="V434" t="str">
            <v>BIAOQIAN1</v>
          </cell>
          <cell r="W434" t="str">
            <v/>
          </cell>
          <cell r="X434" t="str">
            <v>CP-108-A</v>
          </cell>
          <cell r="Y434" t="str">
            <v/>
          </cell>
          <cell r="Z434" t="str">
            <v>1906</v>
          </cell>
          <cell r="AA434" t="str">
            <v>1100156108</v>
          </cell>
          <cell r="AB434">
            <v>50</v>
          </cell>
          <cell r="AC434" t="str">
            <v/>
          </cell>
          <cell r="AD434">
            <v>20</v>
          </cell>
          <cell r="AE434" t="str">
            <v>G-100016975-251120-0070</v>
          </cell>
        </row>
        <row r="435">
          <cell r="B435" t="str">
            <v>7101087778</v>
          </cell>
          <cell r="C435" t="str">
            <v>G2412-2945</v>
          </cell>
          <cell r="D435" t="str">
            <v>000042944039117391</v>
          </cell>
          <cell r="E435" t="str">
            <v>管接螺套</v>
          </cell>
          <cell r="F435" t="str">
            <v>AS3078</v>
          </cell>
          <cell r="G435" t="str">
            <v>AS3078-10</v>
          </cell>
          <cell r="H435" t="str">
            <v>≥29HRC</v>
          </cell>
          <cell r="I435" t="str">
            <v>钝化</v>
          </cell>
          <cell r="J435" t="str">
            <v>A286</v>
          </cell>
          <cell r="K435">
            <v>50</v>
          </cell>
          <cell r="L435">
            <v>46096</v>
          </cell>
          <cell r="M435" t="str">
            <v>3-配货完成</v>
          </cell>
        </row>
        <row r="435">
          <cell r="O435">
            <v>0</v>
          </cell>
          <cell r="P435" t="str">
            <v>哈尔滨东安实业发展有限公司</v>
          </cell>
          <cell r="Q435" t="str">
            <v>30</v>
          </cell>
        </row>
        <row r="435">
          <cell r="U435" t="str">
            <v>010000766432</v>
          </cell>
          <cell r="V435" t="str">
            <v>BIAOQIAN1</v>
          </cell>
          <cell r="W435" t="str">
            <v/>
          </cell>
          <cell r="X435" t="str">
            <v>CP-81-5-3-3</v>
          </cell>
          <cell r="Y435" t="str">
            <v/>
          </cell>
          <cell r="Z435" t="str">
            <v>1906</v>
          </cell>
          <cell r="AA435" t="str">
            <v>1100161735</v>
          </cell>
          <cell r="AB435">
            <v>50</v>
          </cell>
          <cell r="AC435" t="str">
            <v/>
          </cell>
          <cell r="AD435">
            <v>41.52</v>
          </cell>
          <cell r="AE435" t="str">
            <v>G-100016975-260311-0013</v>
          </cell>
        </row>
        <row r="436">
          <cell r="B436" t="str">
            <v>7101087777</v>
          </cell>
          <cell r="C436" t="str">
            <v>G2501-2330</v>
          </cell>
          <cell r="D436" t="str">
            <v>000042944000117412</v>
          </cell>
          <cell r="E436" t="str">
            <v>止动环</v>
          </cell>
          <cell r="F436" t="str">
            <v>AS3077</v>
          </cell>
          <cell r="G436" t="str">
            <v>AS3077-10</v>
          </cell>
          <cell r="H436" t="str">
            <v>33-42HRC</v>
          </cell>
          <cell r="I436" t="str">
            <v>钝化</v>
          </cell>
          <cell r="J436" t="str">
            <v>A286</v>
          </cell>
          <cell r="K436">
            <v>50</v>
          </cell>
          <cell r="L436">
            <v>46096</v>
          </cell>
          <cell r="M436" t="str">
            <v>3-配货完成</v>
          </cell>
        </row>
        <row r="436">
          <cell r="O436">
            <v>0</v>
          </cell>
          <cell r="P436" t="str">
            <v>哈尔滨东安实业发展有限公司</v>
          </cell>
          <cell r="Q436" t="str">
            <v>20</v>
          </cell>
        </row>
        <row r="436">
          <cell r="U436" t="str">
            <v>010000777136</v>
          </cell>
          <cell r="V436" t="str">
            <v>BIAOQIAN3</v>
          </cell>
          <cell r="W436" t="str">
            <v/>
          </cell>
          <cell r="X436" t="str">
            <v>CP-43-5-1-1</v>
          </cell>
          <cell r="Y436" t="str">
            <v/>
          </cell>
          <cell r="Z436" t="str">
            <v>1906</v>
          </cell>
          <cell r="AA436" t="str">
            <v>1100161735</v>
          </cell>
          <cell r="AB436">
            <v>50</v>
          </cell>
          <cell r="AC436" t="str">
            <v/>
          </cell>
          <cell r="AD436">
            <v>72.5</v>
          </cell>
          <cell r="AE436" t="str">
            <v>G-100016975-260311-0013</v>
          </cell>
        </row>
        <row r="437">
          <cell r="B437" t="str">
            <v>7101087078</v>
          </cell>
          <cell r="C437" t="str">
            <v>G2601-0247</v>
          </cell>
          <cell r="D437" t="str">
            <v>000042944239004239</v>
          </cell>
          <cell r="E437" t="str">
            <v>高锁螺栓</v>
          </cell>
          <cell r="F437" t="str">
            <v>GJB134.2-6×14</v>
          </cell>
          <cell r="G437" t="str">
            <v>6×14</v>
          </cell>
          <cell r="H437" t="str">
            <v>σb=1175±100MPa</v>
          </cell>
          <cell r="I437" t="str">
            <v>Ct·O+Dp·CA</v>
          </cell>
          <cell r="J437" t="str">
            <v>ML30CrMnSiA</v>
          </cell>
          <cell r="K437">
            <v>70</v>
          </cell>
          <cell r="L437">
            <v>46094</v>
          </cell>
          <cell r="M437" t="str">
            <v>3-配货完成</v>
          </cell>
        </row>
        <row r="437">
          <cell r="O437">
            <v>0</v>
          </cell>
          <cell r="P437" t="str">
            <v>哈尔滨东安实业发展有限公司</v>
          </cell>
          <cell r="Q437" t="str">
            <v>50</v>
          </cell>
        </row>
        <row r="437">
          <cell r="U437" t="str">
            <v>010000900654</v>
          </cell>
          <cell r="V437" t="str">
            <v>BIAOQIAN3</v>
          </cell>
          <cell r="W437" t="str">
            <v/>
          </cell>
          <cell r="X437" t="str">
            <v>CP-108-A</v>
          </cell>
          <cell r="Y437" t="str">
            <v/>
          </cell>
          <cell r="Z437" t="str">
            <v>1906</v>
          </cell>
          <cell r="AA437" t="str">
            <v>1100124770</v>
          </cell>
          <cell r="AB437">
            <v>320</v>
          </cell>
          <cell r="AC437" t="str">
            <v/>
          </cell>
          <cell r="AD437">
            <v>101.44</v>
          </cell>
          <cell r="AE437" t="str">
            <v>G1302-240205-037</v>
          </cell>
        </row>
        <row r="438">
          <cell r="B438" t="str">
            <v>7101086957</v>
          </cell>
          <cell r="C438" t="str">
            <v>G2512-0081</v>
          </cell>
          <cell r="D438" t="str">
            <v>000042944320119139</v>
          </cell>
          <cell r="E438" t="str">
            <v>铆钉</v>
          </cell>
          <cell r="F438" t="str">
            <v>11S70294</v>
          </cell>
          <cell r="G438" t="str">
            <v>-</v>
          </cell>
          <cell r="H438" t="str">
            <v>固溶</v>
          </cell>
          <cell r="I438" t="str">
            <v/>
          </cell>
          <cell r="J438" t="str">
            <v>06Cr18Ni9</v>
          </cell>
          <cell r="K438">
            <v>12</v>
          </cell>
          <cell r="L438">
            <v>46094</v>
          </cell>
          <cell r="M438" t="str">
            <v>3-配货完成</v>
          </cell>
        </row>
        <row r="438">
          <cell r="O438">
            <v>0</v>
          </cell>
          <cell r="P438" t="str">
            <v>哈尔滨东安实业发展有限公司</v>
          </cell>
          <cell r="Q438" t="str">
            <v>30</v>
          </cell>
        </row>
        <row r="438">
          <cell r="U438" t="str">
            <v>010000889293</v>
          </cell>
          <cell r="V438" t="str">
            <v>BIAOQIAN4</v>
          </cell>
          <cell r="W438" t="str">
            <v/>
          </cell>
          <cell r="X438" t="str">
            <v>CP-108-A</v>
          </cell>
          <cell r="Y438" t="str">
            <v/>
          </cell>
          <cell r="Z438" t="str">
            <v>1906</v>
          </cell>
          <cell r="AA438" t="str">
            <v>1100158737</v>
          </cell>
          <cell r="AB438">
            <v>50</v>
          </cell>
          <cell r="AC438" t="str">
            <v/>
          </cell>
          <cell r="AD438">
            <v>90</v>
          </cell>
          <cell r="AE438" t="str">
            <v>G-100016975-260109-0004</v>
          </cell>
        </row>
        <row r="439">
          <cell r="B439" t="str">
            <v>7101084480</v>
          </cell>
          <cell r="C439" t="str">
            <v>G2512-0774</v>
          </cell>
          <cell r="D439" t="str">
            <v>000042944320119139</v>
          </cell>
          <cell r="E439" t="str">
            <v>铆钉</v>
          </cell>
          <cell r="F439" t="str">
            <v>11S70294</v>
          </cell>
          <cell r="G439" t="str">
            <v>-</v>
          </cell>
          <cell r="H439" t="str">
            <v>固溶</v>
          </cell>
          <cell r="I439" t="str">
            <v/>
          </cell>
          <cell r="J439" t="str">
            <v>06Cr18Ni9</v>
          </cell>
          <cell r="K439">
            <v>38</v>
          </cell>
          <cell r="L439">
            <v>46088</v>
          </cell>
          <cell r="M439" t="str">
            <v>0-初始未打印</v>
          </cell>
        </row>
        <row r="439">
          <cell r="O439">
            <v>0</v>
          </cell>
          <cell r="P439" t="str">
            <v>哈尔滨东安实业发展有限公司</v>
          </cell>
          <cell r="Q439" t="str">
            <v>30</v>
          </cell>
        </row>
        <row r="439">
          <cell r="U439" t="str">
            <v>010000892411</v>
          </cell>
          <cell r="V439" t="str">
            <v/>
          </cell>
          <cell r="W439" t="str">
            <v/>
          </cell>
          <cell r="X439" t="str">
            <v>CP-C7-3-3-1</v>
          </cell>
          <cell r="Y439" t="str">
            <v/>
          </cell>
          <cell r="Z439" t="str">
            <v>1906</v>
          </cell>
          <cell r="AA439" t="str">
            <v>1100158737</v>
          </cell>
          <cell r="AB439">
            <v>50</v>
          </cell>
          <cell r="AC439" t="str">
            <v/>
          </cell>
          <cell r="AD439">
            <v>90</v>
          </cell>
          <cell r="AE439" t="str">
            <v>G-100016975-260109-0004</v>
          </cell>
        </row>
        <row r="440">
          <cell r="B440" t="str">
            <v>7101079513</v>
          </cell>
          <cell r="C440" t="str">
            <v>G2509-3412</v>
          </cell>
          <cell r="D440" t="str">
            <v>000042944239004239</v>
          </cell>
          <cell r="E440" t="str">
            <v>高锁螺栓</v>
          </cell>
          <cell r="F440" t="str">
            <v>GJB134.2-6×14</v>
          </cell>
          <cell r="G440" t="str">
            <v>6×14</v>
          </cell>
          <cell r="H440" t="str">
            <v>σb=1175±100MPa</v>
          </cell>
          <cell r="I440" t="str">
            <v>Ct·O+Dp·CA</v>
          </cell>
          <cell r="J440" t="str">
            <v>ML30CrMnSiA</v>
          </cell>
          <cell r="K440">
            <v>57</v>
          </cell>
          <cell r="L440">
            <v>46078</v>
          </cell>
          <cell r="M440" t="str">
            <v>4-检验完成</v>
          </cell>
        </row>
        <row r="440">
          <cell r="O440">
            <v>0</v>
          </cell>
          <cell r="P440" t="str">
            <v>哈尔滨东安实业发展有限公司</v>
          </cell>
          <cell r="Q440" t="str">
            <v>50</v>
          </cell>
          <cell r="R440">
            <v>46094</v>
          </cell>
        </row>
        <row r="440">
          <cell r="U440" t="str">
            <v>010000870128</v>
          </cell>
          <cell r="V440" t="str">
            <v>BIAOQIAN3</v>
          </cell>
          <cell r="W440" t="str">
            <v/>
          </cell>
          <cell r="X440" t="str">
            <v>CP-108-A/CP-60-3-4-1</v>
          </cell>
          <cell r="Y440" t="str">
            <v/>
          </cell>
          <cell r="Z440" t="str">
            <v>1906</v>
          </cell>
          <cell r="AA440" t="str">
            <v>1100124770</v>
          </cell>
          <cell r="AB440">
            <v>320</v>
          </cell>
          <cell r="AC440" t="str">
            <v/>
          </cell>
          <cell r="AD440">
            <v>101.44</v>
          </cell>
          <cell r="AE440" t="str">
            <v>G1302-240205-037</v>
          </cell>
        </row>
        <row r="441">
          <cell r="B441" t="str">
            <v>7101079326</v>
          </cell>
          <cell r="C441" t="str">
            <v>G2507-1797</v>
          </cell>
          <cell r="D441" t="str">
            <v>000042944319000359</v>
          </cell>
          <cell r="E441" t="str">
            <v>抗剪型高锁螺母</v>
          </cell>
          <cell r="F441" t="str">
            <v>GJB134.1-1986 M6 LY12-CS 红色阳极化</v>
          </cell>
          <cell r="G441" t="str">
            <v>M6</v>
          </cell>
          <cell r="H441" t="str">
            <v/>
          </cell>
          <cell r="I441" t="str">
            <v>Et·A(s)·Cl(RD)+十六醇</v>
          </cell>
          <cell r="J441" t="str">
            <v>LY12-CS</v>
          </cell>
          <cell r="K441">
            <v>85</v>
          </cell>
          <cell r="L441">
            <v>46078</v>
          </cell>
          <cell r="M441" t="str">
            <v>3-配货完成</v>
          </cell>
        </row>
        <row r="441">
          <cell r="O441">
            <v>0</v>
          </cell>
          <cell r="P441" t="str">
            <v>哈尔滨东安实业发展有限公司</v>
          </cell>
          <cell r="Q441" t="str">
            <v>20</v>
          </cell>
        </row>
        <row r="441">
          <cell r="U441" t="str">
            <v>010000847896</v>
          </cell>
          <cell r="V441" t="str">
            <v>BIAOQIAN4</v>
          </cell>
          <cell r="W441" t="str">
            <v/>
          </cell>
          <cell r="X441" t="str">
            <v>CP-108-A</v>
          </cell>
          <cell r="Y441" t="str">
            <v/>
          </cell>
          <cell r="Z441" t="str">
            <v>1906</v>
          </cell>
          <cell r="AA441" t="str">
            <v>1100153644</v>
          </cell>
          <cell r="AB441">
            <v>85</v>
          </cell>
          <cell r="AC441" t="str">
            <v>GJ2507-01797</v>
          </cell>
          <cell r="AD441">
            <v>39.2</v>
          </cell>
          <cell r="AE441" t="str">
            <v>G-100016975-250925-0053</v>
          </cell>
        </row>
        <row r="442">
          <cell r="B442" t="str">
            <v>7101076553</v>
          </cell>
          <cell r="C442" t="str">
            <v>G2602-0792</v>
          </cell>
          <cell r="D442" t="str">
            <v>000042944039000153</v>
          </cell>
          <cell r="E442" t="str">
            <v>带键自锁螺套</v>
          </cell>
          <cell r="F442" t="str">
            <v>Q/S15.1119-6</v>
          </cell>
          <cell r="G442" t="str">
            <v>6</v>
          </cell>
          <cell r="H442" t="str">
            <v/>
          </cell>
          <cell r="I442" t="str">
            <v/>
          </cell>
          <cell r="J442" t="str">
            <v>组件</v>
          </cell>
          <cell r="K442">
            <v>113</v>
          </cell>
          <cell r="L442">
            <v>46064</v>
          </cell>
          <cell r="M442" t="str">
            <v>3-配货完成</v>
          </cell>
        </row>
        <row r="442">
          <cell r="O442">
            <v>0</v>
          </cell>
          <cell r="P442" t="str">
            <v>哈尔滨东安实业发展有限公司</v>
          </cell>
          <cell r="Q442" t="str">
            <v>50</v>
          </cell>
        </row>
        <row r="442">
          <cell r="U442" t="str">
            <v>010000913641</v>
          </cell>
          <cell r="V442" t="str">
            <v>BIAOQIAN1</v>
          </cell>
          <cell r="W442" t="str">
            <v/>
          </cell>
          <cell r="X442" t="str">
            <v>CP-108-A</v>
          </cell>
          <cell r="Y442" t="str">
            <v/>
          </cell>
          <cell r="Z442" t="str">
            <v>1906</v>
          </cell>
          <cell r="AA442" t="str">
            <v>1100160153</v>
          </cell>
          <cell r="AB442">
            <v>113</v>
          </cell>
          <cell r="AC442" t="str">
            <v/>
          </cell>
          <cell r="AD442">
            <v>119</v>
          </cell>
          <cell r="AE442" t="str">
            <v>G-100016975-260204-0007</v>
          </cell>
        </row>
        <row r="443">
          <cell r="B443" t="str">
            <v>7101073898</v>
          </cell>
          <cell r="C443" t="str">
            <v>G2312-0470</v>
          </cell>
          <cell r="D443" t="str">
            <v>000042944999002605</v>
          </cell>
          <cell r="E443" t="str">
            <v>带键锁紧螺桩</v>
          </cell>
          <cell r="F443" t="str">
            <v>8S.DFD20.3.802</v>
          </cell>
          <cell r="G443" t="str">
            <v>-</v>
          </cell>
          <cell r="H443" t="str">
            <v/>
          </cell>
          <cell r="I443" t="str">
            <v/>
          </cell>
          <cell r="J443" t="str">
            <v>组件</v>
          </cell>
          <cell r="K443">
            <v>50</v>
          </cell>
          <cell r="L443">
            <v>46058</v>
          </cell>
          <cell r="M443" t="str">
            <v>3-配货完成</v>
          </cell>
        </row>
        <row r="443">
          <cell r="O443">
            <v>0</v>
          </cell>
          <cell r="P443" t="str">
            <v>哈尔滨东安实业发展有限公司</v>
          </cell>
          <cell r="Q443" t="str">
            <v>10</v>
          </cell>
        </row>
        <row r="443">
          <cell r="U443" t="str">
            <v>010000657073</v>
          </cell>
          <cell r="V443" t="str">
            <v>BIAOQIAN2</v>
          </cell>
          <cell r="W443" t="str">
            <v/>
          </cell>
          <cell r="X443" t="str">
            <v>CP-108-A/CP-C8-2-4-3</v>
          </cell>
          <cell r="Y443" t="str">
            <v/>
          </cell>
          <cell r="Z443" t="str">
            <v>1906</v>
          </cell>
          <cell r="AA443" t="str">
            <v>1100160140</v>
          </cell>
          <cell r="AB443">
            <v>50</v>
          </cell>
          <cell r="AC443" t="str">
            <v>GJ2312-00470-S-1A</v>
          </cell>
          <cell r="AD443">
            <v>197</v>
          </cell>
          <cell r="AE443" t="str">
            <v>G-100016975-260204-0008XH</v>
          </cell>
        </row>
        <row r="444">
          <cell r="B444" t="str">
            <v>7101022910</v>
          </cell>
          <cell r="C444" t="str">
            <v>G2505-1321</v>
          </cell>
          <cell r="D444" t="str">
            <v>000042944360151880</v>
          </cell>
          <cell r="E444" t="str">
            <v>圆柱销</v>
          </cell>
          <cell r="F444" t="str">
            <v>Q/8S1337.1-2024</v>
          </cell>
          <cell r="G444" t="str">
            <v>A-014</v>
          </cell>
          <cell r="H444" t="str">
            <v>27-35HRC</v>
          </cell>
          <cell r="I444" t="str">
            <v>Ct·P</v>
          </cell>
          <cell r="J444" t="str">
            <v>GH2132</v>
          </cell>
          <cell r="K444">
            <v>15</v>
          </cell>
          <cell r="L444">
            <v>45947</v>
          </cell>
          <cell r="M444" t="str">
            <v>3-配货完成</v>
          </cell>
        </row>
        <row r="444">
          <cell r="O444">
            <v>0</v>
          </cell>
          <cell r="P444" t="str">
            <v>哈尔滨东安实业发展有限公司</v>
          </cell>
          <cell r="Q444" t="str">
            <v>30</v>
          </cell>
        </row>
        <row r="444">
          <cell r="U444" t="str">
            <v>010000827084</v>
          </cell>
          <cell r="V444" t="str">
            <v>BIAOQIAN2</v>
          </cell>
          <cell r="W444" t="str">
            <v/>
          </cell>
          <cell r="X444" t="str">
            <v>CP-108-A</v>
          </cell>
          <cell r="Y444" t="str">
            <v/>
          </cell>
          <cell r="Z444" t="str">
            <v>1906</v>
          </cell>
          <cell r="AA444" t="str">
            <v>1100141949</v>
          </cell>
          <cell r="AB444">
            <v>15</v>
          </cell>
          <cell r="AC444" t="str">
            <v/>
          </cell>
          <cell r="AD444">
            <v>34.83</v>
          </cell>
          <cell r="AE444" t="str">
            <v>G-100016975-250221-0010-1</v>
          </cell>
        </row>
        <row r="445">
          <cell r="B445" t="str">
            <v>7101089435</v>
          </cell>
          <cell r="C445" t="str">
            <v>G2602-0723</v>
          </cell>
          <cell r="D445" t="str">
            <v>000042944000020595</v>
          </cell>
          <cell r="E445" t="str">
            <v>波形弹性卡箍</v>
          </cell>
          <cell r="F445" t="str">
            <v>8S.DFD20.9.001</v>
          </cell>
          <cell r="G445" t="str">
            <v>-</v>
          </cell>
          <cell r="H445" t="str">
            <v/>
          </cell>
          <cell r="I445" t="str">
            <v/>
          </cell>
          <cell r="J445" t="str">
            <v>0Cr18Ni9</v>
          </cell>
          <cell r="K445">
            <v>1052</v>
          </cell>
          <cell r="L445">
            <v>46100</v>
          </cell>
          <cell r="M445" t="str">
            <v>3-配货完成</v>
          </cell>
        </row>
        <row r="445">
          <cell r="O445">
            <v>0</v>
          </cell>
          <cell r="P445" t="str">
            <v>哈尔滨东安实业发展有限公司</v>
          </cell>
          <cell r="Q445" t="str">
            <v>80</v>
          </cell>
        </row>
        <row r="445">
          <cell r="U445" t="str">
            <v>010000913200</v>
          </cell>
          <cell r="V445" t="str">
            <v>BIAOQIAN4</v>
          </cell>
          <cell r="W445" t="str">
            <v/>
          </cell>
          <cell r="X445" t="str">
            <v>CP-108-A</v>
          </cell>
          <cell r="Y445" t="str">
            <v/>
          </cell>
          <cell r="Z445" t="str">
            <v>1906</v>
          </cell>
          <cell r="AA445" t="str">
            <v>1100160153</v>
          </cell>
          <cell r="AB445">
            <v>1095</v>
          </cell>
          <cell r="AC445" t="str">
            <v/>
          </cell>
          <cell r="AD445">
            <v>50</v>
          </cell>
          <cell r="AE445" t="str">
            <v>G-100016975-260204-0007</v>
          </cell>
        </row>
        <row r="446">
          <cell r="B446" t="str">
            <v>7101089434</v>
          </cell>
          <cell r="C446" t="str">
            <v>G2602-0723</v>
          </cell>
          <cell r="D446" t="str">
            <v>000042944000020595</v>
          </cell>
          <cell r="E446" t="str">
            <v>波形弹性卡箍</v>
          </cell>
          <cell r="F446" t="str">
            <v>8S.DFD20.9.001</v>
          </cell>
          <cell r="G446" t="str">
            <v>-</v>
          </cell>
          <cell r="H446" t="str">
            <v/>
          </cell>
          <cell r="I446" t="str">
            <v/>
          </cell>
          <cell r="J446" t="str">
            <v>0Cr18Ni9</v>
          </cell>
          <cell r="K446">
            <v>105</v>
          </cell>
          <cell r="L446">
            <v>46100</v>
          </cell>
          <cell r="M446" t="str">
            <v>3-配货完成</v>
          </cell>
        </row>
        <row r="446">
          <cell r="O446">
            <v>0</v>
          </cell>
          <cell r="P446" t="str">
            <v>哈尔滨东安实业发展有限公司</v>
          </cell>
          <cell r="Q446" t="str">
            <v>70</v>
          </cell>
        </row>
        <row r="446">
          <cell r="U446" t="str">
            <v>010000913200</v>
          </cell>
          <cell r="V446" t="str">
            <v>BIAOQIAN4</v>
          </cell>
          <cell r="W446" t="str">
            <v/>
          </cell>
          <cell r="X446" t="str">
            <v>CP-108-A</v>
          </cell>
          <cell r="Y446" t="str">
            <v/>
          </cell>
          <cell r="Z446" t="str">
            <v>1906</v>
          </cell>
          <cell r="AA446" t="str">
            <v>1100161508</v>
          </cell>
          <cell r="AB446">
            <v>105</v>
          </cell>
          <cell r="AC446" t="str">
            <v/>
          </cell>
          <cell r="AD446">
            <v>50</v>
          </cell>
          <cell r="AE446" t="str">
            <v>G-100016975-260309-0012</v>
          </cell>
        </row>
        <row r="447">
          <cell r="B447" t="str">
            <v>7101088717</v>
          </cell>
          <cell r="C447" t="str">
            <v>G2601-1219</v>
          </cell>
          <cell r="D447" t="str">
            <v>000042944000020596</v>
          </cell>
          <cell r="E447" t="str">
            <v>波形弹性卡箍</v>
          </cell>
          <cell r="F447" t="str">
            <v>8S.DFD20.9.002</v>
          </cell>
          <cell r="G447" t="str">
            <v>-</v>
          </cell>
          <cell r="H447" t="str">
            <v/>
          </cell>
          <cell r="I447" t="str">
            <v/>
          </cell>
          <cell r="J447" t="str">
            <v>0Cr18Ni9</v>
          </cell>
          <cell r="K447">
            <v>11</v>
          </cell>
          <cell r="L447">
            <v>46099</v>
          </cell>
          <cell r="M447" t="str">
            <v>3-配货完成</v>
          </cell>
        </row>
        <row r="447">
          <cell r="O447">
            <v>0</v>
          </cell>
          <cell r="P447" t="str">
            <v>哈尔滨东安实业发展有限公司</v>
          </cell>
          <cell r="Q447" t="str">
            <v>90</v>
          </cell>
        </row>
        <row r="447">
          <cell r="U447" t="str">
            <v>010000903570</v>
          </cell>
          <cell r="V447" t="str">
            <v>BIAOQIAN4</v>
          </cell>
          <cell r="W447" t="str">
            <v/>
          </cell>
          <cell r="X447" t="str">
            <v>CP-108-A</v>
          </cell>
          <cell r="Y447" t="str">
            <v/>
          </cell>
          <cell r="Z447" t="str">
            <v>1906</v>
          </cell>
          <cell r="AA447" t="str">
            <v>1100160153</v>
          </cell>
          <cell r="AB447">
            <v>90</v>
          </cell>
          <cell r="AC447" t="str">
            <v/>
          </cell>
          <cell r="AD447">
            <v>50</v>
          </cell>
          <cell r="AE447" t="str">
            <v>G-100016975-260204-0007</v>
          </cell>
        </row>
        <row r="448">
          <cell r="B448" t="str">
            <v>7101088713</v>
          </cell>
          <cell r="C448" t="str">
            <v>G2601-1219</v>
          </cell>
          <cell r="D448" t="str">
            <v>000042944000020596</v>
          </cell>
          <cell r="E448" t="str">
            <v>波形弹性卡箍</v>
          </cell>
          <cell r="F448" t="str">
            <v>8S.DFD20.9.002</v>
          </cell>
          <cell r="G448" t="str">
            <v>-</v>
          </cell>
          <cell r="H448" t="str">
            <v/>
          </cell>
          <cell r="I448" t="str">
            <v/>
          </cell>
          <cell r="J448" t="str">
            <v>0Cr18Ni9</v>
          </cell>
          <cell r="K448">
            <v>44</v>
          </cell>
          <cell r="L448">
            <v>46099</v>
          </cell>
          <cell r="M448" t="str">
            <v>3-配货完成</v>
          </cell>
        </row>
        <row r="448">
          <cell r="O448">
            <v>0</v>
          </cell>
          <cell r="P448" t="str">
            <v>哈尔滨东安实业发展有限公司</v>
          </cell>
          <cell r="Q448" t="str">
            <v>20</v>
          </cell>
        </row>
        <row r="448">
          <cell r="U448" t="str">
            <v>010000903570</v>
          </cell>
          <cell r="V448" t="str">
            <v>BIAOQIAN4</v>
          </cell>
          <cell r="W448" t="str">
            <v/>
          </cell>
          <cell r="X448" t="str">
            <v>CP-108-A</v>
          </cell>
          <cell r="Y448" t="str">
            <v/>
          </cell>
          <cell r="Z448" t="str">
            <v>1906</v>
          </cell>
          <cell r="AA448" t="str">
            <v>1100158737</v>
          </cell>
          <cell r="AB448">
            <v>62</v>
          </cell>
          <cell r="AC448" t="str">
            <v/>
          </cell>
          <cell r="AD448">
            <v>50</v>
          </cell>
          <cell r="AE448" t="str">
            <v>G-100016975-260109-0004</v>
          </cell>
        </row>
        <row r="449">
          <cell r="B449" t="str">
            <v>7101087778</v>
          </cell>
          <cell r="C449" t="str">
            <v>G2412-2945</v>
          </cell>
          <cell r="D449" t="str">
            <v>000042944039117391</v>
          </cell>
          <cell r="E449" t="str">
            <v>管接螺套</v>
          </cell>
          <cell r="F449" t="str">
            <v>AS3078</v>
          </cell>
          <cell r="G449" t="str">
            <v>AS3078-10</v>
          </cell>
          <cell r="H449" t="str">
            <v>≥29HRC</v>
          </cell>
          <cell r="I449" t="str">
            <v>钝化</v>
          </cell>
          <cell r="J449" t="str">
            <v>A286</v>
          </cell>
          <cell r="K449">
            <v>50</v>
          </cell>
          <cell r="L449">
            <v>46096</v>
          </cell>
          <cell r="M449" t="str">
            <v>3-配货完成</v>
          </cell>
        </row>
        <row r="449">
          <cell r="O449">
            <v>0</v>
          </cell>
          <cell r="P449" t="str">
            <v>哈尔滨东安实业发展有限公司</v>
          </cell>
          <cell r="Q449" t="str">
            <v>30</v>
          </cell>
        </row>
        <row r="449">
          <cell r="U449" t="str">
            <v>010000766432</v>
          </cell>
          <cell r="V449" t="str">
            <v>BIAOQIAN1</v>
          </cell>
          <cell r="W449" t="str">
            <v/>
          </cell>
          <cell r="X449" t="str">
            <v>CP-81-5-3-3</v>
          </cell>
          <cell r="Y449" t="str">
            <v/>
          </cell>
          <cell r="Z449" t="str">
            <v>1906</v>
          </cell>
          <cell r="AA449" t="str">
            <v>1100161735</v>
          </cell>
          <cell r="AB449">
            <v>50</v>
          </cell>
          <cell r="AC449" t="str">
            <v/>
          </cell>
          <cell r="AD449">
            <v>41.52</v>
          </cell>
          <cell r="AE449" t="str">
            <v>G-100016975-260311-0013</v>
          </cell>
        </row>
        <row r="450">
          <cell r="B450" t="str">
            <v>7101087777</v>
          </cell>
          <cell r="C450" t="str">
            <v>G2501-2330</v>
          </cell>
          <cell r="D450" t="str">
            <v>000042944000117412</v>
          </cell>
          <cell r="E450" t="str">
            <v>止动环</v>
          </cell>
          <cell r="F450" t="str">
            <v>AS3077</v>
          </cell>
          <cell r="G450" t="str">
            <v>AS3077-10</v>
          </cell>
          <cell r="H450" t="str">
            <v>33-42HRC</v>
          </cell>
          <cell r="I450" t="str">
            <v>钝化</v>
          </cell>
          <cell r="J450" t="str">
            <v>A286</v>
          </cell>
          <cell r="K450">
            <v>50</v>
          </cell>
          <cell r="L450">
            <v>46096</v>
          </cell>
          <cell r="M450" t="str">
            <v>3-配货完成</v>
          </cell>
        </row>
        <row r="450">
          <cell r="O450">
            <v>0</v>
          </cell>
          <cell r="P450" t="str">
            <v>哈尔滨东安实业发展有限公司</v>
          </cell>
          <cell r="Q450" t="str">
            <v>20</v>
          </cell>
        </row>
        <row r="450">
          <cell r="U450" t="str">
            <v>010000777136</v>
          </cell>
          <cell r="V450" t="str">
            <v>BIAOQIAN3</v>
          </cell>
          <cell r="W450" t="str">
            <v/>
          </cell>
          <cell r="X450" t="str">
            <v>CP-43-5-1-1</v>
          </cell>
          <cell r="Y450" t="str">
            <v/>
          </cell>
          <cell r="Z450" t="str">
            <v>1906</v>
          </cell>
          <cell r="AA450" t="str">
            <v>1100161735</v>
          </cell>
          <cell r="AB450">
            <v>50</v>
          </cell>
          <cell r="AC450" t="str">
            <v/>
          </cell>
          <cell r="AD450">
            <v>72.5</v>
          </cell>
          <cell r="AE450" t="str">
            <v>G-100016975-260311-0013</v>
          </cell>
        </row>
        <row r="451">
          <cell r="B451" t="str">
            <v>7101087078</v>
          </cell>
          <cell r="C451" t="str">
            <v>G2601-0247</v>
          </cell>
          <cell r="D451" t="str">
            <v>000042944239004239</v>
          </cell>
          <cell r="E451" t="str">
            <v>高锁螺栓</v>
          </cell>
          <cell r="F451" t="str">
            <v>GJB134.2-6×14</v>
          </cell>
          <cell r="G451" t="str">
            <v>6×14</v>
          </cell>
          <cell r="H451" t="str">
            <v>σb=1175±100MPa</v>
          </cell>
          <cell r="I451" t="str">
            <v>Ct·O+Dp·CA</v>
          </cell>
          <cell r="J451" t="str">
            <v>ML30CrMnSiA</v>
          </cell>
          <cell r="K451">
            <v>70</v>
          </cell>
          <cell r="L451">
            <v>46094</v>
          </cell>
          <cell r="M451" t="str">
            <v>3-配货完成</v>
          </cell>
        </row>
        <row r="451">
          <cell r="O451">
            <v>0</v>
          </cell>
          <cell r="P451" t="str">
            <v>哈尔滨东安实业发展有限公司</v>
          </cell>
          <cell r="Q451" t="str">
            <v>50</v>
          </cell>
        </row>
        <row r="451">
          <cell r="U451" t="str">
            <v>010000900654</v>
          </cell>
          <cell r="V451" t="str">
            <v>BIAOQIAN3</v>
          </cell>
          <cell r="W451" t="str">
            <v/>
          </cell>
          <cell r="X451" t="str">
            <v>CP-108-A</v>
          </cell>
          <cell r="Y451" t="str">
            <v/>
          </cell>
          <cell r="Z451" t="str">
            <v>1906</v>
          </cell>
          <cell r="AA451" t="str">
            <v>1100124770</v>
          </cell>
          <cell r="AB451">
            <v>320</v>
          </cell>
          <cell r="AC451" t="str">
            <v/>
          </cell>
          <cell r="AD451">
            <v>101.44</v>
          </cell>
          <cell r="AE451" t="str">
            <v>G1302-240205-037</v>
          </cell>
        </row>
        <row r="452">
          <cell r="B452" t="str">
            <v>7101086957</v>
          </cell>
          <cell r="C452" t="str">
            <v>G2512-0081</v>
          </cell>
          <cell r="D452" t="str">
            <v>000042944320119139</v>
          </cell>
          <cell r="E452" t="str">
            <v>铆钉</v>
          </cell>
          <cell r="F452" t="str">
            <v>11S70294</v>
          </cell>
          <cell r="G452" t="str">
            <v>-</v>
          </cell>
          <cell r="H452" t="str">
            <v>固溶</v>
          </cell>
          <cell r="I452" t="str">
            <v/>
          </cell>
          <cell r="J452" t="str">
            <v>06Cr18Ni9</v>
          </cell>
          <cell r="K452">
            <v>12</v>
          </cell>
          <cell r="L452">
            <v>46094</v>
          </cell>
          <cell r="M452" t="str">
            <v>3-配货完成</v>
          </cell>
        </row>
        <row r="452">
          <cell r="O452">
            <v>0</v>
          </cell>
          <cell r="P452" t="str">
            <v>哈尔滨东安实业发展有限公司</v>
          </cell>
          <cell r="Q452" t="str">
            <v>30</v>
          </cell>
        </row>
        <row r="452">
          <cell r="U452" t="str">
            <v>010000889293</v>
          </cell>
          <cell r="V452" t="str">
            <v>BIAOQIAN4</v>
          </cell>
          <cell r="W452" t="str">
            <v/>
          </cell>
          <cell r="X452" t="str">
            <v>CP-108-A</v>
          </cell>
          <cell r="Y452" t="str">
            <v/>
          </cell>
          <cell r="Z452" t="str">
            <v>1906</v>
          </cell>
          <cell r="AA452" t="str">
            <v>1100158737</v>
          </cell>
          <cell r="AB452">
            <v>50</v>
          </cell>
          <cell r="AC452" t="str">
            <v/>
          </cell>
          <cell r="AD452">
            <v>90</v>
          </cell>
          <cell r="AE452" t="str">
            <v>G-100016975-260109-0004</v>
          </cell>
        </row>
        <row r="453">
          <cell r="B453" t="str">
            <v>7101084480</v>
          </cell>
          <cell r="C453" t="str">
            <v>G2512-0774</v>
          </cell>
          <cell r="D453" t="str">
            <v>000042944320119139</v>
          </cell>
          <cell r="E453" t="str">
            <v>铆钉</v>
          </cell>
          <cell r="F453" t="str">
            <v>11S70294</v>
          </cell>
          <cell r="G453" t="str">
            <v>-</v>
          </cell>
          <cell r="H453" t="str">
            <v>固溶</v>
          </cell>
          <cell r="I453" t="str">
            <v/>
          </cell>
          <cell r="J453" t="str">
            <v>06Cr18Ni9</v>
          </cell>
          <cell r="K453">
            <v>38</v>
          </cell>
          <cell r="L453">
            <v>46088</v>
          </cell>
          <cell r="M453" t="str">
            <v>0-初始未打印</v>
          </cell>
        </row>
        <row r="453">
          <cell r="O453">
            <v>0</v>
          </cell>
          <cell r="P453" t="str">
            <v>哈尔滨东安实业发展有限公司</v>
          </cell>
          <cell r="Q453" t="str">
            <v>30</v>
          </cell>
        </row>
        <row r="453">
          <cell r="U453" t="str">
            <v>010000892411</v>
          </cell>
          <cell r="V453" t="str">
            <v/>
          </cell>
          <cell r="W453" t="str">
            <v/>
          </cell>
          <cell r="X453" t="str">
            <v>CP-C7-3-3-1</v>
          </cell>
          <cell r="Y453" t="str">
            <v/>
          </cell>
          <cell r="Z453" t="str">
            <v>1906</v>
          </cell>
          <cell r="AA453" t="str">
            <v>1100158737</v>
          </cell>
          <cell r="AB453">
            <v>50</v>
          </cell>
          <cell r="AC453" t="str">
            <v/>
          </cell>
          <cell r="AD453">
            <v>90</v>
          </cell>
          <cell r="AE453" t="str">
            <v>G-100016975-260109-0004</v>
          </cell>
        </row>
        <row r="454">
          <cell r="B454" t="str">
            <v>7101079326</v>
          </cell>
          <cell r="C454" t="str">
            <v>G2507-1797</v>
          </cell>
          <cell r="D454" t="str">
            <v>000042944319000359</v>
          </cell>
          <cell r="E454" t="str">
            <v>抗剪型高锁螺母</v>
          </cell>
          <cell r="F454" t="str">
            <v>GJB134.1-1986 M6 LY12-CS 红色阳极化</v>
          </cell>
          <cell r="G454" t="str">
            <v>M6</v>
          </cell>
          <cell r="H454" t="str">
            <v/>
          </cell>
          <cell r="I454" t="str">
            <v>Et·A(s)·Cl(RD)+十六醇</v>
          </cell>
          <cell r="J454" t="str">
            <v>LY12-CS</v>
          </cell>
          <cell r="K454">
            <v>85</v>
          </cell>
          <cell r="L454">
            <v>46078</v>
          </cell>
          <cell r="M454" t="str">
            <v>3-配货完成</v>
          </cell>
        </row>
        <row r="454">
          <cell r="O454">
            <v>0</v>
          </cell>
          <cell r="P454" t="str">
            <v>哈尔滨东安实业发展有限公司</v>
          </cell>
          <cell r="Q454" t="str">
            <v>20</v>
          </cell>
        </row>
        <row r="454">
          <cell r="U454" t="str">
            <v>010000847896</v>
          </cell>
          <cell r="V454" t="str">
            <v>BIAOQIAN4</v>
          </cell>
          <cell r="W454" t="str">
            <v/>
          </cell>
          <cell r="X454" t="str">
            <v>CP-108-A</v>
          </cell>
          <cell r="Y454" t="str">
            <v/>
          </cell>
          <cell r="Z454" t="str">
            <v>1906</v>
          </cell>
          <cell r="AA454" t="str">
            <v>1100153644</v>
          </cell>
          <cell r="AB454">
            <v>85</v>
          </cell>
          <cell r="AC454" t="str">
            <v>GJ2507-01797</v>
          </cell>
          <cell r="AD454">
            <v>39.2</v>
          </cell>
          <cell r="AE454" t="str">
            <v>G-100016975-250925-0053</v>
          </cell>
        </row>
        <row r="455">
          <cell r="B455" t="str">
            <v>7101076553</v>
          </cell>
          <cell r="C455" t="str">
            <v>G2602-0792</v>
          </cell>
          <cell r="D455" t="str">
            <v>000042944039000153</v>
          </cell>
          <cell r="E455" t="str">
            <v>带键自锁螺套</v>
          </cell>
          <cell r="F455" t="str">
            <v>Q/S15.1119-6</v>
          </cell>
          <cell r="G455" t="str">
            <v>6</v>
          </cell>
          <cell r="H455" t="str">
            <v/>
          </cell>
          <cell r="I455" t="str">
            <v/>
          </cell>
          <cell r="J455" t="str">
            <v>组件</v>
          </cell>
          <cell r="K455">
            <v>113</v>
          </cell>
          <cell r="L455">
            <v>46064</v>
          </cell>
          <cell r="M455" t="str">
            <v>3-配货完成</v>
          </cell>
        </row>
        <row r="455">
          <cell r="O455">
            <v>0</v>
          </cell>
          <cell r="P455" t="str">
            <v>哈尔滨东安实业发展有限公司</v>
          </cell>
          <cell r="Q455" t="str">
            <v>50</v>
          </cell>
        </row>
        <row r="455">
          <cell r="U455" t="str">
            <v>010000913641</v>
          </cell>
          <cell r="V455" t="str">
            <v>BIAOQIAN1</v>
          </cell>
          <cell r="W455" t="str">
            <v/>
          </cell>
          <cell r="X455" t="str">
            <v>CP-108-A</v>
          </cell>
          <cell r="Y455" t="str">
            <v/>
          </cell>
          <cell r="Z455" t="str">
            <v>1906</v>
          </cell>
          <cell r="AA455" t="str">
            <v>1100160153</v>
          </cell>
          <cell r="AB455">
            <v>113</v>
          </cell>
          <cell r="AC455" t="str">
            <v/>
          </cell>
          <cell r="AD455">
            <v>119</v>
          </cell>
          <cell r="AE455" t="str">
            <v>G-100016975-260204-0007</v>
          </cell>
        </row>
        <row r="456">
          <cell r="B456" t="str">
            <v>7101073898</v>
          </cell>
          <cell r="C456" t="str">
            <v>G2312-0470</v>
          </cell>
          <cell r="D456" t="str">
            <v>000042944999002605</v>
          </cell>
          <cell r="E456" t="str">
            <v>带键锁紧螺桩</v>
          </cell>
          <cell r="F456" t="str">
            <v>8S.DFD20.3.802</v>
          </cell>
          <cell r="G456" t="str">
            <v>-</v>
          </cell>
          <cell r="H456" t="str">
            <v/>
          </cell>
          <cell r="I456" t="str">
            <v/>
          </cell>
          <cell r="J456" t="str">
            <v>组件</v>
          </cell>
          <cell r="K456">
            <v>50</v>
          </cell>
          <cell r="L456">
            <v>46058</v>
          </cell>
          <cell r="M456" t="str">
            <v>3-配货完成</v>
          </cell>
        </row>
        <row r="456">
          <cell r="O456">
            <v>0</v>
          </cell>
          <cell r="P456" t="str">
            <v>哈尔滨东安实业发展有限公司</v>
          </cell>
          <cell r="Q456" t="str">
            <v>10</v>
          </cell>
        </row>
        <row r="456">
          <cell r="U456" t="str">
            <v>010000657073</v>
          </cell>
          <cell r="V456" t="str">
            <v>BIAOQIAN2</v>
          </cell>
          <cell r="W456" t="str">
            <v/>
          </cell>
          <cell r="X456" t="str">
            <v>CP-108-A/CP-C8-2-4-3</v>
          </cell>
          <cell r="Y456" t="str">
            <v/>
          </cell>
          <cell r="Z456" t="str">
            <v>1906</v>
          </cell>
          <cell r="AA456" t="str">
            <v>1100160140</v>
          </cell>
          <cell r="AB456">
            <v>50</v>
          </cell>
          <cell r="AC456" t="str">
            <v>GJ2312-00470-S-1A</v>
          </cell>
          <cell r="AD456">
            <v>197</v>
          </cell>
          <cell r="AE456" t="str">
            <v>G-100016975-260204-0008XH</v>
          </cell>
        </row>
        <row r="457">
          <cell r="B457" t="str">
            <v>7101022910</v>
          </cell>
          <cell r="C457" t="str">
            <v>G2505-1321</v>
          </cell>
          <cell r="D457" t="str">
            <v>000042944360151880</v>
          </cell>
          <cell r="E457" t="str">
            <v>圆柱销</v>
          </cell>
          <cell r="F457" t="str">
            <v>Q/8S1337.1-2024</v>
          </cell>
          <cell r="G457" t="str">
            <v>A-014</v>
          </cell>
          <cell r="H457" t="str">
            <v>27-35HRC</v>
          </cell>
          <cell r="I457" t="str">
            <v>Ct·P</v>
          </cell>
          <cell r="J457" t="str">
            <v>GH2132</v>
          </cell>
          <cell r="K457">
            <v>15</v>
          </cell>
          <cell r="L457">
            <v>45947</v>
          </cell>
          <cell r="M457" t="str">
            <v>3-配货完成</v>
          </cell>
        </row>
        <row r="457">
          <cell r="O457">
            <v>0</v>
          </cell>
          <cell r="P457" t="str">
            <v>哈尔滨东安实业发展有限公司</v>
          </cell>
          <cell r="Q457" t="str">
            <v>30</v>
          </cell>
        </row>
        <row r="457">
          <cell r="U457" t="str">
            <v>010000827084</v>
          </cell>
          <cell r="V457" t="str">
            <v>BIAOQIAN2</v>
          </cell>
          <cell r="W457" t="str">
            <v/>
          </cell>
          <cell r="X457" t="str">
            <v>CP-108-A</v>
          </cell>
          <cell r="Y457" t="str">
            <v/>
          </cell>
          <cell r="Z457" t="str">
            <v>1906</v>
          </cell>
          <cell r="AA457" t="str">
            <v>1100141949</v>
          </cell>
          <cell r="AB457">
            <v>15</v>
          </cell>
          <cell r="AC457" t="str">
            <v/>
          </cell>
          <cell r="AD457">
            <v>34.83</v>
          </cell>
          <cell r="AE457" t="str">
            <v>G-100016975-250221-0010-1</v>
          </cell>
        </row>
        <row r="458">
          <cell r="B458">
            <v>7101092095</v>
          </cell>
          <cell r="C458" t="str">
            <v>G2601-0247</v>
          </cell>
          <cell r="D458">
            <v>42944239004239</v>
          </cell>
          <cell r="E458" t="str">
            <v>高锁螺栓</v>
          </cell>
          <cell r="F458" t="str">
            <v>GJB134.2-6×14</v>
          </cell>
          <cell r="G458" t="str">
            <v>6×14</v>
          </cell>
          <cell r="H458" t="str">
            <v>σb=1175±100MPa</v>
          </cell>
          <cell r="I458" t="str">
            <v>Ct·O+Dp·CA</v>
          </cell>
          <cell r="J458" t="str">
            <v>ML30CrMnSiA</v>
          </cell>
          <cell r="K458">
            <v>67</v>
          </cell>
          <cell r="L458" t="str">
            <v>2026.03.25</v>
          </cell>
          <cell r="M458" t="str">
            <v>4-检验完成</v>
          </cell>
        </row>
        <row r="458">
          <cell r="P458" t="str">
            <v>哈尔滨东安实业发展有限公司</v>
          </cell>
          <cell r="Q458">
            <v>50</v>
          </cell>
          <cell r="R458" t="str">
            <v>2026.03.25</v>
          </cell>
        </row>
        <row r="458">
          <cell r="U458">
            <v>10000900654</v>
          </cell>
          <cell r="V458" t="str">
            <v>BIAOQIAN3</v>
          </cell>
        </row>
        <row r="458">
          <cell r="X458" t="str">
            <v>CP-108-A</v>
          </cell>
        </row>
        <row r="458">
          <cell r="Z458">
            <v>1906</v>
          </cell>
          <cell r="AA458">
            <v>1100124770</v>
          </cell>
          <cell r="AB458">
            <v>320</v>
          </cell>
        </row>
        <row r="458">
          <cell r="AD458">
            <v>101.44</v>
          </cell>
          <cell r="AE458" t="str">
            <v>G1302-240205-037</v>
          </cell>
        </row>
        <row r="459">
          <cell r="B459" t="str">
            <v>7101092095</v>
          </cell>
          <cell r="C459" t="str">
            <v>G2601-0247</v>
          </cell>
          <cell r="D459" t="str">
            <v>000042944239004239</v>
          </cell>
          <cell r="E459" t="str">
            <v>高锁螺栓</v>
          </cell>
          <cell r="F459" t="str">
            <v>GJB134.2-6×14</v>
          </cell>
          <cell r="G459" t="str">
            <v>6×14</v>
          </cell>
          <cell r="H459" t="str">
            <v>σb=1175±100MPa</v>
          </cell>
          <cell r="I459" t="str">
            <v>Ct·O+Dp·CA</v>
          </cell>
          <cell r="J459" t="str">
            <v>ML30CrMnSiA</v>
          </cell>
          <cell r="K459">
            <v>67</v>
          </cell>
          <cell r="L459">
            <v>46106</v>
          </cell>
          <cell r="M459" t="str">
            <v>4-检验完成</v>
          </cell>
        </row>
        <row r="459">
          <cell r="O459">
            <v>0</v>
          </cell>
          <cell r="P459" t="str">
            <v>哈尔滨东安实业发展有限公司</v>
          </cell>
          <cell r="Q459" t="str">
            <v>50</v>
          </cell>
          <cell r="R459">
            <v>46106</v>
          </cell>
        </row>
        <row r="459">
          <cell r="U459" t="str">
            <v>010000900654</v>
          </cell>
          <cell r="V459" t="str">
            <v>BIAOQIAN3</v>
          </cell>
          <cell r="W459" t="str">
            <v/>
          </cell>
          <cell r="X459" t="str">
            <v>CP-108-A</v>
          </cell>
          <cell r="Y459" t="str">
            <v/>
          </cell>
          <cell r="Z459" t="str">
            <v>1906</v>
          </cell>
          <cell r="AA459" t="str">
            <v>1100124770</v>
          </cell>
          <cell r="AB459">
            <v>320</v>
          </cell>
          <cell r="AC459" t="str">
            <v/>
          </cell>
          <cell r="AD459">
            <v>101.44</v>
          </cell>
          <cell r="AE459" t="str">
            <v>G1302-240205-037</v>
          </cell>
        </row>
        <row r="460">
          <cell r="B460" t="str">
            <v>7101091689</v>
          </cell>
          <cell r="C460" t="str">
            <v>G12603-064</v>
          </cell>
          <cell r="D460" t="str">
            <v>000042944288000865</v>
          </cell>
          <cell r="E460" t="str">
            <v>十二角压扁自锁螺母(最高工作温度650℃)</v>
          </cell>
          <cell r="F460" t="str">
            <v>HB5636M6</v>
          </cell>
          <cell r="G460" t="str">
            <v>M6</v>
          </cell>
          <cell r="H460" t="str">
            <v>29-35HRC</v>
          </cell>
          <cell r="I460" t="str">
            <v>Ep·Ag</v>
          </cell>
          <cell r="J460" t="str">
            <v>GH2132</v>
          </cell>
          <cell r="K460">
            <v>57</v>
          </cell>
          <cell r="L460">
            <v>46105</v>
          </cell>
          <cell r="M460" t="str">
            <v>3-配货完成</v>
          </cell>
        </row>
        <row r="460">
          <cell r="O460">
            <v>0</v>
          </cell>
          <cell r="P460" t="str">
            <v>哈尔滨东安实业发展有限公司</v>
          </cell>
          <cell r="Q460" t="str">
            <v>100</v>
          </cell>
        </row>
        <row r="460">
          <cell r="U460" t="str">
            <v/>
          </cell>
          <cell r="V460" t="str">
            <v>BIAOQIAN4</v>
          </cell>
          <cell r="W460" t="str">
            <v/>
          </cell>
          <cell r="X460" t="str">
            <v>XH-000</v>
          </cell>
          <cell r="Y460" t="str">
            <v/>
          </cell>
          <cell r="Z460" t="str">
            <v>1906</v>
          </cell>
          <cell r="AA460" t="str">
            <v>1100161508</v>
          </cell>
          <cell r="AB460">
            <v>500</v>
          </cell>
          <cell r="AC460" t="str">
            <v/>
          </cell>
          <cell r="AD460">
            <v>33</v>
          </cell>
          <cell r="AE460" t="str">
            <v>G-100016975-260309-0012</v>
          </cell>
        </row>
        <row r="461">
          <cell r="B461" t="str">
            <v>7101091689</v>
          </cell>
          <cell r="C461" t="str">
            <v>G12603-063</v>
          </cell>
          <cell r="D461" t="str">
            <v>000042944288000865</v>
          </cell>
          <cell r="E461" t="str">
            <v>十二角压扁自锁螺母(最高工作温度650℃)</v>
          </cell>
          <cell r="F461" t="str">
            <v>HB5636M6</v>
          </cell>
          <cell r="G461" t="str">
            <v>M6</v>
          </cell>
          <cell r="H461" t="str">
            <v>29-35HRC</v>
          </cell>
          <cell r="I461" t="str">
            <v>Ep·Ag</v>
          </cell>
          <cell r="J461" t="str">
            <v>GH2132</v>
          </cell>
          <cell r="K461">
            <v>33</v>
          </cell>
          <cell r="L461">
            <v>46105</v>
          </cell>
          <cell r="M461" t="str">
            <v>3-配货完成</v>
          </cell>
        </row>
        <row r="461">
          <cell r="O461">
            <v>0</v>
          </cell>
          <cell r="P461" t="str">
            <v>哈尔滨东安实业发展有限公司</v>
          </cell>
          <cell r="Q461" t="str">
            <v>100</v>
          </cell>
        </row>
        <row r="461">
          <cell r="U461" t="str">
            <v/>
          </cell>
          <cell r="V461" t="str">
            <v>BIAOQIAN4</v>
          </cell>
          <cell r="W461" t="str">
            <v/>
          </cell>
          <cell r="X461" t="str">
            <v>XH-000</v>
          </cell>
          <cell r="Y461" t="str">
            <v/>
          </cell>
          <cell r="Z461" t="str">
            <v>1906</v>
          </cell>
          <cell r="AA461" t="str">
            <v>1100161508</v>
          </cell>
          <cell r="AB461">
            <v>500</v>
          </cell>
          <cell r="AC461" t="str">
            <v/>
          </cell>
          <cell r="AD461">
            <v>33</v>
          </cell>
          <cell r="AE461" t="str">
            <v>G-100016975-260309-0012</v>
          </cell>
        </row>
        <row r="462">
          <cell r="B462" t="str">
            <v>7101090870</v>
          </cell>
          <cell r="C462" t="str">
            <v>G2501-3261</v>
          </cell>
          <cell r="D462" t="str">
            <v>000042944039095271</v>
          </cell>
          <cell r="E462" t="str">
            <v>带键自锁螺套</v>
          </cell>
          <cell r="F462" t="str">
            <v>Q/S15.1119A-6</v>
          </cell>
          <cell r="G462" t="str">
            <v>A-6</v>
          </cell>
          <cell r="H462" t="str">
            <v/>
          </cell>
          <cell r="I462" t="str">
            <v/>
          </cell>
          <cell r="J462" t="str">
            <v>组件</v>
          </cell>
          <cell r="K462">
            <v>6</v>
          </cell>
          <cell r="L462">
            <v>46104</v>
          </cell>
          <cell r="M462" t="str">
            <v>3-配货完成</v>
          </cell>
        </row>
        <row r="462">
          <cell r="O462">
            <v>0</v>
          </cell>
          <cell r="P462" t="str">
            <v>哈尔滨东安实业发展有限公司</v>
          </cell>
          <cell r="Q462" t="str">
            <v>20</v>
          </cell>
        </row>
        <row r="462">
          <cell r="U462" t="str">
            <v>010000779170</v>
          </cell>
          <cell r="V462" t="str">
            <v>BIAOQIAN4</v>
          </cell>
          <cell r="W462" t="str">
            <v/>
          </cell>
          <cell r="X462" t="str">
            <v>CP-108-A</v>
          </cell>
          <cell r="Y462" t="str">
            <v/>
          </cell>
          <cell r="Z462" t="str">
            <v>1906</v>
          </cell>
          <cell r="AA462" t="str">
            <v>1100153106</v>
          </cell>
          <cell r="AB462">
            <v>120</v>
          </cell>
          <cell r="AC462" t="str">
            <v/>
          </cell>
          <cell r="AD462">
            <v>90</v>
          </cell>
          <cell r="AE462" t="str">
            <v>G-100016975-250917-0049</v>
          </cell>
        </row>
        <row r="463">
          <cell r="B463" t="str">
            <v>7101090861</v>
          </cell>
          <cell r="C463" t="str">
            <v>G2602-0771</v>
          </cell>
          <cell r="D463" t="str">
            <v>000042944000020596</v>
          </cell>
          <cell r="E463" t="str">
            <v>波形弹性卡箍</v>
          </cell>
          <cell r="F463" t="str">
            <v>8S.DFD20.9.002</v>
          </cell>
          <cell r="G463" t="str">
            <v>-</v>
          </cell>
          <cell r="H463" t="str">
            <v/>
          </cell>
          <cell r="I463" t="str">
            <v/>
          </cell>
          <cell r="J463" t="str">
            <v>0Cr18Ni9</v>
          </cell>
          <cell r="K463">
            <v>79</v>
          </cell>
          <cell r="L463">
            <v>46104</v>
          </cell>
          <cell r="M463" t="str">
            <v>4-检验完成</v>
          </cell>
        </row>
        <row r="463">
          <cell r="O463">
            <v>0</v>
          </cell>
          <cell r="P463" t="str">
            <v>哈尔滨东安实业发展有限公司</v>
          </cell>
          <cell r="Q463" t="str">
            <v>90</v>
          </cell>
          <cell r="R463">
            <v>46106</v>
          </cell>
        </row>
        <row r="463">
          <cell r="U463" t="str">
            <v>010000913350</v>
          </cell>
          <cell r="V463" t="str">
            <v>BIAOQIAN3</v>
          </cell>
          <cell r="W463" t="str">
            <v/>
          </cell>
          <cell r="X463" t="str">
            <v>CP-108-A</v>
          </cell>
          <cell r="Y463" t="str">
            <v/>
          </cell>
          <cell r="Z463" t="str">
            <v>1906</v>
          </cell>
          <cell r="AA463" t="str">
            <v>1100160153</v>
          </cell>
          <cell r="AB463">
            <v>90</v>
          </cell>
          <cell r="AC463" t="str">
            <v/>
          </cell>
          <cell r="AD463">
            <v>50</v>
          </cell>
          <cell r="AE463" t="str">
            <v>G-100016975-260204-0007</v>
          </cell>
        </row>
        <row r="464">
          <cell r="B464" t="str">
            <v>7101090270</v>
          </cell>
          <cell r="C464" t="str">
            <v>G2601-0217</v>
          </cell>
          <cell r="D464" t="str">
            <v>000042944039122089</v>
          </cell>
          <cell r="E464" t="str">
            <v>加长带键自锁螺套</v>
          </cell>
          <cell r="F464" t="str">
            <v>Q/S15.1120A-6</v>
          </cell>
          <cell r="G464" t="str">
            <v>A-6</v>
          </cell>
          <cell r="H464" t="str">
            <v/>
          </cell>
          <cell r="I464" t="str">
            <v/>
          </cell>
          <cell r="J464" t="str">
            <v>组件</v>
          </cell>
          <cell r="K464">
            <v>49</v>
          </cell>
          <cell r="L464">
            <v>46102</v>
          </cell>
          <cell r="M464" t="str">
            <v>3-配货完成</v>
          </cell>
        </row>
        <row r="464">
          <cell r="O464">
            <v>0</v>
          </cell>
          <cell r="P464" t="str">
            <v>哈尔滨东安实业发展有限公司</v>
          </cell>
          <cell r="Q464" t="str">
            <v>10</v>
          </cell>
        </row>
        <row r="464">
          <cell r="U464" t="str">
            <v>010000900360</v>
          </cell>
          <cell r="V464" t="str">
            <v>BIAOQIAN8</v>
          </cell>
          <cell r="W464" t="str">
            <v/>
          </cell>
          <cell r="X464" t="str">
            <v>CP-108-A</v>
          </cell>
          <cell r="Y464" t="str">
            <v/>
          </cell>
          <cell r="Z464" t="str">
            <v>1906</v>
          </cell>
          <cell r="AA464" t="str">
            <v>1100158073</v>
          </cell>
          <cell r="AB464">
            <v>200</v>
          </cell>
          <cell r="AC464" t="str">
            <v/>
          </cell>
          <cell r="AD464">
            <v>225</v>
          </cell>
          <cell r="AE464" t="str">
            <v>G-100016975-260105-0003</v>
          </cell>
        </row>
        <row r="465">
          <cell r="B465" t="str">
            <v>7101090269</v>
          </cell>
          <cell r="C465" t="str">
            <v>G2601-0217</v>
          </cell>
          <cell r="D465" t="str">
            <v>000042944039122089</v>
          </cell>
          <cell r="E465" t="str">
            <v>加长带键自锁螺套</v>
          </cell>
          <cell r="F465" t="str">
            <v>Q/S15.1120A-6</v>
          </cell>
          <cell r="G465" t="str">
            <v>A-6</v>
          </cell>
          <cell r="H465" t="str">
            <v/>
          </cell>
          <cell r="I465" t="str">
            <v/>
          </cell>
          <cell r="J465" t="str">
            <v>组件</v>
          </cell>
          <cell r="K465">
            <v>389</v>
          </cell>
          <cell r="L465">
            <v>46102</v>
          </cell>
          <cell r="M465" t="str">
            <v>3-配货完成</v>
          </cell>
        </row>
        <row r="465">
          <cell r="O465">
            <v>0</v>
          </cell>
          <cell r="P465" t="str">
            <v>哈尔滨东安实业发展有限公司</v>
          </cell>
          <cell r="Q465" t="str">
            <v>10</v>
          </cell>
        </row>
        <row r="465">
          <cell r="U465" t="str">
            <v>010000900360</v>
          </cell>
          <cell r="V465" t="str">
            <v>BIAOQIAN8</v>
          </cell>
          <cell r="W465" t="str">
            <v/>
          </cell>
          <cell r="X465" t="str">
            <v>CP-108-A</v>
          </cell>
          <cell r="Y465" t="str">
            <v/>
          </cell>
          <cell r="Z465" t="str">
            <v>1906</v>
          </cell>
          <cell r="AA465" t="str">
            <v>1100155885</v>
          </cell>
          <cell r="AB465">
            <v>600</v>
          </cell>
          <cell r="AC465" t="str">
            <v/>
          </cell>
          <cell r="AD465">
            <v>225</v>
          </cell>
          <cell r="AE465" t="str">
            <v>G-100016975-251114-0067</v>
          </cell>
        </row>
        <row r="466">
          <cell r="B466" t="str">
            <v>7101089435</v>
          </cell>
          <cell r="C466" t="str">
            <v>G2602-0723</v>
          </cell>
          <cell r="D466" t="str">
            <v>000042944000020595</v>
          </cell>
          <cell r="E466" t="str">
            <v>波形弹性卡箍</v>
          </cell>
          <cell r="F466" t="str">
            <v>8S.DFD20.9.001</v>
          </cell>
          <cell r="G466" t="str">
            <v>-</v>
          </cell>
          <cell r="H466" t="str">
            <v/>
          </cell>
          <cell r="I466" t="str">
            <v/>
          </cell>
          <cell r="J466" t="str">
            <v>0Cr18Ni9</v>
          </cell>
          <cell r="K466">
            <v>1052</v>
          </cell>
          <cell r="L466">
            <v>46100</v>
          </cell>
          <cell r="M466" t="str">
            <v>3-配货完成</v>
          </cell>
        </row>
        <row r="466">
          <cell r="O466">
            <v>0</v>
          </cell>
          <cell r="P466" t="str">
            <v>哈尔滨东安实业发展有限公司</v>
          </cell>
          <cell r="Q466" t="str">
            <v>80</v>
          </cell>
        </row>
        <row r="466">
          <cell r="U466" t="str">
            <v>010000913200</v>
          </cell>
          <cell r="V466" t="str">
            <v>BIAOQIAN4</v>
          </cell>
          <cell r="W466" t="str">
            <v/>
          </cell>
          <cell r="X466" t="str">
            <v>CP-108-A</v>
          </cell>
          <cell r="Y466" t="str">
            <v/>
          </cell>
          <cell r="Z466" t="str">
            <v>1906</v>
          </cell>
          <cell r="AA466" t="str">
            <v>1100160153</v>
          </cell>
          <cell r="AB466">
            <v>1095</v>
          </cell>
          <cell r="AC466" t="str">
            <v/>
          </cell>
          <cell r="AD466">
            <v>50</v>
          </cell>
          <cell r="AE466" t="str">
            <v>G-100016975-260204-0007</v>
          </cell>
        </row>
        <row r="467">
          <cell r="B467" t="str">
            <v>7101089434</v>
          </cell>
          <cell r="C467" t="str">
            <v>G2602-0723</v>
          </cell>
          <cell r="D467" t="str">
            <v>000042944000020595</v>
          </cell>
          <cell r="E467" t="str">
            <v>波形弹性卡箍</v>
          </cell>
          <cell r="F467" t="str">
            <v>8S.DFD20.9.001</v>
          </cell>
          <cell r="G467" t="str">
            <v>-</v>
          </cell>
          <cell r="H467" t="str">
            <v/>
          </cell>
          <cell r="I467" t="str">
            <v/>
          </cell>
          <cell r="J467" t="str">
            <v>0Cr18Ni9</v>
          </cell>
          <cell r="K467">
            <v>105</v>
          </cell>
          <cell r="L467">
            <v>46100</v>
          </cell>
          <cell r="M467" t="str">
            <v>4-检验完成</v>
          </cell>
        </row>
        <row r="467">
          <cell r="O467">
            <v>0</v>
          </cell>
          <cell r="P467" t="str">
            <v>哈尔滨东安实业发展有限公司</v>
          </cell>
          <cell r="Q467" t="str">
            <v>70</v>
          </cell>
          <cell r="R467">
            <v>46105</v>
          </cell>
        </row>
        <row r="467">
          <cell r="U467" t="str">
            <v>010000913200</v>
          </cell>
          <cell r="V467" t="str">
            <v>BIAOQIAN4</v>
          </cell>
          <cell r="W467" t="str">
            <v/>
          </cell>
          <cell r="X467" t="str">
            <v>CP-108-A</v>
          </cell>
          <cell r="Y467" t="str">
            <v/>
          </cell>
          <cell r="Z467" t="str">
            <v>1906</v>
          </cell>
          <cell r="AA467" t="str">
            <v>1100161508</v>
          </cell>
          <cell r="AB467">
            <v>105</v>
          </cell>
          <cell r="AC467" t="str">
            <v/>
          </cell>
          <cell r="AD467">
            <v>50</v>
          </cell>
          <cell r="AE467" t="str">
            <v>G-100016975-260309-0012</v>
          </cell>
        </row>
        <row r="468">
          <cell r="B468" t="str">
            <v>7101088717</v>
          </cell>
          <cell r="C468" t="str">
            <v>G2601-1219</v>
          </cell>
          <cell r="D468" t="str">
            <v>000042944000020596</v>
          </cell>
          <cell r="E468" t="str">
            <v>波形弹性卡箍</v>
          </cell>
          <cell r="F468" t="str">
            <v>8S.DFD20.9.002</v>
          </cell>
          <cell r="G468" t="str">
            <v>-</v>
          </cell>
          <cell r="H468" t="str">
            <v/>
          </cell>
          <cell r="I468" t="str">
            <v/>
          </cell>
          <cell r="J468" t="str">
            <v>0Cr18Ni9</v>
          </cell>
          <cell r="K468">
            <v>11</v>
          </cell>
          <cell r="L468">
            <v>46099</v>
          </cell>
          <cell r="M468" t="str">
            <v>4-检验完成</v>
          </cell>
        </row>
        <row r="468">
          <cell r="O468">
            <v>0</v>
          </cell>
          <cell r="P468" t="str">
            <v>哈尔滨东安实业发展有限公司</v>
          </cell>
          <cell r="Q468" t="str">
            <v>90</v>
          </cell>
          <cell r="R468">
            <v>46106</v>
          </cell>
        </row>
        <row r="468">
          <cell r="U468" t="str">
            <v>010000903570</v>
          </cell>
          <cell r="V468" t="str">
            <v>BIAOQIAN4</v>
          </cell>
          <cell r="W468" t="str">
            <v/>
          </cell>
          <cell r="X468" t="str">
            <v>CP-108-A</v>
          </cell>
          <cell r="Y468" t="str">
            <v/>
          </cell>
          <cell r="Z468" t="str">
            <v>1906</v>
          </cell>
          <cell r="AA468" t="str">
            <v>1100160153</v>
          </cell>
          <cell r="AB468">
            <v>90</v>
          </cell>
          <cell r="AC468" t="str">
            <v/>
          </cell>
          <cell r="AD468">
            <v>50</v>
          </cell>
          <cell r="AE468" t="str">
            <v>G-100016975-260204-0007</v>
          </cell>
        </row>
        <row r="469">
          <cell r="B469" t="str">
            <v>7101087777</v>
          </cell>
          <cell r="C469" t="str">
            <v>G2501-2330</v>
          </cell>
          <cell r="D469" t="str">
            <v>000042944000117412</v>
          </cell>
          <cell r="E469" t="str">
            <v>止动环</v>
          </cell>
          <cell r="F469" t="str">
            <v>AS3077</v>
          </cell>
          <cell r="G469" t="str">
            <v>AS3077-10</v>
          </cell>
          <cell r="H469" t="str">
            <v>33-42HRC</v>
          </cell>
          <cell r="I469" t="str">
            <v>钝化</v>
          </cell>
          <cell r="J469" t="str">
            <v>A286</v>
          </cell>
          <cell r="K469">
            <v>50</v>
          </cell>
          <cell r="L469">
            <v>46096</v>
          </cell>
          <cell r="M469" t="str">
            <v>3-配货完成</v>
          </cell>
        </row>
        <row r="469">
          <cell r="O469">
            <v>0</v>
          </cell>
          <cell r="P469" t="str">
            <v>哈尔滨东安实业发展有限公司</v>
          </cell>
          <cell r="Q469" t="str">
            <v>20</v>
          </cell>
        </row>
        <row r="469">
          <cell r="U469" t="str">
            <v>010000777136</v>
          </cell>
          <cell r="V469" t="str">
            <v>BIAOQIAN3</v>
          </cell>
          <cell r="W469" t="str">
            <v/>
          </cell>
          <cell r="X469" t="str">
            <v>CP-43-5-1-1</v>
          </cell>
          <cell r="Y469" t="str">
            <v/>
          </cell>
          <cell r="Z469" t="str">
            <v>1906</v>
          </cell>
          <cell r="AA469" t="str">
            <v>1100161735</v>
          </cell>
          <cell r="AB469">
            <v>50</v>
          </cell>
          <cell r="AC469" t="str">
            <v/>
          </cell>
          <cell r="AD469">
            <v>72.5</v>
          </cell>
          <cell r="AE469" t="str">
            <v>G-100016975-260311-0013</v>
          </cell>
        </row>
        <row r="470">
          <cell r="B470" t="str">
            <v>7101086957</v>
          </cell>
          <cell r="C470" t="str">
            <v>G2512-0081</v>
          </cell>
          <cell r="D470" t="str">
            <v>000042944320119139</v>
          </cell>
          <cell r="E470" t="str">
            <v>铆钉</v>
          </cell>
          <cell r="F470" t="str">
            <v>11S70294</v>
          </cell>
          <cell r="G470" t="str">
            <v>-</v>
          </cell>
          <cell r="H470" t="str">
            <v>固溶</v>
          </cell>
          <cell r="I470" t="str">
            <v/>
          </cell>
          <cell r="J470" t="str">
            <v>06Cr18Ni9</v>
          </cell>
          <cell r="K470">
            <v>12</v>
          </cell>
          <cell r="L470">
            <v>46094</v>
          </cell>
          <cell r="M470" t="str">
            <v>3-配货完成</v>
          </cell>
        </row>
        <row r="470">
          <cell r="O470">
            <v>0</v>
          </cell>
          <cell r="P470" t="str">
            <v>哈尔滨东安实业发展有限公司</v>
          </cell>
          <cell r="Q470" t="str">
            <v>30</v>
          </cell>
        </row>
        <row r="470">
          <cell r="U470" t="str">
            <v>010000889293</v>
          </cell>
          <cell r="V470" t="str">
            <v>BIAOQIAN4</v>
          </cell>
          <cell r="W470" t="str">
            <v/>
          </cell>
          <cell r="X470" t="str">
            <v>CP-108-A</v>
          </cell>
          <cell r="Y470" t="str">
            <v/>
          </cell>
          <cell r="Z470" t="str">
            <v>1906</v>
          </cell>
          <cell r="AA470" t="str">
            <v>1100158737</v>
          </cell>
          <cell r="AB470">
            <v>50</v>
          </cell>
          <cell r="AC470" t="str">
            <v/>
          </cell>
          <cell r="AD470">
            <v>90</v>
          </cell>
          <cell r="AE470" t="str">
            <v>G-100016975-260109-0004</v>
          </cell>
        </row>
        <row r="471">
          <cell r="B471" t="str">
            <v>7101084480</v>
          </cell>
          <cell r="C471" t="str">
            <v>G2512-0774</v>
          </cell>
          <cell r="D471" t="str">
            <v>000042944320119139</v>
          </cell>
          <cell r="E471" t="str">
            <v>铆钉</v>
          </cell>
          <cell r="F471" t="str">
            <v>11S70294</v>
          </cell>
          <cell r="G471" t="str">
            <v>-</v>
          </cell>
          <cell r="H471" t="str">
            <v>固溶</v>
          </cell>
          <cell r="I471" t="str">
            <v/>
          </cell>
          <cell r="J471" t="str">
            <v>06Cr18Ni9</v>
          </cell>
          <cell r="K471">
            <v>38</v>
          </cell>
          <cell r="L471">
            <v>46088</v>
          </cell>
          <cell r="M471" t="str">
            <v>3-配货完成</v>
          </cell>
        </row>
        <row r="471">
          <cell r="O471">
            <v>0</v>
          </cell>
          <cell r="P471" t="str">
            <v>哈尔滨东安实业发展有限公司</v>
          </cell>
          <cell r="Q471" t="str">
            <v>30</v>
          </cell>
        </row>
        <row r="471">
          <cell r="U471" t="str">
            <v>010000892411</v>
          </cell>
          <cell r="V471" t="str">
            <v>BIAOQIAN1</v>
          </cell>
          <cell r="W471" t="str">
            <v/>
          </cell>
          <cell r="X471" t="str">
            <v>CP-C7-3-3-1</v>
          </cell>
          <cell r="Y471" t="str">
            <v/>
          </cell>
          <cell r="Z471" t="str">
            <v>1906</v>
          </cell>
          <cell r="AA471" t="str">
            <v>1100158737</v>
          </cell>
          <cell r="AB471">
            <v>50</v>
          </cell>
          <cell r="AC471" t="str">
            <v/>
          </cell>
          <cell r="AD471">
            <v>90</v>
          </cell>
          <cell r="AE471" t="str">
            <v>G-100016975-260109-0004</v>
          </cell>
        </row>
        <row r="472">
          <cell r="B472" t="str">
            <v>7101079326</v>
          </cell>
          <cell r="C472" t="str">
            <v>G2507-1797</v>
          </cell>
          <cell r="D472" t="str">
            <v>000042944319000359</v>
          </cell>
          <cell r="E472" t="str">
            <v>抗剪型高锁螺母</v>
          </cell>
          <cell r="F472" t="str">
            <v>GJB134.1-1986 M6 LY12-CS 红色阳极化</v>
          </cell>
          <cell r="G472" t="str">
            <v>M6</v>
          </cell>
          <cell r="H472" t="str">
            <v/>
          </cell>
          <cell r="I472" t="str">
            <v>Et·A(s)·Cl(RD)+十六醇</v>
          </cell>
          <cell r="J472" t="str">
            <v>LY12-CS</v>
          </cell>
          <cell r="K472">
            <v>85</v>
          </cell>
          <cell r="L472">
            <v>46078</v>
          </cell>
          <cell r="M472" t="str">
            <v>3-配货完成</v>
          </cell>
        </row>
        <row r="472">
          <cell r="O472">
            <v>0</v>
          </cell>
          <cell r="P472" t="str">
            <v>哈尔滨东安实业发展有限公司</v>
          </cell>
          <cell r="Q472" t="str">
            <v>20</v>
          </cell>
        </row>
        <row r="472">
          <cell r="U472" t="str">
            <v>010000847896</v>
          </cell>
          <cell r="V472" t="str">
            <v>BIAOQIAN4</v>
          </cell>
          <cell r="W472" t="str">
            <v/>
          </cell>
          <cell r="X472" t="str">
            <v>CP-108-A</v>
          </cell>
          <cell r="Y472" t="str">
            <v/>
          </cell>
          <cell r="Z472" t="str">
            <v>1906</v>
          </cell>
          <cell r="AA472" t="str">
            <v>1100153644</v>
          </cell>
          <cell r="AB472">
            <v>85</v>
          </cell>
          <cell r="AC472" t="str">
            <v>GJ2507-01797</v>
          </cell>
          <cell r="AD472">
            <v>39.2</v>
          </cell>
          <cell r="AE472" t="str">
            <v>G-100016975-250925-0053</v>
          </cell>
        </row>
        <row r="473">
          <cell r="B473" t="str">
            <v>7101076553</v>
          </cell>
          <cell r="C473" t="str">
            <v>G2602-0792</v>
          </cell>
          <cell r="D473" t="str">
            <v>000042944039000153</v>
          </cell>
          <cell r="E473" t="str">
            <v>带键自锁螺套</v>
          </cell>
          <cell r="F473" t="str">
            <v>Q/S15.1119-6</v>
          </cell>
          <cell r="G473" t="str">
            <v>6</v>
          </cell>
          <cell r="H473" t="str">
            <v/>
          </cell>
          <cell r="I473" t="str">
            <v/>
          </cell>
          <cell r="J473" t="str">
            <v>组件</v>
          </cell>
          <cell r="K473">
            <v>113</v>
          </cell>
          <cell r="L473">
            <v>46064</v>
          </cell>
          <cell r="M473" t="str">
            <v>3-配货完成</v>
          </cell>
        </row>
        <row r="473">
          <cell r="O473">
            <v>0</v>
          </cell>
          <cell r="P473" t="str">
            <v>哈尔滨东安实业发展有限公司</v>
          </cell>
          <cell r="Q473" t="str">
            <v>50</v>
          </cell>
        </row>
        <row r="473">
          <cell r="U473" t="str">
            <v>010000913641</v>
          </cell>
          <cell r="V473" t="str">
            <v>BIAOQIAN1</v>
          </cell>
          <cell r="W473" t="str">
            <v/>
          </cell>
          <cell r="X473" t="str">
            <v>CP-108-A</v>
          </cell>
          <cell r="Y473" t="str">
            <v/>
          </cell>
          <cell r="Z473" t="str">
            <v>1906</v>
          </cell>
          <cell r="AA473" t="str">
            <v>1100160153</v>
          </cell>
          <cell r="AB473">
            <v>113</v>
          </cell>
          <cell r="AC473" t="str">
            <v/>
          </cell>
          <cell r="AD473">
            <v>119</v>
          </cell>
          <cell r="AE473" t="str">
            <v>G-100016975-260204-0007</v>
          </cell>
        </row>
        <row r="474">
          <cell r="B474" t="str">
            <v>7101073898</v>
          </cell>
          <cell r="C474" t="str">
            <v>G2312-0470</v>
          </cell>
          <cell r="D474" t="str">
            <v>000042944999002605</v>
          </cell>
          <cell r="E474" t="str">
            <v>带键锁紧螺桩</v>
          </cell>
          <cell r="F474" t="str">
            <v>8S.DFD20.3.802</v>
          </cell>
          <cell r="G474" t="str">
            <v>-</v>
          </cell>
          <cell r="H474" t="str">
            <v/>
          </cell>
          <cell r="I474" t="str">
            <v/>
          </cell>
          <cell r="J474" t="str">
            <v>组件</v>
          </cell>
          <cell r="K474">
            <v>50</v>
          </cell>
          <cell r="L474">
            <v>46058</v>
          </cell>
          <cell r="M474" t="str">
            <v>3-配货完成</v>
          </cell>
        </row>
        <row r="474">
          <cell r="O474">
            <v>0</v>
          </cell>
          <cell r="P474" t="str">
            <v>哈尔滨东安实业发展有限公司</v>
          </cell>
          <cell r="Q474" t="str">
            <v>10</v>
          </cell>
        </row>
        <row r="474">
          <cell r="U474" t="str">
            <v>010000657073</v>
          </cell>
          <cell r="V474" t="str">
            <v>BIAOQIAN2</v>
          </cell>
          <cell r="W474" t="str">
            <v/>
          </cell>
          <cell r="X474" t="str">
            <v>CP-108-A/CP-C8-2-4-3</v>
          </cell>
          <cell r="Y474" t="str">
            <v/>
          </cell>
          <cell r="Z474" t="str">
            <v>1906</v>
          </cell>
          <cell r="AA474" t="str">
            <v>1100160140</v>
          </cell>
          <cell r="AB474">
            <v>50</v>
          </cell>
          <cell r="AC474" t="str">
            <v>GJ2312-00470-S-1A</v>
          </cell>
          <cell r="AD474">
            <v>197</v>
          </cell>
          <cell r="AE474" t="str">
            <v>G-100016975-260204-0008XH</v>
          </cell>
        </row>
        <row r="475">
          <cell r="B475" t="str">
            <v>7101022910</v>
          </cell>
          <cell r="C475" t="str">
            <v>G2505-1321</v>
          </cell>
          <cell r="D475" t="str">
            <v>000042944360151880</v>
          </cell>
          <cell r="E475" t="str">
            <v>圆柱销</v>
          </cell>
          <cell r="F475" t="str">
            <v>Q/8S1337.1-2024</v>
          </cell>
          <cell r="G475" t="str">
            <v>A-014</v>
          </cell>
          <cell r="H475" t="str">
            <v>27-35HRC</v>
          </cell>
          <cell r="I475" t="str">
            <v>Ct·P</v>
          </cell>
          <cell r="J475" t="str">
            <v>GH2132</v>
          </cell>
          <cell r="K475">
            <v>15</v>
          </cell>
          <cell r="L475">
            <v>45947</v>
          </cell>
          <cell r="M475" t="str">
            <v>3-配货完成</v>
          </cell>
        </row>
        <row r="475">
          <cell r="O475">
            <v>0</v>
          </cell>
          <cell r="P475" t="str">
            <v>哈尔滨东安实业发展有限公司</v>
          </cell>
          <cell r="Q475" t="str">
            <v>30</v>
          </cell>
        </row>
        <row r="475">
          <cell r="U475" t="str">
            <v>010000827084</v>
          </cell>
          <cell r="V475" t="str">
            <v>BIAOQIAN2</v>
          </cell>
          <cell r="W475" t="str">
            <v/>
          </cell>
          <cell r="X475" t="str">
            <v>CP-108-A</v>
          </cell>
          <cell r="Y475" t="str">
            <v/>
          </cell>
          <cell r="Z475" t="str">
            <v>1906</v>
          </cell>
          <cell r="AA475" t="str">
            <v>1100141949</v>
          </cell>
          <cell r="AB475">
            <v>15</v>
          </cell>
          <cell r="AC475" t="str">
            <v/>
          </cell>
          <cell r="AD475">
            <v>34.83</v>
          </cell>
          <cell r="AE475" t="str">
            <v>G-100016975-250221-0010-1</v>
          </cell>
        </row>
        <row r="476">
          <cell r="B476" t="str">
            <v>7101094111</v>
          </cell>
          <cell r="C476" t="str">
            <v>G2510-0944</v>
          </cell>
          <cell r="D476" t="str">
            <v>000042944201130094</v>
          </cell>
          <cell r="E476" t="str">
            <v>六角头螺栓全螺纹</v>
          </cell>
          <cell r="F476" t="str">
            <v>GB/T5783-2000</v>
          </cell>
          <cell r="G476" t="str">
            <v>M20×100</v>
          </cell>
          <cell r="H476" t="str">
            <v>8.8</v>
          </cell>
          <cell r="I476" t="str">
            <v>Ep·Cd·c2C</v>
          </cell>
          <cell r="J476" t="str">
            <v>30CrMnSiA</v>
          </cell>
          <cell r="K476">
            <v>142</v>
          </cell>
          <cell r="L476">
            <v>46111</v>
          </cell>
          <cell r="M476" t="str">
            <v>3-配货完成</v>
          </cell>
        </row>
        <row r="476">
          <cell r="O476">
            <v>0</v>
          </cell>
          <cell r="P476" t="str">
            <v>哈尔滨东安实业发展有限公司</v>
          </cell>
          <cell r="Q476" t="str">
            <v>40</v>
          </cell>
        </row>
        <row r="476">
          <cell r="U476" t="str">
            <v>010000875220</v>
          </cell>
          <cell r="V476" t="str">
            <v>BIAOQIAN2</v>
          </cell>
          <cell r="W476" t="str">
            <v/>
          </cell>
          <cell r="X476" t="str">
            <v>CP-108-A</v>
          </cell>
          <cell r="Y476" t="str">
            <v/>
          </cell>
          <cell r="Z476" t="str">
            <v>1906</v>
          </cell>
          <cell r="AA476" t="str">
            <v>1100153644</v>
          </cell>
          <cell r="AB476">
            <v>142</v>
          </cell>
          <cell r="AC476" t="str">
            <v/>
          </cell>
          <cell r="AD476">
            <v>25</v>
          </cell>
          <cell r="AE476" t="str">
            <v>G-100016975-250925-0053</v>
          </cell>
        </row>
        <row r="477">
          <cell r="B477" t="str">
            <v>7101092974</v>
          </cell>
          <cell r="C477" t="str">
            <v>G2512-1684</v>
          </cell>
          <cell r="D477" t="str">
            <v>000042944239133992</v>
          </cell>
          <cell r="E477" t="str">
            <v>D头螺栓</v>
          </cell>
          <cell r="F477" t="str">
            <v>S7506.019</v>
          </cell>
          <cell r="G477" t="str">
            <v>-</v>
          </cell>
          <cell r="H477" t="str">
            <v>36-46.5HRC</v>
          </cell>
          <cell r="I477" t="str">
            <v/>
          </cell>
          <cell r="J477" t="str">
            <v>GH4169</v>
          </cell>
          <cell r="K477">
            <v>39</v>
          </cell>
          <cell r="L477">
            <v>46108</v>
          </cell>
          <cell r="M477" t="str">
            <v>3-配货完成</v>
          </cell>
        </row>
        <row r="477">
          <cell r="O477">
            <v>0</v>
          </cell>
          <cell r="P477" t="str">
            <v>哈尔滨东安实业发展有限公司</v>
          </cell>
          <cell r="Q477" t="str">
            <v>10</v>
          </cell>
        </row>
        <row r="477">
          <cell r="U477" t="str">
            <v>010000896848</v>
          </cell>
          <cell r="V477" t="str">
            <v>BIAOQIAN2</v>
          </cell>
          <cell r="W477" t="str">
            <v/>
          </cell>
          <cell r="X477" t="str">
            <v>CP-60-3-2-17</v>
          </cell>
          <cell r="Y477" t="str">
            <v/>
          </cell>
          <cell r="Z477" t="str">
            <v>1906</v>
          </cell>
          <cell r="AA477" t="str">
            <v>1100162396</v>
          </cell>
          <cell r="AB477">
            <v>420</v>
          </cell>
          <cell r="AC477" t="str">
            <v/>
          </cell>
          <cell r="AD477">
            <v>96</v>
          </cell>
          <cell r="AE477" t="str">
            <v>G-100016975-260325-0018</v>
          </cell>
        </row>
        <row r="478">
          <cell r="B478" t="str">
            <v>7101092974</v>
          </cell>
          <cell r="C478" t="str">
            <v>G2506-2034</v>
          </cell>
          <cell r="D478" t="str">
            <v>000042944239133906</v>
          </cell>
          <cell r="E478" t="str">
            <v>转接盘连接螺栓</v>
          </cell>
          <cell r="F478" t="str">
            <v>S7506.023</v>
          </cell>
          <cell r="G478" t="str">
            <v>-</v>
          </cell>
          <cell r="H478" t="str">
            <v>36-46.5HRC</v>
          </cell>
          <cell r="I478" t="str">
            <v/>
          </cell>
          <cell r="J478" t="str">
            <v>GH4169</v>
          </cell>
          <cell r="K478">
            <v>61</v>
          </cell>
          <cell r="L478">
            <v>46108</v>
          </cell>
          <cell r="M478" t="str">
            <v>3-配货完成</v>
          </cell>
        </row>
        <row r="478">
          <cell r="O478">
            <v>0</v>
          </cell>
          <cell r="P478" t="str">
            <v>哈尔滨东安实业发展有限公司</v>
          </cell>
          <cell r="Q478" t="str">
            <v>20</v>
          </cell>
        </row>
        <row r="478">
          <cell r="U478" t="str">
            <v>010000839188</v>
          </cell>
          <cell r="V478" t="str">
            <v>BIAOQIAN2</v>
          </cell>
          <cell r="W478" t="str">
            <v/>
          </cell>
          <cell r="X478" t="str">
            <v>CP-32-3-4-15</v>
          </cell>
          <cell r="Y478" t="str">
            <v/>
          </cell>
          <cell r="Z478" t="str">
            <v>1906</v>
          </cell>
          <cell r="AA478" t="str">
            <v>1100162396</v>
          </cell>
          <cell r="AB478">
            <v>596</v>
          </cell>
          <cell r="AC478" t="str">
            <v/>
          </cell>
          <cell r="AD478">
            <v>96</v>
          </cell>
          <cell r="AE478" t="str">
            <v>G-100016975-260325-0018</v>
          </cell>
        </row>
        <row r="479">
          <cell r="B479" t="str">
            <v>7101087777</v>
          </cell>
          <cell r="C479" t="str">
            <v>G2501-2330</v>
          </cell>
          <cell r="D479" t="str">
            <v>000042944000117412</v>
          </cell>
          <cell r="E479" t="str">
            <v>止动环</v>
          </cell>
          <cell r="F479" t="str">
            <v>AS3077</v>
          </cell>
          <cell r="G479" t="str">
            <v>AS3077-10</v>
          </cell>
          <cell r="H479" t="str">
            <v>33-42HRC</v>
          </cell>
          <cell r="I479" t="str">
            <v>钝化</v>
          </cell>
          <cell r="J479" t="str">
            <v>A286</v>
          </cell>
          <cell r="K479">
            <v>50</v>
          </cell>
          <cell r="L479">
            <v>46096</v>
          </cell>
          <cell r="M479" t="str">
            <v>4-检验完成</v>
          </cell>
        </row>
        <row r="479">
          <cell r="O479">
            <v>0</v>
          </cell>
          <cell r="P479" t="str">
            <v>哈尔滨东安实业发展有限公司</v>
          </cell>
          <cell r="Q479" t="str">
            <v>20</v>
          </cell>
          <cell r="R479">
            <v>46112</v>
          </cell>
        </row>
        <row r="479">
          <cell r="U479" t="str">
            <v>010000777136</v>
          </cell>
          <cell r="V479" t="str">
            <v>BIAOQIAN3</v>
          </cell>
          <cell r="W479" t="str">
            <v/>
          </cell>
          <cell r="X479" t="str">
            <v>CP-43-5-1-1</v>
          </cell>
          <cell r="Y479" t="str">
            <v/>
          </cell>
          <cell r="Z479" t="str">
            <v>1906</v>
          </cell>
          <cell r="AA479" t="str">
            <v>1100161735</v>
          </cell>
          <cell r="AB479">
            <v>50</v>
          </cell>
          <cell r="AC479" t="str">
            <v/>
          </cell>
          <cell r="AD479">
            <v>72.5</v>
          </cell>
          <cell r="AE479" t="str">
            <v>G-100016975-260311-0013</v>
          </cell>
        </row>
        <row r="480">
          <cell r="B480" t="str">
            <v>7101086957</v>
          </cell>
          <cell r="C480" t="str">
            <v>G2512-0081</v>
          </cell>
          <cell r="D480" t="str">
            <v>000042944320119139</v>
          </cell>
          <cell r="E480" t="str">
            <v>铆钉</v>
          </cell>
          <cell r="F480" t="str">
            <v>11S70294</v>
          </cell>
          <cell r="G480" t="str">
            <v>-</v>
          </cell>
          <cell r="H480" t="str">
            <v>固溶</v>
          </cell>
          <cell r="I480" t="str">
            <v/>
          </cell>
          <cell r="J480" t="str">
            <v>06Cr18Ni9</v>
          </cell>
          <cell r="K480">
            <v>12</v>
          </cell>
          <cell r="L480">
            <v>46094</v>
          </cell>
          <cell r="M480" t="str">
            <v>4-检验完成</v>
          </cell>
        </row>
        <row r="480">
          <cell r="O480">
            <v>0</v>
          </cell>
          <cell r="P480" t="str">
            <v>哈尔滨东安实业发展有限公司</v>
          </cell>
          <cell r="Q480" t="str">
            <v>30</v>
          </cell>
          <cell r="R480">
            <v>46112</v>
          </cell>
        </row>
        <row r="480">
          <cell r="U480" t="str">
            <v>010000889293</v>
          </cell>
          <cell r="V480" t="str">
            <v>BIAOQIAN4</v>
          </cell>
          <cell r="W480" t="str">
            <v/>
          </cell>
          <cell r="X480" t="str">
            <v>CP-108-A</v>
          </cell>
          <cell r="Y480" t="str">
            <v/>
          </cell>
          <cell r="Z480" t="str">
            <v>1906</v>
          </cell>
          <cell r="AA480" t="str">
            <v>1100158737</v>
          </cell>
          <cell r="AB480">
            <v>50</v>
          </cell>
          <cell r="AC480" t="str">
            <v/>
          </cell>
          <cell r="AD480">
            <v>90</v>
          </cell>
          <cell r="AE480" t="str">
            <v>G-100016975-260109-0004</v>
          </cell>
        </row>
        <row r="481">
          <cell r="B481" t="str">
            <v>7101084480</v>
          </cell>
          <cell r="C481" t="str">
            <v>G2512-0774</v>
          </cell>
          <cell r="D481" t="str">
            <v>000042944320119139</v>
          </cell>
          <cell r="E481" t="str">
            <v>铆钉</v>
          </cell>
          <cell r="F481" t="str">
            <v>11S70294</v>
          </cell>
          <cell r="G481" t="str">
            <v>-</v>
          </cell>
          <cell r="H481" t="str">
            <v>固溶</v>
          </cell>
          <cell r="I481" t="str">
            <v/>
          </cell>
          <cell r="J481" t="str">
            <v>06Cr18Ni9</v>
          </cell>
          <cell r="K481">
            <v>38</v>
          </cell>
          <cell r="L481">
            <v>46088</v>
          </cell>
          <cell r="M481" t="str">
            <v>4-检验完成</v>
          </cell>
        </row>
        <row r="481">
          <cell r="O481">
            <v>0</v>
          </cell>
          <cell r="P481" t="str">
            <v>哈尔滨东安实业发展有限公司</v>
          </cell>
          <cell r="Q481" t="str">
            <v>30</v>
          </cell>
          <cell r="R481">
            <v>46112</v>
          </cell>
        </row>
        <row r="481">
          <cell r="U481" t="str">
            <v>010000892411</v>
          </cell>
          <cell r="V481" t="str">
            <v>BIAOQIAN1</v>
          </cell>
          <cell r="W481" t="str">
            <v/>
          </cell>
          <cell r="X481" t="str">
            <v>CP-C7-3-3-1</v>
          </cell>
          <cell r="Y481" t="str">
            <v/>
          </cell>
          <cell r="Z481" t="str">
            <v>1906</v>
          </cell>
          <cell r="AA481" t="str">
            <v>1100158737</v>
          </cell>
          <cell r="AB481">
            <v>50</v>
          </cell>
          <cell r="AC481" t="str">
            <v/>
          </cell>
          <cell r="AD481">
            <v>90</v>
          </cell>
          <cell r="AE481" t="str">
            <v>G-100016975-260109-0004</v>
          </cell>
        </row>
        <row r="482">
          <cell r="B482" t="str">
            <v>7101079326</v>
          </cell>
          <cell r="C482" t="str">
            <v>G2507-1797</v>
          </cell>
          <cell r="D482" t="str">
            <v>000042944319000359</v>
          </cell>
          <cell r="E482" t="str">
            <v>抗剪型高锁螺母</v>
          </cell>
          <cell r="F482" t="str">
            <v>GJB134.1-1986 M6 LY12-CS 红色阳极化</v>
          </cell>
          <cell r="G482" t="str">
            <v>M6</v>
          </cell>
          <cell r="H482" t="str">
            <v/>
          </cell>
          <cell r="I482" t="str">
            <v>Et·A(s)·Cl(RD)+十六醇</v>
          </cell>
          <cell r="J482" t="str">
            <v>LY12-CS</v>
          </cell>
          <cell r="K482">
            <v>85</v>
          </cell>
          <cell r="L482">
            <v>46078</v>
          </cell>
          <cell r="M482" t="str">
            <v>3-配货完成</v>
          </cell>
        </row>
        <row r="482">
          <cell r="O482">
            <v>0</v>
          </cell>
          <cell r="P482" t="str">
            <v>哈尔滨东安实业发展有限公司</v>
          </cell>
          <cell r="Q482" t="str">
            <v>20</v>
          </cell>
        </row>
        <row r="482">
          <cell r="U482" t="str">
            <v>010000847896</v>
          </cell>
          <cell r="V482" t="str">
            <v>BIAOQIAN4</v>
          </cell>
          <cell r="W482" t="str">
            <v/>
          </cell>
          <cell r="X482" t="str">
            <v>CP-108-A</v>
          </cell>
          <cell r="Y482" t="str">
            <v/>
          </cell>
          <cell r="Z482" t="str">
            <v>1906</v>
          </cell>
          <cell r="AA482" t="str">
            <v>1100153644</v>
          </cell>
          <cell r="AB482">
            <v>85</v>
          </cell>
          <cell r="AC482" t="str">
            <v>GJ2507-01797</v>
          </cell>
          <cell r="AD482">
            <v>39.2</v>
          </cell>
          <cell r="AE482" t="str">
            <v>G-100016975-250925-0053</v>
          </cell>
        </row>
        <row r="483">
          <cell r="B483" t="str">
            <v>7101073898</v>
          </cell>
          <cell r="C483" t="str">
            <v>G2312-0470</v>
          </cell>
          <cell r="D483" t="str">
            <v>000042944999002605</v>
          </cell>
          <cell r="E483" t="str">
            <v>带键锁紧螺桩</v>
          </cell>
          <cell r="F483" t="str">
            <v>8S.DFD20.3.802</v>
          </cell>
          <cell r="G483" t="str">
            <v>-</v>
          </cell>
          <cell r="H483" t="str">
            <v/>
          </cell>
          <cell r="I483" t="str">
            <v/>
          </cell>
          <cell r="J483" t="str">
            <v>组件</v>
          </cell>
          <cell r="K483">
            <v>50</v>
          </cell>
          <cell r="L483">
            <v>46058</v>
          </cell>
          <cell r="M483" t="str">
            <v>3-配货完成</v>
          </cell>
        </row>
        <row r="483">
          <cell r="O483">
            <v>0</v>
          </cell>
          <cell r="P483" t="str">
            <v>哈尔滨东安实业发展有限公司</v>
          </cell>
          <cell r="Q483" t="str">
            <v>10</v>
          </cell>
        </row>
        <row r="483">
          <cell r="U483" t="str">
            <v>010000657073</v>
          </cell>
          <cell r="V483" t="str">
            <v>BIAOQIAN2</v>
          </cell>
          <cell r="W483" t="str">
            <v/>
          </cell>
          <cell r="X483" t="str">
            <v>CP-108-A/CP-C8-2-4-3</v>
          </cell>
          <cell r="Y483" t="str">
            <v/>
          </cell>
          <cell r="Z483" t="str">
            <v>1906</v>
          </cell>
          <cell r="AA483" t="str">
            <v>1100160140</v>
          </cell>
          <cell r="AB483">
            <v>50</v>
          </cell>
          <cell r="AC483" t="str">
            <v>GJ2312-00470-S-1A</v>
          </cell>
          <cell r="AD483">
            <v>197</v>
          </cell>
          <cell r="AE483" t="str">
            <v>G-100016975-260204-0008XH</v>
          </cell>
        </row>
        <row r="484">
          <cell r="B484" t="str">
            <v>7101022910</v>
          </cell>
          <cell r="C484" t="str">
            <v>G2505-1321</v>
          </cell>
          <cell r="D484" t="str">
            <v>000042944360151880</v>
          </cell>
          <cell r="E484" t="str">
            <v>圆柱销</v>
          </cell>
          <cell r="F484" t="str">
            <v>Q/8S1337.1-2024</v>
          </cell>
          <cell r="G484" t="str">
            <v>A-014</v>
          </cell>
          <cell r="H484" t="str">
            <v>27-35HRC</v>
          </cell>
          <cell r="I484" t="str">
            <v>Ct·P</v>
          </cell>
          <cell r="J484" t="str">
            <v>GH2132</v>
          </cell>
          <cell r="K484">
            <v>15</v>
          </cell>
          <cell r="L484">
            <v>45947</v>
          </cell>
          <cell r="M484" t="str">
            <v>3-配货完成</v>
          </cell>
        </row>
        <row r="484">
          <cell r="O484">
            <v>0</v>
          </cell>
          <cell r="P484" t="str">
            <v>哈尔滨东安实业发展有限公司</v>
          </cell>
          <cell r="Q484" t="str">
            <v>30</v>
          </cell>
        </row>
        <row r="484">
          <cell r="U484" t="str">
            <v>010000827084</v>
          </cell>
          <cell r="V484" t="str">
            <v>BIAOQIAN2</v>
          </cell>
          <cell r="W484" t="str">
            <v/>
          </cell>
          <cell r="X484" t="str">
            <v>CP-108-A</v>
          </cell>
          <cell r="Y484" t="str">
            <v/>
          </cell>
          <cell r="Z484" t="str">
            <v>1906</v>
          </cell>
          <cell r="AA484" t="str">
            <v>1100141949</v>
          </cell>
          <cell r="AB484">
            <v>15</v>
          </cell>
          <cell r="AC484" t="str">
            <v/>
          </cell>
          <cell r="AD484">
            <v>34.83</v>
          </cell>
          <cell r="AE484" t="str">
            <v>G-100016975-250221-0010-1</v>
          </cell>
        </row>
        <row r="485">
          <cell r="B485" t="str">
            <v>7101063675</v>
          </cell>
          <cell r="C485" t="str">
            <v>G2507-1989</v>
          </cell>
          <cell r="D485" t="str">
            <v>000042944288001446</v>
          </cell>
          <cell r="E485" t="str">
            <v>六角自锁螺母,材料GH2132,镀银</v>
          </cell>
          <cell r="F485" t="str">
            <v>2S5125-MJ8×1</v>
          </cell>
          <cell r="G485" t="str">
            <v>MJ8×1</v>
          </cell>
          <cell r="H485" t="str">
            <v>24-37HRC</v>
          </cell>
          <cell r="I485" t="str">
            <v>Ep·Ag5-8</v>
          </cell>
          <cell r="J485" t="str">
            <v>优质GH2132</v>
          </cell>
          <cell r="K485">
            <v>124</v>
          </cell>
          <cell r="L485">
            <v>46037</v>
          </cell>
          <cell r="M485" t="str">
            <v>3-配货完成</v>
          </cell>
        </row>
        <row r="485">
          <cell r="O485">
            <v>0</v>
          </cell>
          <cell r="P485" t="str">
            <v>中国航发沈阳黎明航空发动机有限责任公司</v>
          </cell>
          <cell r="Q485" t="str">
            <v>10</v>
          </cell>
        </row>
        <row r="485">
          <cell r="U485" t="str">
            <v>010000848533</v>
          </cell>
          <cell r="V485" t="str">
            <v>BIAOQIAN4</v>
          </cell>
          <cell r="W485" t="str">
            <v/>
          </cell>
          <cell r="X485" t="str">
            <v>CP-46-4-1-2</v>
          </cell>
          <cell r="Y485" t="str">
            <v/>
          </cell>
          <cell r="Z485" t="str">
            <v>1911</v>
          </cell>
          <cell r="AA485" t="str">
            <v>1100158874</v>
          </cell>
          <cell r="AB485">
            <v>1032</v>
          </cell>
          <cell r="AC485" t="str">
            <v/>
          </cell>
          <cell r="AD485">
            <v>102.73</v>
          </cell>
          <cell r="AE485" t="str">
            <v>G-100011916-260113-0014</v>
          </cell>
        </row>
        <row r="486">
          <cell r="B486">
            <v>7100773384</v>
          </cell>
          <cell r="C486" t="str">
            <v>G2309-2420</v>
          </cell>
          <cell r="D486">
            <v>42944201017714</v>
          </cell>
          <cell r="E486" t="str">
            <v>六角头螺栓</v>
          </cell>
          <cell r="F486" t="str">
            <v>ΦDU5133</v>
          </cell>
          <cell r="G486" t="str">
            <v>-</v>
          </cell>
          <cell r="H486" t="str">
            <v>≥285HB</v>
          </cell>
        </row>
        <row r="486">
          <cell r="J486" t="str">
            <v>GH80A</v>
          </cell>
          <cell r="K486">
            <v>368</v>
          </cell>
          <cell r="L486" t="str">
            <v>2024.01.08</v>
          </cell>
          <cell r="M486" t="str">
            <v>1-已打印</v>
          </cell>
        </row>
        <row r="486">
          <cell r="P486" t="str">
            <v>中国人民解放军第五七〇二工厂</v>
          </cell>
          <cell r="Q486">
            <v>30</v>
          </cell>
        </row>
        <row r="486">
          <cell r="U486">
            <v>10000637984</v>
          </cell>
        </row>
        <row r="486">
          <cell r="X486" t="str">
            <v>CP-108-A</v>
          </cell>
        </row>
        <row r="486">
          <cell r="Z486">
            <v>1915</v>
          </cell>
          <cell r="AA486">
            <v>1100120610</v>
          </cell>
          <cell r="AB486">
            <v>500</v>
          </cell>
        </row>
        <row r="486">
          <cell r="AD486">
            <v>33.4</v>
          </cell>
          <cell r="AE486" t="str">
            <v>G0395-231030-575</v>
          </cell>
        </row>
        <row r="487">
          <cell r="B487" t="str">
            <v>7100839968</v>
          </cell>
          <cell r="C487" t="str">
            <v>G2406-1879</v>
          </cell>
          <cell r="D487" t="str">
            <v>000042944000093346</v>
          </cell>
          <cell r="E487" t="str">
            <v>卡箍</v>
          </cell>
          <cell r="F487" t="str">
            <v>H6K-7613-010</v>
          </cell>
          <cell r="G487" t="str">
            <v>-</v>
          </cell>
          <cell r="H487" t="str">
            <v/>
          </cell>
          <cell r="I487" t="str">
            <v/>
          </cell>
          <cell r="J487" t="str">
            <v>组件</v>
          </cell>
          <cell r="K487">
            <v>13</v>
          </cell>
          <cell r="L487">
            <v>45499</v>
          </cell>
          <cell r="M487" t="str">
            <v>5-包装完成</v>
          </cell>
        </row>
        <row r="487">
          <cell r="O487">
            <v>0</v>
          </cell>
          <cell r="P487" t="str">
            <v>中国人民解放军第五七〇二工厂(国营四达机械制造公司)</v>
          </cell>
          <cell r="Q487" t="str">
            <v>80</v>
          </cell>
          <cell r="R487">
            <v>45505</v>
          </cell>
          <cell r="S487">
            <v>45537</v>
          </cell>
        </row>
        <row r="487">
          <cell r="U487" t="str">
            <v>010000712978</v>
          </cell>
          <cell r="V487" t="str">
            <v>LIZHIFENG</v>
          </cell>
          <cell r="W487" t="str">
            <v/>
          </cell>
          <cell r="X487" t="str">
            <v>CP-108-A</v>
          </cell>
          <cell r="Y487" t="str">
            <v>ZHANGZHIYI</v>
          </cell>
          <cell r="Z487" t="str">
            <v>1915</v>
          </cell>
          <cell r="AA487" t="str">
            <v>1100107854</v>
          </cell>
          <cell r="AB487">
            <v>13</v>
          </cell>
          <cell r="AC487" t="str">
            <v/>
          </cell>
          <cell r="AD487">
            <v>9000</v>
          </cell>
          <cell r="AE487" t="str">
            <v>G0395-221208-874</v>
          </cell>
        </row>
        <row r="488">
          <cell r="B488" t="str">
            <v>7100839430</v>
          </cell>
          <cell r="C488" t="str">
            <v>G2406-1572</v>
          </cell>
          <cell r="D488" t="str">
            <v>000042944000093348</v>
          </cell>
          <cell r="E488" t="str">
            <v>卡箍</v>
          </cell>
          <cell r="F488" t="str">
            <v>H6K-7605-137</v>
          </cell>
          <cell r="G488" t="str">
            <v>-</v>
          </cell>
          <cell r="H488" t="str">
            <v/>
          </cell>
          <cell r="I488" t="str">
            <v/>
          </cell>
          <cell r="J488" t="str">
            <v>组件</v>
          </cell>
          <cell r="K488">
            <v>2</v>
          </cell>
          <cell r="L488">
            <v>45498</v>
          </cell>
          <cell r="M488" t="str">
            <v>5-包装完成</v>
          </cell>
        </row>
        <row r="488">
          <cell r="O488">
            <v>0</v>
          </cell>
          <cell r="P488" t="str">
            <v>中国人民解放军第五七〇二工厂(国营四达机械制造公司)</v>
          </cell>
          <cell r="Q488" t="str">
            <v>40</v>
          </cell>
          <cell r="R488">
            <v>45499</v>
          </cell>
          <cell r="S488">
            <v>45537</v>
          </cell>
        </row>
        <row r="488">
          <cell r="U488" t="str">
            <v>010000712194</v>
          </cell>
          <cell r="V488" t="str">
            <v>PANQIFANG</v>
          </cell>
          <cell r="W488" t="str">
            <v/>
          </cell>
          <cell r="X488" t="str">
            <v>CP-108-A</v>
          </cell>
          <cell r="Y488" t="str">
            <v>ZHANGZHIYI</v>
          </cell>
          <cell r="Z488" t="str">
            <v>1915</v>
          </cell>
          <cell r="AA488" t="str">
            <v>1100107854</v>
          </cell>
          <cell r="AB488">
            <v>20</v>
          </cell>
          <cell r="AC488" t="str">
            <v/>
          </cell>
          <cell r="AD488">
            <v>13000</v>
          </cell>
          <cell r="AE488" t="str">
            <v>G0395-221208-874</v>
          </cell>
        </row>
        <row r="489">
          <cell r="B489" t="str">
            <v>7100838553</v>
          </cell>
          <cell r="C489" t="str">
            <v>G2402-1480</v>
          </cell>
          <cell r="D489" t="str">
            <v>000042944000093349</v>
          </cell>
          <cell r="E489" t="str">
            <v>卡箍</v>
          </cell>
          <cell r="F489" t="str">
            <v>H6K-7611-030</v>
          </cell>
          <cell r="G489" t="str">
            <v>-</v>
          </cell>
          <cell r="H489" t="str">
            <v/>
          </cell>
          <cell r="I489" t="str">
            <v/>
          </cell>
          <cell r="J489" t="str">
            <v>组件</v>
          </cell>
          <cell r="K489">
            <v>14</v>
          </cell>
          <cell r="L489">
            <v>45497</v>
          </cell>
          <cell r="M489" t="str">
            <v>5-包装完成</v>
          </cell>
        </row>
        <row r="489">
          <cell r="O489">
            <v>0</v>
          </cell>
          <cell r="P489" t="str">
            <v>中国人民解放军第五七〇二工厂(国营四达机械制造公司)</v>
          </cell>
          <cell r="Q489" t="str">
            <v>60</v>
          </cell>
          <cell r="R489">
            <v>45498</v>
          </cell>
          <cell r="S489">
            <v>45537</v>
          </cell>
        </row>
        <row r="489">
          <cell r="U489" t="str">
            <v>010000675953</v>
          </cell>
          <cell r="V489" t="str">
            <v>HANXIAOLAN</v>
          </cell>
          <cell r="W489" t="str">
            <v/>
          </cell>
          <cell r="X489" t="str">
            <v>CP-108-A</v>
          </cell>
          <cell r="Y489" t="str">
            <v>ZHANGZHIYI</v>
          </cell>
          <cell r="Z489" t="str">
            <v>1915</v>
          </cell>
          <cell r="AA489" t="str">
            <v>1100107854</v>
          </cell>
          <cell r="AB489">
            <v>20</v>
          </cell>
          <cell r="AC489" t="str">
            <v/>
          </cell>
          <cell r="AD489">
            <v>16500</v>
          </cell>
          <cell r="AE489" t="str">
            <v>G0395-221208-874</v>
          </cell>
        </row>
        <row r="490">
          <cell r="B490" t="str">
            <v>7100835601</v>
          </cell>
          <cell r="C490" t="str">
            <v>G2212-1447</v>
          </cell>
          <cell r="D490" t="str">
            <v>000042944000093345</v>
          </cell>
          <cell r="E490" t="str">
            <v>卡箍</v>
          </cell>
          <cell r="F490" t="str">
            <v>H6K-7611-040</v>
          </cell>
          <cell r="G490" t="str">
            <v>-</v>
          </cell>
          <cell r="H490" t="str">
            <v/>
          </cell>
          <cell r="I490" t="str">
            <v/>
          </cell>
          <cell r="J490" t="str">
            <v>组件</v>
          </cell>
          <cell r="K490">
            <v>14</v>
          </cell>
          <cell r="L490">
            <v>45488</v>
          </cell>
          <cell r="M490" t="str">
            <v>3-配货完成</v>
          </cell>
        </row>
        <row r="490">
          <cell r="O490">
            <v>0</v>
          </cell>
          <cell r="P490" t="str">
            <v>中国人民解放军第五七〇二工厂(国营四达机械制造公司)</v>
          </cell>
          <cell r="Q490" t="str">
            <v>70</v>
          </cell>
        </row>
        <row r="490">
          <cell r="U490" t="str">
            <v>010000557758</v>
          </cell>
          <cell r="V490" t="str">
            <v>LIZHIFENG</v>
          </cell>
          <cell r="W490" t="str">
            <v/>
          </cell>
          <cell r="X490" t="str">
            <v>CP-108-A</v>
          </cell>
          <cell r="Y490" t="str">
            <v/>
          </cell>
          <cell r="Z490" t="str">
            <v>1915</v>
          </cell>
          <cell r="AA490" t="str">
            <v>1100107854</v>
          </cell>
          <cell r="AB490">
            <v>14</v>
          </cell>
          <cell r="AC490" t="str">
            <v/>
          </cell>
          <cell r="AD490">
            <v>4250</v>
          </cell>
          <cell r="AE490" t="str">
            <v>G0395-221208-874</v>
          </cell>
        </row>
        <row r="491">
          <cell r="B491" t="str">
            <v>7100835601</v>
          </cell>
          <cell r="C491" t="str">
            <v>G2212-1447</v>
          </cell>
          <cell r="D491" t="str">
            <v>000042944000093345</v>
          </cell>
          <cell r="E491" t="str">
            <v>卡箍</v>
          </cell>
          <cell r="F491" t="str">
            <v>H6K-7611-040</v>
          </cell>
          <cell r="G491" t="str">
            <v>-</v>
          </cell>
          <cell r="H491" t="str">
            <v/>
          </cell>
          <cell r="I491" t="str">
            <v/>
          </cell>
          <cell r="J491" t="str">
            <v>组件</v>
          </cell>
          <cell r="K491">
            <v>14</v>
          </cell>
          <cell r="L491">
            <v>45488</v>
          </cell>
          <cell r="M491" t="str">
            <v>4-检验完成</v>
          </cell>
        </row>
        <row r="491">
          <cell r="O491">
            <v>0</v>
          </cell>
          <cell r="P491" t="str">
            <v>中国人民解放军第五七〇二工厂(国营四达机械制造公司)</v>
          </cell>
          <cell r="Q491" t="str">
            <v>70</v>
          </cell>
          <cell r="R491">
            <v>45720</v>
          </cell>
        </row>
        <row r="491">
          <cell r="U491" t="str">
            <v>010000557758</v>
          </cell>
          <cell r="V491" t="str">
            <v>LIZHIFENG</v>
          </cell>
          <cell r="W491" t="str">
            <v/>
          </cell>
          <cell r="X491" t="str">
            <v>CP-108-A</v>
          </cell>
          <cell r="Y491" t="str">
            <v/>
          </cell>
          <cell r="Z491" t="str">
            <v>1915</v>
          </cell>
          <cell r="AA491" t="str">
            <v>1100107854</v>
          </cell>
          <cell r="AB491">
            <v>14</v>
          </cell>
          <cell r="AC491" t="str">
            <v/>
          </cell>
          <cell r="AD491">
            <v>4250</v>
          </cell>
          <cell r="AE491" t="str">
            <v>G0395-221208-874</v>
          </cell>
        </row>
        <row r="492">
          <cell r="B492" t="str">
            <v>7100838553</v>
          </cell>
          <cell r="C492" t="str">
            <v>G2402-1480</v>
          </cell>
          <cell r="D492" t="str">
            <v>000042944000093349</v>
          </cell>
          <cell r="E492" t="str">
            <v>卡箍</v>
          </cell>
          <cell r="F492" t="str">
            <v>H6K-7611-030</v>
          </cell>
          <cell r="G492" t="str">
            <v>-</v>
          </cell>
          <cell r="H492" t="str">
            <v/>
          </cell>
          <cell r="I492" t="str">
            <v/>
          </cell>
          <cell r="J492" t="str">
            <v>组件</v>
          </cell>
          <cell r="K492">
            <v>14</v>
          </cell>
          <cell r="L492">
            <v>45497</v>
          </cell>
          <cell r="M492" t="str">
            <v>5-包装完成</v>
          </cell>
        </row>
        <row r="492">
          <cell r="O492">
            <v>0</v>
          </cell>
          <cell r="P492" t="str">
            <v>中国人民解放军第五七〇二工厂(国营四达机械制造公司)</v>
          </cell>
          <cell r="Q492" t="str">
            <v>60</v>
          </cell>
          <cell r="R492">
            <v>45498</v>
          </cell>
          <cell r="S492">
            <v>45537</v>
          </cell>
        </row>
        <row r="492">
          <cell r="U492" t="str">
            <v>010000675953</v>
          </cell>
          <cell r="V492" t="str">
            <v>HANXIAOLAN</v>
          </cell>
          <cell r="W492" t="str">
            <v/>
          </cell>
          <cell r="X492" t="str">
            <v>CP-108-A</v>
          </cell>
          <cell r="Y492" t="str">
            <v>ZHANGZHIYI</v>
          </cell>
          <cell r="Z492" t="str">
            <v>1915</v>
          </cell>
          <cell r="AA492" t="str">
            <v>1100107854</v>
          </cell>
          <cell r="AB492">
            <v>20</v>
          </cell>
          <cell r="AC492" t="str">
            <v/>
          </cell>
          <cell r="AD492">
            <v>16500</v>
          </cell>
          <cell r="AE492" t="str">
            <v>G0395-221208-874</v>
          </cell>
        </row>
        <row r="493">
          <cell r="B493" t="str">
            <v>7100839430</v>
          </cell>
          <cell r="C493" t="str">
            <v>G2406-1572</v>
          </cell>
          <cell r="D493" t="str">
            <v>000042944000093348</v>
          </cell>
          <cell r="E493" t="str">
            <v>卡箍</v>
          </cell>
          <cell r="F493" t="str">
            <v>H6K-7605-137</v>
          </cell>
          <cell r="G493" t="str">
            <v>-</v>
          </cell>
          <cell r="H493" t="str">
            <v/>
          </cell>
          <cell r="I493" t="str">
            <v/>
          </cell>
          <cell r="J493" t="str">
            <v>组件</v>
          </cell>
          <cell r="K493">
            <v>2</v>
          </cell>
          <cell r="L493">
            <v>45498</v>
          </cell>
          <cell r="M493" t="str">
            <v>5-包装完成</v>
          </cell>
        </row>
        <row r="493">
          <cell r="O493">
            <v>0</v>
          </cell>
          <cell r="P493" t="str">
            <v>中国人民解放军第五七〇二工厂(国营四达机械制造公司)</v>
          </cell>
          <cell r="Q493" t="str">
            <v>40</v>
          </cell>
          <cell r="R493">
            <v>45499</v>
          </cell>
          <cell r="S493">
            <v>45537</v>
          </cell>
        </row>
        <row r="493">
          <cell r="U493" t="str">
            <v>010000712194</v>
          </cell>
          <cell r="V493" t="str">
            <v>PANQIFANG</v>
          </cell>
          <cell r="W493" t="str">
            <v/>
          </cell>
          <cell r="X493" t="str">
            <v>CP-108-A</v>
          </cell>
          <cell r="Y493" t="str">
            <v>ZHANGZHIYI</v>
          </cell>
          <cell r="Z493" t="str">
            <v>1915</v>
          </cell>
          <cell r="AA493" t="str">
            <v>1100107854</v>
          </cell>
          <cell r="AB493">
            <v>20</v>
          </cell>
          <cell r="AC493" t="str">
            <v/>
          </cell>
          <cell r="AD493">
            <v>13000</v>
          </cell>
          <cell r="AE493" t="str">
            <v>G0395-221208-874</v>
          </cell>
        </row>
        <row r="494">
          <cell r="B494" t="str">
            <v>7100839968</v>
          </cell>
          <cell r="C494" t="str">
            <v>G2406-1879</v>
          </cell>
          <cell r="D494" t="str">
            <v>000042944000093346</v>
          </cell>
          <cell r="E494" t="str">
            <v>卡箍</v>
          </cell>
          <cell r="F494" t="str">
            <v>H6K-7613-010</v>
          </cell>
          <cell r="G494" t="str">
            <v>-</v>
          </cell>
          <cell r="H494" t="str">
            <v/>
          </cell>
          <cell r="I494" t="str">
            <v/>
          </cell>
          <cell r="J494" t="str">
            <v>组件</v>
          </cell>
          <cell r="K494">
            <v>13</v>
          </cell>
          <cell r="L494">
            <v>45499</v>
          </cell>
          <cell r="M494" t="str">
            <v>5-包装完成</v>
          </cell>
        </row>
        <row r="494">
          <cell r="O494">
            <v>0</v>
          </cell>
          <cell r="P494" t="str">
            <v>中国人民解放军第五七〇二工厂(国营四达机械制造公司)</v>
          </cell>
          <cell r="Q494" t="str">
            <v>80</v>
          </cell>
          <cell r="R494">
            <v>45505</v>
          </cell>
          <cell r="S494">
            <v>45537</v>
          </cell>
        </row>
        <row r="494">
          <cell r="U494" t="str">
            <v>010000712978</v>
          </cell>
          <cell r="V494" t="str">
            <v>LIZHIFENG</v>
          </cell>
          <cell r="W494" t="str">
            <v/>
          </cell>
          <cell r="X494" t="str">
            <v>CP-108-A</v>
          </cell>
          <cell r="Y494" t="str">
            <v>ZHANGZHIYI</v>
          </cell>
          <cell r="Z494" t="str">
            <v>1915</v>
          </cell>
          <cell r="AA494" t="str">
            <v>1100107854</v>
          </cell>
          <cell r="AB494">
            <v>13</v>
          </cell>
          <cell r="AC494" t="str">
            <v/>
          </cell>
          <cell r="AD494">
            <v>9000</v>
          </cell>
          <cell r="AE494" t="str">
            <v>G0395-221208-874</v>
          </cell>
        </row>
        <row r="495">
          <cell r="B495" t="str">
            <v>7100885957</v>
          </cell>
          <cell r="C495" t="str">
            <v>G2402-1465</v>
          </cell>
          <cell r="D495" t="str">
            <v>000042944000093351</v>
          </cell>
          <cell r="E495" t="str">
            <v>卡箍</v>
          </cell>
          <cell r="F495" t="str">
            <v>H6K-7603-025</v>
          </cell>
          <cell r="G495" t="str">
            <v>-</v>
          </cell>
          <cell r="H495" t="str">
            <v/>
          </cell>
          <cell r="I495" t="str">
            <v/>
          </cell>
          <cell r="J495" t="str">
            <v>组件</v>
          </cell>
          <cell r="K495">
            <v>10</v>
          </cell>
          <cell r="L495">
            <v>45638</v>
          </cell>
          <cell r="M495" t="str">
            <v>4-检验完成</v>
          </cell>
        </row>
        <row r="495">
          <cell r="O495">
            <v>0</v>
          </cell>
          <cell r="P495" t="str">
            <v>中国人民解放军第五七〇二工厂(国营四达机械制造公司)</v>
          </cell>
          <cell r="Q495" t="str">
            <v>20</v>
          </cell>
          <cell r="R495">
            <v>45642</v>
          </cell>
        </row>
        <row r="495">
          <cell r="U495" t="str">
            <v>010000675896</v>
          </cell>
          <cell r="V495" t="str">
            <v>LIZHIFENG</v>
          </cell>
          <cell r="W495" t="str">
            <v/>
          </cell>
          <cell r="X495" t="str">
            <v>CP-108-A</v>
          </cell>
          <cell r="Y495" t="str">
            <v/>
          </cell>
          <cell r="Z495" t="str">
            <v>1915</v>
          </cell>
          <cell r="AA495" t="str">
            <v>1100083688</v>
          </cell>
          <cell r="AB495">
            <v>50</v>
          </cell>
          <cell r="AC495" t="str">
            <v/>
          </cell>
          <cell r="AD495">
            <v>9000</v>
          </cell>
          <cell r="AE495" t="str">
            <v>G0395-210518-547</v>
          </cell>
        </row>
        <row r="496">
          <cell r="B496" t="str">
            <v>7100885958</v>
          </cell>
          <cell r="C496" t="str">
            <v>G2406-1677</v>
          </cell>
          <cell r="D496" t="str">
            <v>000042944000093351</v>
          </cell>
          <cell r="E496" t="str">
            <v>卡箍</v>
          </cell>
          <cell r="F496" t="str">
            <v>H6K-7603-025</v>
          </cell>
          <cell r="G496" t="str">
            <v>-</v>
          </cell>
          <cell r="H496" t="str">
            <v/>
          </cell>
          <cell r="I496" t="str">
            <v/>
          </cell>
          <cell r="J496" t="str">
            <v>组件</v>
          </cell>
          <cell r="K496">
            <v>34</v>
          </cell>
          <cell r="L496">
            <v>45638</v>
          </cell>
          <cell r="M496" t="str">
            <v>4-检验完成</v>
          </cell>
        </row>
        <row r="496">
          <cell r="O496">
            <v>0</v>
          </cell>
          <cell r="P496" t="str">
            <v>中国人民解放军第五七〇二工厂(国营四达机械制造公司)</v>
          </cell>
          <cell r="Q496" t="str">
            <v>20</v>
          </cell>
          <cell r="R496">
            <v>45642</v>
          </cell>
        </row>
        <row r="496">
          <cell r="U496" t="str">
            <v>010000712361</v>
          </cell>
          <cell r="V496" t="str">
            <v>HANXIAOLAN</v>
          </cell>
          <cell r="W496" t="str">
            <v/>
          </cell>
          <cell r="X496" t="str">
            <v>CP-108-A</v>
          </cell>
          <cell r="Y496" t="str">
            <v/>
          </cell>
          <cell r="Z496" t="str">
            <v>1915</v>
          </cell>
          <cell r="AA496" t="str">
            <v>1100083688</v>
          </cell>
          <cell r="AB496">
            <v>50</v>
          </cell>
          <cell r="AC496" t="str">
            <v/>
          </cell>
          <cell r="AD496">
            <v>9000</v>
          </cell>
          <cell r="AE496" t="str">
            <v>G0395-210518-547</v>
          </cell>
        </row>
        <row r="497">
          <cell r="B497" t="str">
            <v>7100885962</v>
          </cell>
          <cell r="C497" t="str">
            <v>G2402-1465</v>
          </cell>
          <cell r="D497" t="str">
            <v>000042944000093351</v>
          </cell>
          <cell r="E497" t="str">
            <v>卡箍</v>
          </cell>
          <cell r="F497" t="str">
            <v>H6K-7603-025</v>
          </cell>
          <cell r="G497" t="str">
            <v>-</v>
          </cell>
          <cell r="H497" t="str">
            <v/>
          </cell>
          <cell r="I497" t="str">
            <v/>
          </cell>
          <cell r="J497" t="str">
            <v>组件</v>
          </cell>
          <cell r="K497">
            <v>21</v>
          </cell>
          <cell r="L497">
            <v>45638</v>
          </cell>
          <cell r="M497" t="str">
            <v>4-检验完成</v>
          </cell>
        </row>
        <row r="497">
          <cell r="O497">
            <v>0</v>
          </cell>
          <cell r="P497" t="str">
            <v>中国人民解放军第五七〇二工厂(国营四达机械制造公司)</v>
          </cell>
          <cell r="Q497" t="str">
            <v>20</v>
          </cell>
          <cell r="R497">
            <v>45646</v>
          </cell>
        </row>
        <row r="497">
          <cell r="U497" t="str">
            <v>010000675896</v>
          </cell>
          <cell r="V497" t="str">
            <v>LIZHIFENG</v>
          </cell>
          <cell r="W497" t="str">
            <v/>
          </cell>
          <cell r="X497" t="str">
            <v>CP-108-A</v>
          </cell>
          <cell r="Y497" t="str">
            <v/>
          </cell>
          <cell r="Z497" t="str">
            <v>1915</v>
          </cell>
          <cell r="AA497" t="str">
            <v>1100107854</v>
          </cell>
          <cell r="AB497">
            <v>21</v>
          </cell>
          <cell r="AC497" t="str">
            <v/>
          </cell>
          <cell r="AD497">
            <v>9000</v>
          </cell>
          <cell r="AE497" t="str">
            <v>G0395-221208-874</v>
          </cell>
        </row>
        <row r="498">
          <cell r="B498" t="str">
            <v>7100896575</v>
          </cell>
          <cell r="C498" t="str">
            <v>G2008-1505</v>
          </cell>
          <cell r="D498" t="str">
            <v>000042944000003312</v>
          </cell>
          <cell r="E498" t="str">
            <v>螺旋卡箍</v>
          </cell>
          <cell r="F498" t="str">
            <v>Q/4A3-45-5</v>
          </cell>
          <cell r="G498" t="str">
            <v/>
          </cell>
          <cell r="H498" t="str">
            <v/>
          </cell>
          <cell r="I498" t="str">
            <v/>
          </cell>
          <cell r="J498" t="str">
            <v>组件</v>
          </cell>
          <cell r="K498">
            <v>15</v>
          </cell>
          <cell r="L498">
            <v>45667</v>
          </cell>
          <cell r="M498" t="str">
            <v>2-调货完成</v>
          </cell>
        </row>
        <row r="498">
          <cell r="O498">
            <v>0</v>
          </cell>
          <cell r="P498" t="str">
            <v>中国人民解放军第五七〇二工厂(国营四达机械制造公司)</v>
          </cell>
          <cell r="Q498" t="str">
            <v>1320</v>
          </cell>
        </row>
        <row r="498">
          <cell r="U498" t="str">
            <v>010000270452</v>
          </cell>
          <cell r="V498" t="str">
            <v/>
          </cell>
          <cell r="W498" t="str">
            <v/>
          </cell>
          <cell r="X498" t="str">
            <v>CP-54-5-3-6</v>
          </cell>
          <cell r="Y498" t="str">
            <v/>
          </cell>
          <cell r="Z498" t="str">
            <v>1915</v>
          </cell>
          <cell r="AA498" t="str">
            <v>1100139094</v>
          </cell>
          <cell r="AB498">
            <v>15</v>
          </cell>
          <cell r="AC498" t="str">
            <v/>
          </cell>
          <cell r="AD498">
            <v>210</v>
          </cell>
          <cell r="AE498" t="str">
            <v>G-100010426-241221-0094</v>
          </cell>
        </row>
        <row r="499">
          <cell r="B499" t="str">
            <v>7100910274</v>
          </cell>
          <cell r="C499" t="str">
            <v>G2412-2974</v>
          </cell>
          <cell r="D499" t="str">
            <v>000042944160004015</v>
          </cell>
          <cell r="E499" t="str">
            <v>圆柱头螺钉</v>
          </cell>
          <cell r="F499" t="str">
            <v>HB1-202G-M5×30</v>
          </cell>
          <cell r="G499" t="str">
            <v/>
          </cell>
          <cell r="H499" t="str">
            <v/>
          </cell>
          <cell r="I499" t="str">
            <v>Ep·Zn·c2C</v>
          </cell>
          <cell r="J499" t="str">
            <v>ML25</v>
          </cell>
          <cell r="K499">
            <v>100</v>
          </cell>
          <cell r="L499">
            <v>45712</v>
          </cell>
          <cell r="M499" t="str">
            <v>4-检验完成</v>
          </cell>
        </row>
        <row r="499">
          <cell r="O499">
            <v>0</v>
          </cell>
          <cell r="P499" t="str">
            <v>中国人民解放军第五七〇二工厂(国营四达机械制造公司)</v>
          </cell>
          <cell r="Q499" t="str">
            <v>480</v>
          </cell>
          <cell r="R499">
            <v>45713</v>
          </cell>
        </row>
        <row r="499">
          <cell r="U499" t="str">
            <v>010000766669</v>
          </cell>
          <cell r="V499" t="str">
            <v>PANQIFANG</v>
          </cell>
          <cell r="W499" t="str">
            <v/>
          </cell>
          <cell r="X499" t="str">
            <v>CP-108-A</v>
          </cell>
          <cell r="Y499" t="str">
            <v/>
          </cell>
          <cell r="Z499" t="str">
            <v>1915</v>
          </cell>
          <cell r="AA499" t="str">
            <v>1100139094</v>
          </cell>
          <cell r="AB499">
            <v>100</v>
          </cell>
          <cell r="AC499" t="str">
            <v/>
          </cell>
          <cell r="AD499">
            <v>2</v>
          </cell>
          <cell r="AE499" t="str">
            <v>G-100010426-241221-0094</v>
          </cell>
        </row>
        <row r="500">
          <cell r="B500" t="str">
            <v>7100911073</v>
          </cell>
          <cell r="C500" t="str">
            <v>G2412-3115</v>
          </cell>
          <cell r="D500" t="str">
            <v>000042944160079959</v>
          </cell>
          <cell r="E500" t="str">
            <v>半圆头螺钉</v>
          </cell>
          <cell r="F500" t="str">
            <v>Q/4A1-25-5×12</v>
          </cell>
          <cell r="G500" t="str">
            <v/>
          </cell>
          <cell r="H500" t="str">
            <v>σb=1175±100MPa</v>
          </cell>
          <cell r="I500" t="str">
            <v>D·Zn·D</v>
          </cell>
          <cell r="J500" t="str">
            <v>ML30CrMnSiA</v>
          </cell>
          <cell r="K500">
            <v>180</v>
          </cell>
          <cell r="L500">
            <v>45713</v>
          </cell>
          <cell r="M500" t="str">
            <v>4-检验完成</v>
          </cell>
        </row>
        <row r="500">
          <cell r="O500">
            <v>0</v>
          </cell>
          <cell r="P500" t="str">
            <v>中国人民解放军第五七〇二工厂(国营四达机械制造公司)</v>
          </cell>
          <cell r="Q500" t="str">
            <v>870</v>
          </cell>
          <cell r="R500">
            <v>45713</v>
          </cell>
        </row>
        <row r="500">
          <cell r="U500" t="str">
            <v>010000766849</v>
          </cell>
          <cell r="V500" t="str">
            <v>HANXIAOLAN</v>
          </cell>
          <cell r="W500" t="str">
            <v/>
          </cell>
          <cell r="X500" t="str">
            <v>CP-108-A</v>
          </cell>
          <cell r="Y500" t="str">
            <v/>
          </cell>
          <cell r="Z500" t="str">
            <v>1915</v>
          </cell>
          <cell r="AA500" t="str">
            <v>1100139094</v>
          </cell>
          <cell r="AB500">
            <v>180</v>
          </cell>
          <cell r="AC500" t="str">
            <v/>
          </cell>
          <cell r="AD500">
            <v>2</v>
          </cell>
          <cell r="AE500" t="str">
            <v>G-100010426-241221-0094</v>
          </cell>
        </row>
        <row r="501">
          <cell r="B501" t="str">
            <v>7100911678</v>
          </cell>
          <cell r="C501" t="str">
            <v>G2410-2585</v>
          </cell>
          <cell r="D501" t="str">
            <v>000036200000072338</v>
          </cell>
          <cell r="E501" t="str">
            <v>密封圈</v>
          </cell>
          <cell r="F501" t="str">
            <v>2262A-12</v>
          </cell>
          <cell r="G501" t="str">
            <v>-</v>
          </cell>
          <cell r="H501" t="str">
            <v/>
          </cell>
          <cell r="I501" t="str">
            <v/>
          </cell>
          <cell r="J501" t="str">
            <v>5080</v>
          </cell>
          <cell r="K501">
            <v>2000</v>
          </cell>
          <cell r="L501">
            <v>45715</v>
          </cell>
          <cell r="M501" t="str">
            <v>4-检验完成</v>
          </cell>
        </row>
        <row r="501">
          <cell r="O501">
            <v>0</v>
          </cell>
          <cell r="P501" t="str">
            <v>中国人民解放军第五七〇二工厂(国营四达机械制造公司)</v>
          </cell>
          <cell r="Q501" t="str">
            <v>300</v>
          </cell>
          <cell r="R501">
            <v>45719</v>
          </cell>
        </row>
        <row r="501">
          <cell r="U501" t="str">
            <v>010000745583</v>
          </cell>
          <cell r="V501" t="str">
            <v>PANMINGTAO</v>
          </cell>
          <cell r="W501" t="str">
            <v/>
          </cell>
          <cell r="X501" t="str">
            <v>XC-1-1-10</v>
          </cell>
          <cell r="Y501" t="str">
            <v/>
          </cell>
          <cell r="Z501" t="str">
            <v>1915</v>
          </cell>
          <cell r="AA501" t="str">
            <v>1100135916</v>
          </cell>
          <cell r="AB501">
            <v>6000</v>
          </cell>
          <cell r="AC501" t="str">
            <v/>
          </cell>
          <cell r="AD501">
            <v>15</v>
          </cell>
          <cell r="AE501" t="str">
            <v>G-100010426-241023-0076</v>
          </cell>
        </row>
        <row r="502">
          <cell r="B502" t="str">
            <v>7100911679</v>
          </cell>
          <cell r="C502" t="str">
            <v>G2412-2905</v>
          </cell>
          <cell r="D502" t="str">
            <v>000036200000115046</v>
          </cell>
          <cell r="E502" t="str">
            <v>密封圈</v>
          </cell>
          <cell r="F502" t="str">
            <v>2267A-166-2</v>
          </cell>
          <cell r="G502" t="str">
            <v>-</v>
          </cell>
          <cell r="H502" t="str">
            <v/>
          </cell>
          <cell r="I502" t="str">
            <v/>
          </cell>
          <cell r="J502" t="str">
            <v>FX-4</v>
          </cell>
          <cell r="K502">
            <v>700</v>
          </cell>
          <cell r="L502">
            <v>45715</v>
          </cell>
          <cell r="M502" t="str">
            <v>4-检验完成</v>
          </cell>
        </row>
        <row r="502">
          <cell r="O502">
            <v>0</v>
          </cell>
          <cell r="P502" t="str">
            <v>中国人民解放军第五七〇二工厂(国营四达机械制造公司)</v>
          </cell>
          <cell r="Q502" t="str">
            <v>10</v>
          </cell>
          <cell r="R502">
            <v>45719</v>
          </cell>
        </row>
        <row r="502">
          <cell r="U502" t="str">
            <v>010000766499</v>
          </cell>
          <cell r="V502" t="str">
            <v>PANMINGTAO</v>
          </cell>
          <cell r="W502" t="str">
            <v/>
          </cell>
          <cell r="X502" t="str">
            <v>XC-1-1-10</v>
          </cell>
          <cell r="Y502" t="str">
            <v/>
          </cell>
          <cell r="Z502" t="str">
            <v>1915</v>
          </cell>
          <cell r="AA502" t="str">
            <v>1100139096</v>
          </cell>
          <cell r="AB502">
            <v>700</v>
          </cell>
          <cell r="AC502" t="str">
            <v/>
          </cell>
          <cell r="AD502">
            <v>18</v>
          </cell>
          <cell r="AE502" t="str">
            <v>G-100010426-241221-0096</v>
          </cell>
        </row>
        <row r="503">
          <cell r="B503" t="str">
            <v>7100911971</v>
          </cell>
          <cell r="C503" t="str">
            <v>G2410-2391</v>
          </cell>
          <cell r="D503" t="str">
            <v>000036200000072374</v>
          </cell>
          <cell r="E503" t="str">
            <v>密封圈</v>
          </cell>
          <cell r="F503" t="str">
            <v>2267A-113</v>
          </cell>
          <cell r="G503" t="str">
            <v>-</v>
          </cell>
          <cell r="H503" t="str">
            <v/>
          </cell>
          <cell r="I503" t="str">
            <v/>
          </cell>
          <cell r="J503" t="str">
            <v>FX-4</v>
          </cell>
          <cell r="K503">
            <v>150</v>
          </cell>
          <cell r="L503">
            <v>45715</v>
          </cell>
          <cell r="M503" t="str">
            <v>4-检验完成</v>
          </cell>
        </row>
        <row r="503">
          <cell r="O503">
            <v>0</v>
          </cell>
          <cell r="P503" t="str">
            <v>中国人民解放军第五七〇二工厂(国营四达机械制造公司)</v>
          </cell>
          <cell r="Q503" t="str">
            <v>1060</v>
          </cell>
          <cell r="R503">
            <v>45719</v>
          </cell>
        </row>
        <row r="503">
          <cell r="U503" t="str">
            <v>010000745328</v>
          </cell>
          <cell r="V503" t="str">
            <v>PANMINGTAO</v>
          </cell>
          <cell r="W503" t="str">
            <v/>
          </cell>
          <cell r="X503" t="str">
            <v>XC-1-1-10</v>
          </cell>
          <cell r="Y503" t="str">
            <v/>
          </cell>
          <cell r="Z503" t="str">
            <v>1915</v>
          </cell>
          <cell r="AA503" t="str">
            <v>1100135916</v>
          </cell>
          <cell r="AB503">
            <v>150</v>
          </cell>
          <cell r="AC503" t="str">
            <v/>
          </cell>
          <cell r="AD503">
            <v>27</v>
          </cell>
          <cell r="AE503" t="str">
            <v>G-100010426-241023-0076</v>
          </cell>
        </row>
        <row r="504">
          <cell r="B504" t="str">
            <v>7100912255</v>
          </cell>
          <cell r="C504" t="str">
            <v>G2501-0089</v>
          </cell>
          <cell r="D504" t="str">
            <v>000042944160008569</v>
          </cell>
          <cell r="E504" t="str">
            <v>150°半沉头螺钉</v>
          </cell>
          <cell r="F504" t="str">
            <v>HB1-219G-M4×8</v>
          </cell>
          <cell r="G504" t="str">
            <v/>
          </cell>
          <cell r="H504" t="str">
            <v/>
          </cell>
          <cell r="I504" t="str">
            <v>Ep·Zn·c2C</v>
          </cell>
          <cell r="J504" t="str">
            <v>ML25</v>
          </cell>
          <cell r="K504">
            <v>250</v>
          </cell>
          <cell r="L504">
            <v>45715</v>
          </cell>
          <cell r="M504" t="str">
            <v>4-检验完成</v>
          </cell>
        </row>
        <row r="504">
          <cell r="O504">
            <v>0</v>
          </cell>
          <cell r="P504" t="str">
            <v>中国人民解放军第五七〇二工厂(国营四达机械制造公司)</v>
          </cell>
          <cell r="Q504" t="str">
            <v>580</v>
          </cell>
          <cell r="R504">
            <v>45719</v>
          </cell>
        </row>
        <row r="504">
          <cell r="U504" t="str">
            <v>010000768861</v>
          </cell>
          <cell r="V504" t="str">
            <v>HANXIAOLAN</v>
          </cell>
          <cell r="W504" t="str">
            <v/>
          </cell>
          <cell r="X504" t="str">
            <v>CP-108-A</v>
          </cell>
          <cell r="Y504" t="str">
            <v/>
          </cell>
          <cell r="Z504" t="str">
            <v>1915</v>
          </cell>
          <cell r="AA504" t="str">
            <v>1100139094</v>
          </cell>
          <cell r="AB504">
            <v>250</v>
          </cell>
          <cell r="AC504" t="str">
            <v/>
          </cell>
          <cell r="AD504">
            <v>2</v>
          </cell>
          <cell r="AE504" t="str">
            <v>G-100010426-241221-0094</v>
          </cell>
        </row>
        <row r="505">
          <cell r="B505" t="str">
            <v>7100913096</v>
          </cell>
          <cell r="C505" t="str">
            <v>G2412-2978</v>
          </cell>
          <cell r="D505" t="str">
            <v>000042944160106025</v>
          </cell>
          <cell r="E505" t="str">
            <v>半圆头螺钉</v>
          </cell>
          <cell r="F505" t="str">
            <v>Q/4A1-24-6×18</v>
          </cell>
          <cell r="G505" t="str">
            <v/>
          </cell>
          <cell r="H505" t="str">
            <v/>
          </cell>
          <cell r="I505" t="str">
            <v>D·Zn·D</v>
          </cell>
          <cell r="J505" t="str">
            <v>ML25</v>
          </cell>
          <cell r="K505">
            <v>170</v>
          </cell>
          <cell r="L505">
            <v>45719</v>
          </cell>
          <cell r="M505" t="str">
            <v>4-检验完成</v>
          </cell>
        </row>
        <row r="505">
          <cell r="O505">
            <v>0</v>
          </cell>
          <cell r="P505" t="str">
            <v>中国人民解放军第五七〇二工厂(国营四达机械制造公司)</v>
          </cell>
          <cell r="Q505" t="str">
            <v>850</v>
          </cell>
          <cell r="R505">
            <v>45720</v>
          </cell>
        </row>
        <row r="505">
          <cell r="U505" t="str">
            <v>010000766673</v>
          </cell>
          <cell r="V505" t="str">
            <v>QIAOXUPENG</v>
          </cell>
          <cell r="W505" t="str">
            <v/>
          </cell>
          <cell r="X505" t="str">
            <v>CP-108-A</v>
          </cell>
          <cell r="Y505" t="str">
            <v/>
          </cell>
          <cell r="Z505" t="str">
            <v>1915</v>
          </cell>
          <cell r="AA505" t="str">
            <v>1100139094</v>
          </cell>
          <cell r="AB505">
            <v>170</v>
          </cell>
          <cell r="AC505" t="str">
            <v/>
          </cell>
          <cell r="AD505">
            <v>2</v>
          </cell>
          <cell r="AE505" t="str">
            <v>G-100010426-241221-0094</v>
          </cell>
        </row>
        <row r="506">
          <cell r="B506" t="str">
            <v>7100913096</v>
          </cell>
          <cell r="C506" t="str">
            <v>G2412-3448</v>
          </cell>
          <cell r="D506" t="str">
            <v>000042944160010617</v>
          </cell>
          <cell r="E506" t="str">
            <v>半圆头螺钉</v>
          </cell>
          <cell r="F506" t="str">
            <v>Q/4A1-24-6×14</v>
          </cell>
          <cell r="G506" t="str">
            <v/>
          </cell>
          <cell r="H506" t="str">
            <v/>
          </cell>
          <cell r="I506" t="str">
            <v>D·Zn·D</v>
          </cell>
          <cell r="J506" t="str">
            <v>ML25</v>
          </cell>
          <cell r="K506">
            <v>110</v>
          </cell>
          <cell r="L506">
            <v>45719</v>
          </cell>
          <cell r="M506" t="str">
            <v>4-检验完成</v>
          </cell>
        </row>
        <row r="506">
          <cell r="O506">
            <v>0</v>
          </cell>
          <cell r="P506" t="str">
            <v>中国人民解放军第五七〇二工厂(国营四达机械制造公司)</v>
          </cell>
          <cell r="Q506" t="str">
            <v>840</v>
          </cell>
          <cell r="R506">
            <v>45720</v>
          </cell>
        </row>
        <row r="506">
          <cell r="U506" t="str">
            <v>010000767750</v>
          </cell>
          <cell r="V506" t="str">
            <v>QIAOXUPENG</v>
          </cell>
          <cell r="W506" t="str">
            <v/>
          </cell>
          <cell r="X506" t="str">
            <v>CP-108-A</v>
          </cell>
          <cell r="Y506" t="str">
            <v/>
          </cell>
          <cell r="Z506" t="str">
            <v>1915</v>
          </cell>
          <cell r="AA506" t="str">
            <v>1100139094</v>
          </cell>
          <cell r="AB506">
            <v>110</v>
          </cell>
          <cell r="AC506" t="str">
            <v/>
          </cell>
          <cell r="AD506">
            <v>2</v>
          </cell>
          <cell r="AE506" t="str">
            <v>G-100010426-241221-0094</v>
          </cell>
        </row>
        <row r="507">
          <cell r="B507" t="str">
            <v>7100913318</v>
          </cell>
          <cell r="C507" t="str">
            <v>G2411-1365</v>
          </cell>
          <cell r="D507" t="str">
            <v>000042944040142982</v>
          </cell>
          <cell r="E507" t="str">
            <v>六角头螺钉</v>
          </cell>
          <cell r="F507" t="str">
            <v>3152A-6-11кд</v>
          </cell>
          <cell r="G507" t="str">
            <v>-</v>
          </cell>
          <cell r="H507" t="str">
            <v>σb=90kg/mm²(HRC26-32)</v>
          </cell>
          <cell r="I507" t="str">
            <v>镀锌</v>
          </cell>
          <cell r="J507" t="str">
            <v>38CrA</v>
          </cell>
          <cell r="K507">
            <v>100</v>
          </cell>
          <cell r="L507">
            <v>45719</v>
          </cell>
          <cell r="M507" t="str">
            <v>4-检验完成</v>
          </cell>
        </row>
        <row r="507">
          <cell r="O507">
            <v>0</v>
          </cell>
          <cell r="P507" t="str">
            <v>中国人民解放军第五七〇二工厂(国营四达机械制造公司)</v>
          </cell>
          <cell r="Q507" t="str">
            <v>50</v>
          </cell>
          <cell r="R507">
            <v>45720</v>
          </cell>
        </row>
        <row r="507">
          <cell r="U507" t="str">
            <v>010000751490</v>
          </cell>
          <cell r="V507" t="str">
            <v>HANXIAOLAN</v>
          </cell>
          <cell r="W507" t="str">
            <v/>
          </cell>
          <cell r="X507" t="str">
            <v>CP-108-A</v>
          </cell>
          <cell r="Y507" t="str">
            <v/>
          </cell>
          <cell r="Z507" t="str">
            <v>1915</v>
          </cell>
          <cell r="AA507" t="str">
            <v>1100136472</v>
          </cell>
          <cell r="AB507">
            <v>100</v>
          </cell>
          <cell r="AC507" t="str">
            <v/>
          </cell>
          <cell r="AD507">
            <v>11</v>
          </cell>
          <cell r="AE507" t="str">
            <v>G-100010426-241101-0082</v>
          </cell>
        </row>
        <row r="508">
          <cell r="B508" t="str">
            <v>7100913387</v>
          </cell>
          <cell r="C508" t="str">
            <v>G2412-2824</v>
          </cell>
          <cell r="D508" t="str">
            <v>000036200000072454</v>
          </cell>
          <cell r="E508" t="str">
            <v>密封圈</v>
          </cell>
          <cell r="F508" t="str">
            <v>5128A-16-51-1434</v>
          </cell>
          <cell r="G508" t="str">
            <v>-</v>
          </cell>
          <cell r="H508" t="str">
            <v/>
          </cell>
          <cell r="I508" t="str">
            <v/>
          </cell>
          <cell r="J508" t="str">
            <v>FS6265</v>
          </cell>
          <cell r="K508">
            <v>550</v>
          </cell>
          <cell r="L508">
            <v>45719</v>
          </cell>
          <cell r="M508" t="str">
            <v>4-检验完成</v>
          </cell>
        </row>
        <row r="508">
          <cell r="O508">
            <v>0</v>
          </cell>
          <cell r="P508" t="str">
            <v>中国人民解放军第五七〇二工厂(国营四达机械制造公司)</v>
          </cell>
          <cell r="Q508" t="str">
            <v>80</v>
          </cell>
          <cell r="R508">
            <v>45721</v>
          </cell>
        </row>
        <row r="508">
          <cell r="U508" t="str">
            <v>010000766389</v>
          </cell>
          <cell r="V508" t="str">
            <v>PANMINGTAO</v>
          </cell>
          <cell r="W508" t="str">
            <v/>
          </cell>
          <cell r="X508" t="str">
            <v>XC-1-1-10</v>
          </cell>
          <cell r="Y508" t="str">
            <v/>
          </cell>
          <cell r="Z508" t="str">
            <v>1915</v>
          </cell>
          <cell r="AA508" t="str">
            <v>1100139096</v>
          </cell>
          <cell r="AB508">
            <v>550</v>
          </cell>
          <cell r="AC508" t="str">
            <v/>
          </cell>
          <cell r="AD508">
            <v>16</v>
          </cell>
          <cell r="AE508" t="str">
            <v>G-100010426-241221-0096</v>
          </cell>
        </row>
        <row r="509">
          <cell r="B509" t="str">
            <v>7100913504</v>
          </cell>
          <cell r="C509" t="str">
            <v>G2501-0494</v>
          </cell>
          <cell r="D509" t="str">
            <v>000042944160145776</v>
          </cell>
          <cell r="E509" t="str">
            <v>十字槽120°半沉头螺钉</v>
          </cell>
          <cell r="F509" t="str">
            <v>HB1-211-M5×26</v>
          </cell>
          <cell r="G509" t="str">
            <v/>
          </cell>
          <cell r="H509" t="str">
            <v>σb=1175±100MPa</v>
          </cell>
          <cell r="I509" t="str">
            <v>Ep·Cd·c2C</v>
          </cell>
          <cell r="J509" t="str">
            <v>ML30CrMnSiA</v>
          </cell>
          <cell r="K509">
            <v>2000</v>
          </cell>
          <cell r="L509">
            <v>45719</v>
          </cell>
          <cell r="M509" t="str">
            <v>4-检验完成</v>
          </cell>
        </row>
        <row r="509">
          <cell r="O509">
            <v>0</v>
          </cell>
          <cell r="P509" t="str">
            <v>中国人民解放军第五七〇二工厂(国营四达机械制造公司)</v>
          </cell>
          <cell r="Q509" t="str">
            <v>40</v>
          </cell>
          <cell r="R509">
            <v>45720</v>
          </cell>
        </row>
        <row r="509">
          <cell r="U509" t="str">
            <v>010000769856</v>
          </cell>
          <cell r="V509" t="str">
            <v>PANQIFANG</v>
          </cell>
          <cell r="W509" t="str">
            <v/>
          </cell>
          <cell r="X509" t="str">
            <v>CP-108-A</v>
          </cell>
          <cell r="Y509" t="str">
            <v/>
          </cell>
          <cell r="Z509" t="str">
            <v>1915</v>
          </cell>
          <cell r="AA509" t="str">
            <v>1100139474</v>
          </cell>
          <cell r="AB509">
            <v>2000</v>
          </cell>
          <cell r="AC509" t="str">
            <v/>
          </cell>
          <cell r="AD509">
            <v>1.8</v>
          </cell>
          <cell r="AE509" t="str">
            <v>G-100010426-241227-0110</v>
          </cell>
        </row>
        <row r="510">
          <cell r="B510" t="str">
            <v>7100913508</v>
          </cell>
          <cell r="C510" t="str">
            <v>G2410-0669</v>
          </cell>
          <cell r="D510" t="str">
            <v>000042944000059598</v>
          </cell>
          <cell r="E510" t="str">
            <v>球体</v>
          </cell>
          <cell r="F510" t="str">
            <v>H08-087-25-35.2-16-М-ВАП-2</v>
          </cell>
          <cell r="G510" t="str">
            <v>-</v>
          </cell>
          <cell r="H510" t="str">
            <v>≥56.5HRC</v>
          </cell>
          <cell r="I510" t="str">
            <v>Ep·Cu3-6，B面涂БАП-2</v>
          </cell>
          <cell r="J510" t="str">
            <v>9Cr18</v>
          </cell>
          <cell r="K510">
            <v>33</v>
          </cell>
          <cell r="L510">
            <v>45719</v>
          </cell>
          <cell r="M510" t="str">
            <v>4-检验完成</v>
          </cell>
        </row>
        <row r="510">
          <cell r="O510">
            <v>0</v>
          </cell>
          <cell r="P510" t="str">
            <v>中国人民解放军第五七〇二工厂(国营四达机械制造公司)</v>
          </cell>
          <cell r="Q510" t="str">
            <v>180</v>
          </cell>
          <cell r="R510">
            <v>45720</v>
          </cell>
        </row>
        <row r="510">
          <cell r="U510" t="str">
            <v>010000740755</v>
          </cell>
          <cell r="V510" t="str">
            <v>LIZHIFENG</v>
          </cell>
          <cell r="W510" t="str">
            <v/>
          </cell>
          <cell r="X510" t="str">
            <v>CP-108-A</v>
          </cell>
          <cell r="Y510" t="str">
            <v/>
          </cell>
          <cell r="Z510" t="str">
            <v>1915</v>
          </cell>
          <cell r="AA510" t="str">
            <v>1100134926</v>
          </cell>
          <cell r="AB510">
            <v>50</v>
          </cell>
          <cell r="AC510" t="str">
            <v/>
          </cell>
          <cell r="AD510">
            <v>90</v>
          </cell>
          <cell r="AE510" t="str">
            <v>G-100010426-240929-0071</v>
          </cell>
        </row>
        <row r="511">
          <cell r="B511" t="str">
            <v>7100913509</v>
          </cell>
          <cell r="C511" t="str">
            <v>G2410-0669</v>
          </cell>
          <cell r="D511" t="str">
            <v>000042944000059598</v>
          </cell>
          <cell r="E511" t="str">
            <v>球体</v>
          </cell>
          <cell r="F511" t="str">
            <v>H08-087-25-35.2-16-М-ВАП-2</v>
          </cell>
          <cell r="G511" t="str">
            <v>-</v>
          </cell>
          <cell r="H511" t="str">
            <v>≥56.5HRC</v>
          </cell>
          <cell r="I511" t="str">
            <v>Ep·Cu3-6，B面涂БАП-2</v>
          </cell>
          <cell r="J511" t="str">
            <v>9Cr18</v>
          </cell>
          <cell r="K511">
            <v>23</v>
          </cell>
          <cell r="L511">
            <v>45719</v>
          </cell>
          <cell r="M511" t="str">
            <v>4-检验完成</v>
          </cell>
        </row>
        <row r="511">
          <cell r="O511">
            <v>0</v>
          </cell>
          <cell r="P511" t="str">
            <v>中国人民解放军第五七〇二工厂(国营四达机械制造公司)</v>
          </cell>
          <cell r="Q511" t="str">
            <v>210</v>
          </cell>
          <cell r="R511">
            <v>45720</v>
          </cell>
        </row>
        <row r="511">
          <cell r="U511" t="str">
            <v>010000740755</v>
          </cell>
          <cell r="V511" t="str">
            <v>LIZHIFENG</v>
          </cell>
          <cell r="W511" t="str">
            <v/>
          </cell>
          <cell r="X511" t="str">
            <v>CP-108-A</v>
          </cell>
          <cell r="Y511" t="str">
            <v/>
          </cell>
          <cell r="Z511" t="str">
            <v>1915</v>
          </cell>
          <cell r="AA511" t="str">
            <v>1100139094</v>
          </cell>
          <cell r="AB511">
            <v>90</v>
          </cell>
          <cell r="AC511" t="str">
            <v/>
          </cell>
          <cell r="AD511">
            <v>90</v>
          </cell>
          <cell r="AE511" t="str">
            <v>G-100010426-241221-0094</v>
          </cell>
        </row>
        <row r="512">
          <cell r="B512" t="str">
            <v>7100913529</v>
          </cell>
          <cell r="C512" t="str">
            <v>G2412-3438</v>
          </cell>
          <cell r="D512" t="str">
            <v>000042944045121194</v>
          </cell>
          <cell r="E512" t="str">
            <v>开槽锥端紧定螺钉</v>
          </cell>
          <cell r="F512" t="str">
            <v>GB71-M5×8</v>
          </cell>
          <cell r="G512" t="str">
            <v/>
          </cell>
          <cell r="H512" t="str">
            <v>22H</v>
          </cell>
          <cell r="I512" t="str">
            <v>Ep·Zn·c2C</v>
          </cell>
          <cell r="J512" t="str">
            <v>ML30CrMnSiA</v>
          </cell>
          <cell r="K512">
            <v>120</v>
          </cell>
          <cell r="L512">
            <v>45719</v>
          </cell>
          <cell r="M512" t="str">
            <v>4-检验完成</v>
          </cell>
        </row>
        <row r="512">
          <cell r="O512">
            <v>0</v>
          </cell>
          <cell r="P512" t="str">
            <v>中国人民解放军第五七〇二工厂(国营四达机械制造公司)</v>
          </cell>
          <cell r="Q512" t="str">
            <v>1120</v>
          </cell>
          <cell r="R512">
            <v>45721</v>
          </cell>
        </row>
        <row r="512">
          <cell r="U512" t="str">
            <v>010000767736</v>
          </cell>
          <cell r="V512" t="str">
            <v>QIAOXUPENG</v>
          </cell>
          <cell r="W512" t="str">
            <v/>
          </cell>
          <cell r="X512" t="str">
            <v>CP-108-A</v>
          </cell>
          <cell r="Y512" t="str">
            <v/>
          </cell>
          <cell r="Z512" t="str">
            <v>1915</v>
          </cell>
          <cell r="AA512" t="str">
            <v>1100139094</v>
          </cell>
          <cell r="AB512">
            <v>120</v>
          </cell>
          <cell r="AC512" t="str">
            <v/>
          </cell>
          <cell r="AD512">
            <v>3</v>
          </cell>
          <cell r="AE512" t="str">
            <v>G-100010426-241221-0094</v>
          </cell>
        </row>
        <row r="513">
          <cell r="B513" t="str">
            <v>7100914571</v>
          </cell>
          <cell r="C513" t="str">
            <v>GW2503-023</v>
          </cell>
          <cell r="D513" t="str">
            <v>000042944360004486</v>
          </cell>
          <cell r="E513" t="str">
            <v>开口销</v>
          </cell>
          <cell r="F513" t="str">
            <v>GB91-0.8×6</v>
          </cell>
          <cell r="G513" t="str">
            <v/>
          </cell>
          <cell r="H513" t="str">
            <v/>
          </cell>
          <cell r="I513" t="str">
            <v/>
          </cell>
          <cell r="J513" t="str">
            <v>1Cr18Ni9Ti</v>
          </cell>
          <cell r="K513">
            <v>100</v>
          </cell>
          <cell r="L513">
            <v>45721</v>
          </cell>
          <cell r="M513" t="str">
            <v>3-配货完成</v>
          </cell>
        </row>
        <row r="513">
          <cell r="O513">
            <v>0</v>
          </cell>
          <cell r="P513" t="str">
            <v>中国人民解放军第五七〇二工厂(国营四达机械制造公司)</v>
          </cell>
          <cell r="Q513" t="str">
            <v>10</v>
          </cell>
        </row>
        <row r="513">
          <cell r="U513" t="str">
            <v/>
          </cell>
          <cell r="V513" t="str">
            <v>LIZHIFENG</v>
          </cell>
          <cell r="W513" t="str">
            <v/>
          </cell>
          <cell r="X513" t="str">
            <v>XH-000</v>
          </cell>
          <cell r="Y513" t="str">
            <v/>
          </cell>
          <cell r="Z513" t="str">
            <v>1915</v>
          </cell>
          <cell r="AA513" t="str">
            <v>1100140923</v>
          </cell>
          <cell r="AB513">
            <v>100</v>
          </cell>
          <cell r="AC513" t="str">
            <v/>
          </cell>
          <cell r="AD513">
            <v>8</v>
          </cell>
          <cell r="AE513" t="str">
            <v>G-100010426-250126-0002-1-H</v>
          </cell>
        </row>
        <row r="514">
          <cell r="B514" t="str">
            <v>7100915286</v>
          </cell>
          <cell r="C514" t="str">
            <v>G2412-3444</v>
          </cell>
          <cell r="D514" t="str">
            <v>000042944160009456</v>
          </cell>
          <cell r="E514" t="str">
            <v>半圆头螺钉</v>
          </cell>
          <cell r="F514" t="str">
            <v>HB1-221TA-M3×8</v>
          </cell>
          <cell r="G514" t="str">
            <v/>
          </cell>
          <cell r="H514" t="str">
            <v/>
          </cell>
          <cell r="I514" t="str">
            <v>Ct·P</v>
          </cell>
          <cell r="J514" t="str">
            <v>H62</v>
          </cell>
          <cell r="K514">
            <v>110</v>
          </cell>
          <cell r="L514">
            <v>45722</v>
          </cell>
          <cell r="M514" t="str">
            <v>4-检验完成</v>
          </cell>
        </row>
        <row r="514">
          <cell r="O514">
            <v>0</v>
          </cell>
          <cell r="P514" t="str">
            <v>中国人民解放军第五七〇二工厂(国营四达机械制造公司)</v>
          </cell>
          <cell r="Q514" t="str">
            <v>630</v>
          </cell>
          <cell r="R514">
            <v>45723</v>
          </cell>
        </row>
        <row r="514">
          <cell r="U514" t="str">
            <v>010000767745</v>
          </cell>
          <cell r="V514" t="str">
            <v>PANQIFANG</v>
          </cell>
          <cell r="W514" t="str">
            <v/>
          </cell>
          <cell r="X514" t="str">
            <v>CP-108-A</v>
          </cell>
          <cell r="Y514" t="str">
            <v/>
          </cell>
          <cell r="Z514" t="str">
            <v>1915</v>
          </cell>
          <cell r="AA514" t="str">
            <v>1100139094</v>
          </cell>
          <cell r="AB514">
            <v>110</v>
          </cell>
          <cell r="AC514" t="str">
            <v/>
          </cell>
          <cell r="AD514">
            <v>2</v>
          </cell>
          <cell r="AE514" t="str">
            <v>G-100010426-241221-0094</v>
          </cell>
        </row>
        <row r="515">
          <cell r="B515" t="str">
            <v>7100915293</v>
          </cell>
          <cell r="C515" t="str">
            <v>G2412-3443</v>
          </cell>
          <cell r="D515" t="str">
            <v>000042944160009368</v>
          </cell>
          <cell r="E515" t="str">
            <v>半圆头螺钉</v>
          </cell>
          <cell r="F515" t="str">
            <v>HB1-221TA-M3×16</v>
          </cell>
          <cell r="G515" t="str">
            <v/>
          </cell>
          <cell r="H515" t="str">
            <v/>
          </cell>
          <cell r="I515" t="str">
            <v>Ct·P</v>
          </cell>
          <cell r="J515" t="str">
            <v>H62</v>
          </cell>
          <cell r="K515">
            <v>300</v>
          </cell>
          <cell r="L515">
            <v>45722</v>
          </cell>
          <cell r="M515" t="str">
            <v>4-检验完成</v>
          </cell>
        </row>
        <row r="515">
          <cell r="O515">
            <v>0</v>
          </cell>
          <cell r="P515" t="str">
            <v>中国人民解放军第五七〇二工厂(国营四达机械制造公司)</v>
          </cell>
          <cell r="Q515" t="str">
            <v>620</v>
          </cell>
          <cell r="R515">
            <v>45723</v>
          </cell>
        </row>
        <row r="515">
          <cell r="U515" t="str">
            <v>010000767743</v>
          </cell>
          <cell r="V515" t="str">
            <v>HANXIAOLAN</v>
          </cell>
          <cell r="W515" t="str">
            <v/>
          </cell>
          <cell r="X515" t="str">
            <v>CP-108-A</v>
          </cell>
          <cell r="Y515" t="str">
            <v/>
          </cell>
          <cell r="Z515" t="str">
            <v>1915</v>
          </cell>
          <cell r="AA515" t="str">
            <v>1100139094</v>
          </cell>
          <cell r="AB515">
            <v>300</v>
          </cell>
          <cell r="AC515" t="str">
            <v/>
          </cell>
          <cell r="AD515">
            <v>2</v>
          </cell>
          <cell r="AE515" t="str">
            <v>G-100010426-241221-0094</v>
          </cell>
        </row>
        <row r="516">
          <cell r="B516" t="str">
            <v>7100915640</v>
          </cell>
          <cell r="C516" t="str">
            <v>G2412-3449</v>
          </cell>
          <cell r="D516" t="str">
            <v>000042944160010623</v>
          </cell>
          <cell r="E516" t="str">
            <v>半圆头螺钉</v>
          </cell>
          <cell r="F516" t="str">
            <v>Q/4A1-24-6×20</v>
          </cell>
          <cell r="G516" t="str">
            <v/>
          </cell>
          <cell r="H516" t="str">
            <v/>
          </cell>
          <cell r="I516" t="str">
            <v>D·Cd·D</v>
          </cell>
          <cell r="J516" t="str">
            <v>ML25</v>
          </cell>
          <cell r="K516">
            <v>100</v>
          </cell>
          <cell r="L516">
            <v>45723</v>
          </cell>
          <cell r="M516" t="str">
            <v>3-配货完成</v>
          </cell>
        </row>
        <row r="516">
          <cell r="O516">
            <v>0</v>
          </cell>
          <cell r="P516" t="str">
            <v>中国人民解放军第五七〇二工厂(国营四达机械制造公司)</v>
          </cell>
          <cell r="Q516" t="str">
            <v>860</v>
          </cell>
        </row>
        <row r="516">
          <cell r="U516" t="str">
            <v>010000767751</v>
          </cell>
          <cell r="V516" t="str">
            <v>HANXIAOLAN</v>
          </cell>
          <cell r="W516" t="str">
            <v/>
          </cell>
          <cell r="X516" t="str">
            <v>CP-108-A</v>
          </cell>
          <cell r="Y516" t="str">
            <v/>
          </cell>
          <cell r="Z516" t="str">
            <v>1915</v>
          </cell>
          <cell r="AA516" t="str">
            <v>1100139094</v>
          </cell>
          <cell r="AB516">
            <v>100</v>
          </cell>
          <cell r="AC516" t="str">
            <v/>
          </cell>
          <cell r="AD516">
            <v>2</v>
          </cell>
          <cell r="AE516" t="str">
            <v>G-100010426-241221-0094</v>
          </cell>
        </row>
        <row r="517">
          <cell r="B517" t="str">
            <v>7100915999</v>
          </cell>
          <cell r="C517" t="str">
            <v>G2501-2656</v>
          </cell>
          <cell r="D517" t="str">
            <v>000042944000059591</v>
          </cell>
          <cell r="E517" t="str">
            <v>带轴的节气门</v>
          </cell>
          <cell r="F517" t="str">
            <v>44-06-4911</v>
          </cell>
          <cell r="G517" t="str">
            <v>-</v>
          </cell>
          <cell r="H517" t="str">
            <v/>
          </cell>
          <cell r="I517" t="str">
            <v/>
          </cell>
          <cell r="J517" t="str">
            <v>组件</v>
          </cell>
          <cell r="K517">
            <v>84</v>
          </cell>
          <cell r="L517">
            <v>45723</v>
          </cell>
          <cell r="M517" t="str">
            <v>4-检验完成</v>
          </cell>
        </row>
        <row r="517">
          <cell r="O517">
            <v>0</v>
          </cell>
          <cell r="P517" t="str">
            <v>中国人民解放军第五七〇二工厂(国营四达机械制造公司)</v>
          </cell>
          <cell r="Q517" t="str">
            <v>10</v>
          </cell>
          <cell r="R517">
            <v>45724</v>
          </cell>
        </row>
        <row r="517">
          <cell r="U517" t="str">
            <v>010000778167</v>
          </cell>
          <cell r="V517" t="str">
            <v>QIAOXUPENG</v>
          </cell>
          <cell r="W517" t="str">
            <v/>
          </cell>
          <cell r="X517" t="str">
            <v>CP-108-A</v>
          </cell>
          <cell r="Y517" t="str">
            <v/>
          </cell>
          <cell r="Z517" t="str">
            <v>1915</v>
          </cell>
          <cell r="AA517" t="str">
            <v>1100132498</v>
          </cell>
          <cell r="AB517">
            <v>100</v>
          </cell>
          <cell r="AC517" t="str">
            <v/>
          </cell>
          <cell r="AD517">
            <v>1250</v>
          </cell>
          <cell r="AE517" t="str">
            <v>G-100010426-240731-0054</v>
          </cell>
        </row>
        <row r="518">
          <cell r="B518" t="str">
            <v>7100915286</v>
          </cell>
          <cell r="C518" t="str">
            <v>G2412-3444</v>
          </cell>
          <cell r="D518" t="str">
            <v>000042944160009456</v>
          </cell>
          <cell r="E518" t="str">
            <v>半圆头螺钉</v>
          </cell>
          <cell r="F518" t="str">
            <v>HB1-221TA-M3×8</v>
          </cell>
          <cell r="G518" t="str">
            <v/>
          </cell>
          <cell r="H518" t="str">
            <v/>
          </cell>
          <cell r="I518" t="str">
            <v>Ct·P</v>
          </cell>
          <cell r="J518" t="str">
            <v>H62</v>
          </cell>
          <cell r="K518">
            <v>110</v>
          </cell>
          <cell r="L518">
            <v>45722</v>
          </cell>
          <cell r="M518" t="str">
            <v>4-检验完成</v>
          </cell>
        </row>
        <row r="518">
          <cell r="O518">
            <v>0</v>
          </cell>
          <cell r="P518" t="str">
            <v>中国人民解放军第五七〇二工厂(国营四达机械制造公司)</v>
          </cell>
          <cell r="Q518" t="str">
            <v>630</v>
          </cell>
          <cell r="R518">
            <v>45723</v>
          </cell>
        </row>
        <row r="518">
          <cell r="U518" t="str">
            <v>010000767745</v>
          </cell>
          <cell r="V518" t="str">
            <v>PANQIFANG</v>
          </cell>
          <cell r="W518" t="str">
            <v/>
          </cell>
          <cell r="X518" t="str">
            <v>CP-108-A</v>
          </cell>
          <cell r="Y518" t="str">
            <v/>
          </cell>
          <cell r="Z518" t="str">
            <v>1915</v>
          </cell>
          <cell r="AA518" t="str">
            <v>1100139094</v>
          </cell>
          <cell r="AB518">
            <v>110</v>
          </cell>
          <cell r="AC518" t="str">
            <v/>
          </cell>
          <cell r="AD518">
            <v>2</v>
          </cell>
          <cell r="AE518" t="str">
            <v>G-100010426-241221-0094</v>
          </cell>
        </row>
        <row r="519">
          <cell r="B519" t="str">
            <v>7100915640</v>
          </cell>
          <cell r="C519" t="str">
            <v>G2412-3449</v>
          </cell>
          <cell r="D519" t="str">
            <v>000042944160010623</v>
          </cell>
          <cell r="E519" t="str">
            <v>半圆头螺钉</v>
          </cell>
          <cell r="F519" t="str">
            <v>Q/4A1-24-6×20</v>
          </cell>
          <cell r="G519" t="str">
            <v/>
          </cell>
          <cell r="H519" t="str">
            <v/>
          </cell>
          <cell r="I519" t="str">
            <v>D·Cd·D</v>
          </cell>
          <cell r="J519" t="str">
            <v>ML25</v>
          </cell>
          <cell r="K519">
            <v>100</v>
          </cell>
          <cell r="L519">
            <v>45723</v>
          </cell>
          <cell r="M519" t="str">
            <v>4-检验完成</v>
          </cell>
        </row>
        <row r="519">
          <cell r="O519">
            <v>0</v>
          </cell>
          <cell r="P519" t="str">
            <v>中国人民解放军第五七〇二工厂(国营四达机械制造公司)</v>
          </cell>
          <cell r="Q519" t="str">
            <v>860</v>
          </cell>
          <cell r="R519">
            <v>45726</v>
          </cell>
        </row>
        <row r="519">
          <cell r="U519" t="str">
            <v>010000767751</v>
          </cell>
          <cell r="V519" t="str">
            <v>HANXIAOLAN</v>
          </cell>
          <cell r="W519" t="str">
            <v/>
          </cell>
          <cell r="X519" t="str">
            <v>CP-108-A</v>
          </cell>
          <cell r="Y519" t="str">
            <v/>
          </cell>
          <cell r="Z519" t="str">
            <v>1915</v>
          </cell>
          <cell r="AA519" t="str">
            <v>1100139094</v>
          </cell>
          <cell r="AB519">
            <v>100</v>
          </cell>
          <cell r="AC519" t="str">
            <v/>
          </cell>
          <cell r="AD519">
            <v>2</v>
          </cell>
          <cell r="AE519" t="str">
            <v>G-100010426-241221-0094</v>
          </cell>
        </row>
        <row r="520">
          <cell r="B520" t="str">
            <v>7100916553</v>
          </cell>
          <cell r="C520" t="str">
            <v>G2412-7041</v>
          </cell>
          <cell r="D520" t="str">
            <v>000042944281003055</v>
          </cell>
          <cell r="E520" t="str">
            <v>六角槽形螺母</v>
          </cell>
          <cell r="F520" t="str">
            <v>HB1-403G-M8</v>
          </cell>
          <cell r="G520" t="str">
            <v/>
          </cell>
          <cell r="H520" t="str">
            <v/>
          </cell>
          <cell r="I520" t="str">
            <v>Ep·Zn·c2C</v>
          </cell>
          <cell r="J520" t="str">
            <v>45A</v>
          </cell>
          <cell r="K520">
            <v>296</v>
          </cell>
          <cell r="L520">
            <v>45725</v>
          </cell>
          <cell r="M520" t="str">
            <v>4-检验完成</v>
          </cell>
        </row>
        <row r="520">
          <cell r="O520">
            <v>0</v>
          </cell>
          <cell r="P520" t="str">
            <v>中国人民解放军第五七〇二工厂(国营四达机械制造公司)</v>
          </cell>
          <cell r="Q520" t="str">
            <v>640</v>
          </cell>
          <cell r="R520">
            <v>45726</v>
          </cell>
        </row>
        <row r="520">
          <cell r="U520" t="str">
            <v>010000766641</v>
          </cell>
          <cell r="V520" t="str">
            <v>HANXIAOLAN</v>
          </cell>
          <cell r="W520" t="str">
            <v/>
          </cell>
          <cell r="X520" t="str">
            <v>CP-108-A</v>
          </cell>
          <cell r="Y520" t="str">
            <v/>
          </cell>
          <cell r="Z520" t="str">
            <v>1915</v>
          </cell>
          <cell r="AA520" t="str">
            <v>1100139094</v>
          </cell>
          <cell r="AB520">
            <v>300</v>
          </cell>
          <cell r="AC520" t="str">
            <v/>
          </cell>
          <cell r="AD520">
            <v>5</v>
          </cell>
          <cell r="AE520" t="str">
            <v>G-100010426-241221-0094</v>
          </cell>
        </row>
        <row r="521">
          <cell r="B521" t="str">
            <v>7100916595</v>
          </cell>
          <cell r="C521" t="str">
            <v>G2409-1385</v>
          </cell>
          <cell r="D521" t="str">
            <v>000036200000001313</v>
          </cell>
          <cell r="E521" t="str">
            <v>橡胶垫片(型材)</v>
          </cell>
          <cell r="F521" t="str">
            <v>Q/FAI21-2006</v>
          </cell>
          <cell r="G521" t="str">
            <v>E340B-Ⅱ</v>
          </cell>
          <cell r="H521" t="str">
            <v/>
          </cell>
          <cell r="I521" t="str">
            <v/>
          </cell>
          <cell r="J521" t="str">
            <v>EP86070</v>
          </cell>
          <cell r="K521">
            <v>640</v>
          </cell>
          <cell r="L521">
            <v>45726</v>
          </cell>
          <cell r="M521" t="str">
            <v>4-检验完成</v>
          </cell>
        </row>
        <row r="521">
          <cell r="O521">
            <v>0</v>
          </cell>
          <cell r="P521" t="str">
            <v>中国人民解放军第五七〇二工厂(国营四达机械制造公司)</v>
          </cell>
          <cell r="Q521" t="str">
            <v>20</v>
          </cell>
          <cell r="R521">
            <v>45729</v>
          </cell>
        </row>
        <row r="521">
          <cell r="U521" t="str">
            <v>010000735725</v>
          </cell>
          <cell r="V521" t="str">
            <v>PANMINGTAO</v>
          </cell>
          <cell r="W521" t="str">
            <v/>
          </cell>
          <cell r="X521" t="str">
            <v>XC-2-2-5-L</v>
          </cell>
          <cell r="Y521" t="str">
            <v/>
          </cell>
          <cell r="Z521" t="str">
            <v>1915</v>
          </cell>
          <cell r="AA521" t="str">
            <v>1100134319</v>
          </cell>
          <cell r="AB521">
            <v>640</v>
          </cell>
          <cell r="AC521" t="str">
            <v/>
          </cell>
          <cell r="AD521">
            <v>75</v>
          </cell>
          <cell r="AE521" t="str">
            <v>G-100010426-240911-0061</v>
          </cell>
        </row>
        <row r="522">
          <cell r="B522" t="str">
            <v>7100916927</v>
          </cell>
          <cell r="C522" t="str">
            <v>G02408-051</v>
          </cell>
          <cell r="D522" t="str">
            <v>000042944402000413</v>
          </cell>
          <cell r="E522" t="str">
            <v>轻型不锈钢弹簧垫圈</v>
          </cell>
          <cell r="F522" t="str">
            <v>QJ2963.3-6</v>
          </cell>
          <cell r="G522" t="str">
            <v/>
          </cell>
          <cell r="H522" t="str">
            <v/>
          </cell>
          <cell r="I522" t="str">
            <v>ECP</v>
          </cell>
          <cell r="J522" t="str">
            <v>1Cr18Ni9Ti</v>
          </cell>
          <cell r="K522">
            <v>450</v>
          </cell>
          <cell r="L522">
            <v>45726</v>
          </cell>
          <cell r="M522" t="str">
            <v>4-检验完成</v>
          </cell>
        </row>
        <row r="522">
          <cell r="O522">
            <v>0</v>
          </cell>
          <cell r="P522" t="str">
            <v>中国人民解放军第五七〇二工厂(国营四达机械制造公司)</v>
          </cell>
          <cell r="Q522" t="str">
            <v>80</v>
          </cell>
          <cell r="R522">
            <v>45727</v>
          </cell>
        </row>
        <row r="522">
          <cell r="U522" t="str">
            <v/>
          </cell>
          <cell r="V522" t="str">
            <v>HANXIAOLAN</v>
          </cell>
          <cell r="W522" t="str">
            <v/>
          </cell>
          <cell r="X522" t="str">
            <v>XH-000</v>
          </cell>
          <cell r="Y522" t="str">
            <v/>
          </cell>
          <cell r="Z522" t="str">
            <v>1915</v>
          </cell>
          <cell r="AA522" t="str">
            <v>1100139308</v>
          </cell>
          <cell r="AB522">
            <v>450</v>
          </cell>
          <cell r="AC522" t="str">
            <v/>
          </cell>
          <cell r="AD522">
            <v>3.5</v>
          </cell>
          <cell r="AE522" t="str">
            <v>G-100010426-241226-0104</v>
          </cell>
        </row>
        <row r="523">
          <cell r="B523" t="str">
            <v>7100917373</v>
          </cell>
          <cell r="C523" t="str">
            <v>G2412-3568</v>
          </cell>
          <cell r="D523" t="str">
            <v>000042944000003485</v>
          </cell>
          <cell r="E523" t="str">
            <v>带减轻孔的带垫夹紧卡箍</v>
          </cell>
          <cell r="F523" t="str">
            <v>Q/FAI18-2006</v>
          </cell>
          <cell r="G523" t="str">
            <v>CE14B</v>
          </cell>
          <cell r="H523" t="str">
            <v/>
          </cell>
          <cell r="I523" t="str">
            <v/>
          </cell>
          <cell r="J523" t="str">
            <v>组件</v>
          </cell>
          <cell r="K523">
            <v>96</v>
          </cell>
          <cell r="L523">
            <v>45727</v>
          </cell>
          <cell r="M523" t="str">
            <v>4-检验完成</v>
          </cell>
        </row>
        <row r="523">
          <cell r="O523">
            <v>0</v>
          </cell>
          <cell r="P523" t="str">
            <v>中国人民解放军第五七〇二工厂(国营四达机械制造公司)</v>
          </cell>
          <cell r="Q523" t="str">
            <v>230</v>
          </cell>
          <cell r="R523">
            <v>45730</v>
          </cell>
        </row>
        <row r="523">
          <cell r="U523" t="str">
            <v>010000767944</v>
          </cell>
          <cell r="V523" t="str">
            <v>PANMINGTAO</v>
          </cell>
          <cell r="W523" t="str">
            <v/>
          </cell>
          <cell r="X523" t="str">
            <v>XC-1-1-10</v>
          </cell>
          <cell r="Y523" t="str">
            <v/>
          </cell>
          <cell r="Z523" t="str">
            <v>1915</v>
          </cell>
          <cell r="AA523" t="str">
            <v>1100139086</v>
          </cell>
          <cell r="AB523">
            <v>96</v>
          </cell>
          <cell r="AC523" t="str">
            <v/>
          </cell>
          <cell r="AD523">
            <v>46</v>
          </cell>
          <cell r="AE523" t="str">
            <v>G-100010426-241221-0097</v>
          </cell>
        </row>
        <row r="524">
          <cell r="B524" t="str">
            <v>7100917374</v>
          </cell>
          <cell r="C524" t="str">
            <v>G2412-2814</v>
          </cell>
          <cell r="D524" t="str">
            <v>000036200000072434</v>
          </cell>
          <cell r="E524" t="str">
            <v>密封圈</v>
          </cell>
          <cell r="F524" t="str">
            <v>2267A-77</v>
          </cell>
          <cell r="G524" t="str">
            <v>-</v>
          </cell>
          <cell r="H524" t="str">
            <v/>
          </cell>
          <cell r="I524" t="str">
            <v/>
          </cell>
          <cell r="J524" t="str">
            <v>FX-4</v>
          </cell>
          <cell r="K524">
            <v>80</v>
          </cell>
          <cell r="L524">
            <v>45727</v>
          </cell>
          <cell r="M524" t="str">
            <v>4-检验完成</v>
          </cell>
        </row>
        <row r="524">
          <cell r="O524">
            <v>0</v>
          </cell>
          <cell r="P524" t="str">
            <v>中国人民解放军第五七〇二工厂(国营四达机械制造公司)</v>
          </cell>
          <cell r="Q524" t="str">
            <v>820</v>
          </cell>
          <cell r="R524">
            <v>45729</v>
          </cell>
        </row>
        <row r="524">
          <cell r="U524" t="str">
            <v>010000766359</v>
          </cell>
          <cell r="V524" t="str">
            <v>PANMINGTAO</v>
          </cell>
          <cell r="W524" t="str">
            <v/>
          </cell>
          <cell r="X524" t="str">
            <v>XC-1-1-10</v>
          </cell>
          <cell r="Y524" t="str">
            <v/>
          </cell>
          <cell r="Z524" t="str">
            <v>1915</v>
          </cell>
          <cell r="AA524" t="str">
            <v>1100139096</v>
          </cell>
          <cell r="AB524">
            <v>80</v>
          </cell>
          <cell r="AC524" t="str">
            <v/>
          </cell>
          <cell r="AD524">
            <v>15</v>
          </cell>
          <cell r="AE524" t="str">
            <v>G-100010426-241221-0096</v>
          </cell>
        </row>
        <row r="525">
          <cell r="B525" t="str">
            <v>7100917516</v>
          </cell>
          <cell r="C525" t="str">
            <v>G2412-3305</v>
          </cell>
          <cell r="D525" t="str">
            <v>000042944160003725</v>
          </cell>
          <cell r="E525" t="str">
            <v>圆柱头螺钉</v>
          </cell>
          <cell r="F525" t="str">
            <v>HB1-202TA-M4×16</v>
          </cell>
          <cell r="G525" t="str">
            <v/>
          </cell>
          <cell r="H525" t="str">
            <v/>
          </cell>
          <cell r="I525" t="str">
            <v>Ct·P</v>
          </cell>
          <cell r="J525" t="str">
            <v>H62</v>
          </cell>
          <cell r="K525">
            <v>150</v>
          </cell>
          <cell r="L525">
            <v>45727</v>
          </cell>
          <cell r="M525" t="str">
            <v>4-检验完成</v>
          </cell>
        </row>
        <row r="525">
          <cell r="O525">
            <v>0</v>
          </cell>
          <cell r="P525" t="str">
            <v>中国人民解放军第五七〇二工厂(国营四达机械制造公司)</v>
          </cell>
          <cell r="Q525" t="str">
            <v>490</v>
          </cell>
          <cell r="R525">
            <v>45728</v>
          </cell>
        </row>
        <row r="525">
          <cell r="U525" t="str">
            <v>010000767346</v>
          </cell>
          <cell r="V525" t="str">
            <v>PANQIFANG</v>
          </cell>
          <cell r="W525" t="str">
            <v/>
          </cell>
          <cell r="X525" t="str">
            <v>CP-108-A</v>
          </cell>
          <cell r="Y525" t="str">
            <v/>
          </cell>
          <cell r="Z525" t="str">
            <v>1915</v>
          </cell>
          <cell r="AA525" t="str">
            <v>1100139094</v>
          </cell>
          <cell r="AB525">
            <v>150</v>
          </cell>
          <cell r="AC525" t="str">
            <v/>
          </cell>
          <cell r="AD525">
            <v>2</v>
          </cell>
          <cell r="AE525" t="str">
            <v>G-100010426-241221-0094</v>
          </cell>
        </row>
        <row r="526">
          <cell r="B526" t="str">
            <v>7100917527</v>
          </cell>
          <cell r="C526" t="str">
            <v>G02203-539</v>
          </cell>
          <cell r="D526" t="str">
            <v>000042944402000414</v>
          </cell>
          <cell r="E526" t="str">
            <v>轻型不锈钢弹簧垫圈</v>
          </cell>
          <cell r="F526" t="str">
            <v>QJ2963.3-8</v>
          </cell>
          <cell r="G526" t="str">
            <v/>
          </cell>
          <cell r="H526" t="str">
            <v/>
          </cell>
          <cell r="I526" t="str">
            <v>ECP</v>
          </cell>
          <cell r="J526" t="str">
            <v>1Cr18Ni9Ti</v>
          </cell>
          <cell r="K526">
            <v>300</v>
          </cell>
          <cell r="L526">
            <v>45727</v>
          </cell>
          <cell r="M526" t="str">
            <v>4-检验完成</v>
          </cell>
        </row>
        <row r="526">
          <cell r="O526">
            <v>0</v>
          </cell>
          <cell r="P526" t="str">
            <v>中国人民解放军第五七〇二工厂(国营四达机械制造公司)</v>
          </cell>
          <cell r="Q526" t="str">
            <v>70</v>
          </cell>
          <cell r="R526">
            <v>45728</v>
          </cell>
        </row>
        <row r="526">
          <cell r="U526" t="str">
            <v/>
          </cell>
          <cell r="V526" t="str">
            <v>PANQIFANG</v>
          </cell>
          <cell r="W526" t="str">
            <v/>
          </cell>
          <cell r="X526" t="str">
            <v>XH-000</v>
          </cell>
          <cell r="Y526" t="str">
            <v/>
          </cell>
          <cell r="Z526" t="str">
            <v>1915</v>
          </cell>
          <cell r="AA526" t="str">
            <v>1100139308</v>
          </cell>
          <cell r="AB526">
            <v>300</v>
          </cell>
          <cell r="AC526" t="str">
            <v/>
          </cell>
          <cell r="AD526">
            <v>4</v>
          </cell>
          <cell r="AE526" t="str">
            <v>G-100010426-241226-0104</v>
          </cell>
        </row>
        <row r="527">
          <cell r="B527" t="str">
            <v>7100918069</v>
          </cell>
          <cell r="C527" t="str">
            <v>G2406-2696</v>
          </cell>
          <cell r="D527" t="str">
            <v>000042944239014372</v>
          </cell>
          <cell r="E527" t="str">
            <v>十二角头螺栓</v>
          </cell>
          <cell r="F527" t="str">
            <v>ΦK186011</v>
          </cell>
          <cell r="G527" t="str">
            <v>-</v>
          </cell>
          <cell r="H527" t="str">
            <v>248-341HB</v>
          </cell>
          <cell r="I527" t="str">
            <v/>
          </cell>
          <cell r="J527" t="str">
            <v>GH2132</v>
          </cell>
          <cell r="K527">
            <v>300</v>
          </cell>
          <cell r="L527">
            <v>45728</v>
          </cell>
          <cell r="M527" t="str">
            <v>4-检验完成</v>
          </cell>
        </row>
        <row r="527">
          <cell r="O527">
            <v>0</v>
          </cell>
          <cell r="P527" t="str">
            <v>中国人民解放军第五七〇二工厂(国营四达机械制造公司)</v>
          </cell>
          <cell r="Q527" t="str">
            <v>50</v>
          </cell>
          <cell r="R527">
            <v>45728</v>
          </cell>
        </row>
        <row r="527">
          <cell r="U527" t="str">
            <v>010000714779</v>
          </cell>
          <cell r="V527" t="str">
            <v>PANQIFANG</v>
          </cell>
          <cell r="W527" t="str">
            <v/>
          </cell>
          <cell r="X527" t="str">
            <v>CP-108-A</v>
          </cell>
          <cell r="Y527" t="str">
            <v/>
          </cell>
          <cell r="Z527" t="str">
            <v>1915</v>
          </cell>
          <cell r="AA527" t="str">
            <v>1100139465</v>
          </cell>
          <cell r="AB527">
            <v>300</v>
          </cell>
          <cell r="AC527" t="str">
            <v/>
          </cell>
          <cell r="AD527">
            <v>34</v>
          </cell>
          <cell r="AE527" t="str">
            <v>G-100010426-241228-0112</v>
          </cell>
        </row>
        <row r="528">
          <cell r="B528" t="str">
            <v>7100918177</v>
          </cell>
          <cell r="C528" t="str">
            <v>G2412-2792</v>
          </cell>
          <cell r="D528" t="str">
            <v>000036200000072404</v>
          </cell>
          <cell r="E528" t="str">
            <v>密封圈</v>
          </cell>
          <cell r="F528" t="str">
            <v>2267A-230</v>
          </cell>
          <cell r="G528" t="str">
            <v>-</v>
          </cell>
          <cell r="H528" t="str">
            <v/>
          </cell>
          <cell r="I528" t="str">
            <v/>
          </cell>
          <cell r="J528" t="str">
            <v>FX-4</v>
          </cell>
          <cell r="K528">
            <v>70</v>
          </cell>
          <cell r="L528">
            <v>45728</v>
          </cell>
          <cell r="M528" t="str">
            <v>4-检验完成</v>
          </cell>
        </row>
        <row r="528">
          <cell r="O528">
            <v>0</v>
          </cell>
          <cell r="P528" t="str">
            <v>中国人民解放军第五七〇二工厂(国营四达机械制造公司)</v>
          </cell>
          <cell r="Q528" t="str">
            <v>780</v>
          </cell>
          <cell r="R528">
            <v>45730</v>
          </cell>
        </row>
        <row r="528">
          <cell r="U528" t="str">
            <v>010000766337</v>
          </cell>
          <cell r="V528" t="str">
            <v>PANMINGTAO</v>
          </cell>
          <cell r="W528" t="str">
            <v/>
          </cell>
          <cell r="X528" t="str">
            <v>XC-1-1-10</v>
          </cell>
          <cell r="Y528" t="str">
            <v/>
          </cell>
          <cell r="Z528" t="str">
            <v>1915</v>
          </cell>
          <cell r="AA528" t="str">
            <v>1100139096</v>
          </cell>
          <cell r="AB528">
            <v>70</v>
          </cell>
          <cell r="AC528" t="str">
            <v/>
          </cell>
          <cell r="AD528">
            <v>11</v>
          </cell>
          <cell r="AE528" t="str">
            <v>G-100010426-241221-0096</v>
          </cell>
        </row>
        <row r="529">
          <cell r="B529" t="str">
            <v>7100918382</v>
          </cell>
          <cell r="C529" t="str">
            <v>G2501-2079</v>
          </cell>
          <cell r="D529" t="str">
            <v>000042944320145789</v>
          </cell>
          <cell r="E529" t="str">
            <v>90°埋头铆钉</v>
          </cell>
          <cell r="F529" t="str">
            <v>4A1-105-3.5×15</v>
          </cell>
          <cell r="G529" t="str">
            <v>3.5×15</v>
          </cell>
          <cell r="H529" t="str">
            <v>τ≥186MPa</v>
          </cell>
          <cell r="I529" t="str">
            <v>Ct·O</v>
          </cell>
          <cell r="J529" t="str">
            <v>2A01</v>
          </cell>
          <cell r="K529">
            <v>2000</v>
          </cell>
          <cell r="L529">
            <v>45728</v>
          </cell>
          <cell r="M529" t="str">
            <v>4-检验完成</v>
          </cell>
        </row>
        <row r="529">
          <cell r="O529">
            <v>0</v>
          </cell>
          <cell r="P529" t="str">
            <v>中国人民解放军第五七〇二工厂(国营四达机械制造公司)</v>
          </cell>
          <cell r="Q529" t="str">
            <v>170</v>
          </cell>
          <cell r="R529">
            <v>45729</v>
          </cell>
        </row>
        <row r="529">
          <cell r="U529" t="str">
            <v>010000775819</v>
          </cell>
          <cell r="V529" t="str">
            <v>LIZHIFENG</v>
          </cell>
          <cell r="W529" t="str">
            <v/>
          </cell>
          <cell r="X529" t="str">
            <v>CP-108-A</v>
          </cell>
          <cell r="Y529" t="str">
            <v/>
          </cell>
          <cell r="Z529" t="str">
            <v>1915</v>
          </cell>
          <cell r="AA529" t="str">
            <v>1100139474</v>
          </cell>
          <cell r="AB529">
            <v>2000</v>
          </cell>
          <cell r="AC529" t="str">
            <v/>
          </cell>
          <cell r="AD529">
            <v>0.5</v>
          </cell>
          <cell r="AE529" t="str">
            <v>G-100010426-241227-0110</v>
          </cell>
        </row>
        <row r="530">
          <cell r="B530" t="str">
            <v>7100918613</v>
          </cell>
          <cell r="C530" t="str">
            <v>G2501-2110</v>
          </cell>
          <cell r="D530" t="str">
            <v>000042944000003527</v>
          </cell>
          <cell r="E530" t="str">
            <v>带减轻孔的带垫夹紧卡箍</v>
          </cell>
          <cell r="F530" t="str">
            <v>Q/FAI18-2006</v>
          </cell>
          <cell r="G530" t="str">
            <v>DE18B</v>
          </cell>
          <cell r="H530" t="str">
            <v/>
          </cell>
          <cell r="I530" t="str">
            <v/>
          </cell>
          <cell r="J530" t="str">
            <v>组件</v>
          </cell>
          <cell r="K530">
            <v>10</v>
          </cell>
          <cell r="L530">
            <v>45729</v>
          </cell>
          <cell r="M530" t="str">
            <v>4-检验完成</v>
          </cell>
        </row>
        <row r="530">
          <cell r="O530">
            <v>0</v>
          </cell>
          <cell r="P530" t="str">
            <v>中国人民解放军第五七〇二工厂(国营四达机械制造公司)</v>
          </cell>
          <cell r="Q530" t="str">
            <v>340</v>
          </cell>
          <cell r="R530">
            <v>45730</v>
          </cell>
        </row>
        <row r="530">
          <cell r="U530" t="str">
            <v>010000775911</v>
          </cell>
          <cell r="V530" t="str">
            <v>PANMINGTAO</v>
          </cell>
          <cell r="W530" t="str">
            <v/>
          </cell>
          <cell r="X530" t="str">
            <v>XC-1-1-10</v>
          </cell>
          <cell r="Y530" t="str">
            <v/>
          </cell>
          <cell r="Z530" t="str">
            <v>1915</v>
          </cell>
          <cell r="AA530" t="str">
            <v>1100139086</v>
          </cell>
          <cell r="AB530">
            <v>200</v>
          </cell>
          <cell r="AC530" t="str">
            <v/>
          </cell>
          <cell r="AD530">
            <v>55</v>
          </cell>
          <cell r="AE530" t="str">
            <v>G-100010426-241221-0097</v>
          </cell>
        </row>
        <row r="531">
          <cell r="B531" t="str">
            <v>7100918614</v>
          </cell>
          <cell r="C531" t="str">
            <v>G2412-2787</v>
          </cell>
          <cell r="D531" t="str">
            <v>000036200000072396</v>
          </cell>
          <cell r="E531" t="str">
            <v>密封圈</v>
          </cell>
          <cell r="F531" t="str">
            <v>2267A-201</v>
          </cell>
          <cell r="G531" t="str">
            <v>-</v>
          </cell>
          <cell r="H531" t="str">
            <v/>
          </cell>
          <cell r="I531" t="str">
            <v/>
          </cell>
          <cell r="J531" t="str">
            <v>FX-4</v>
          </cell>
          <cell r="K531">
            <v>90</v>
          </cell>
          <cell r="L531">
            <v>45729</v>
          </cell>
          <cell r="M531" t="str">
            <v>4-检验完成</v>
          </cell>
        </row>
        <row r="531">
          <cell r="O531">
            <v>0</v>
          </cell>
          <cell r="P531" t="str">
            <v>中国人民解放军第五七〇二工厂(国营四达机械制造公司)</v>
          </cell>
          <cell r="Q531" t="str">
            <v>690</v>
          </cell>
          <cell r="R531">
            <v>45730</v>
          </cell>
        </row>
        <row r="531">
          <cell r="U531" t="str">
            <v>010000766332</v>
          </cell>
          <cell r="V531" t="str">
            <v>PANMINGTAO</v>
          </cell>
          <cell r="W531" t="str">
            <v/>
          </cell>
          <cell r="X531" t="str">
            <v>XC-1-1-10</v>
          </cell>
          <cell r="Y531" t="str">
            <v/>
          </cell>
          <cell r="Z531" t="str">
            <v>1915</v>
          </cell>
          <cell r="AA531" t="str">
            <v>1100139096</v>
          </cell>
          <cell r="AB531">
            <v>90</v>
          </cell>
          <cell r="AC531" t="str">
            <v/>
          </cell>
          <cell r="AD531">
            <v>16</v>
          </cell>
          <cell r="AE531" t="str">
            <v>G-100010426-241221-0096</v>
          </cell>
        </row>
        <row r="532">
          <cell r="B532" t="str">
            <v>7100918617</v>
          </cell>
          <cell r="C532" t="str">
            <v>G2412-2741</v>
          </cell>
          <cell r="D532" t="str">
            <v>000036200000000445</v>
          </cell>
          <cell r="E532" t="str">
            <v>圆截面橡胶圈密封结构</v>
          </cell>
          <cell r="F532" t="str">
            <v>HB4-56J6-1987</v>
          </cell>
          <cell r="G532" t="str">
            <v>14</v>
          </cell>
          <cell r="H532" t="str">
            <v/>
          </cell>
          <cell r="I532" t="str">
            <v/>
          </cell>
          <cell r="J532" t="str">
            <v>5880T</v>
          </cell>
          <cell r="K532">
            <v>160</v>
          </cell>
          <cell r="L532">
            <v>45729</v>
          </cell>
          <cell r="M532" t="str">
            <v>4-检验完成</v>
          </cell>
        </row>
        <row r="532">
          <cell r="O532">
            <v>0</v>
          </cell>
          <cell r="P532" t="str">
            <v>中国人民解放军第五七〇二工厂(国营四达机械制造公司)</v>
          </cell>
          <cell r="Q532" t="str">
            <v>500</v>
          </cell>
          <cell r="R532">
            <v>45730</v>
          </cell>
        </row>
        <row r="532">
          <cell r="U532" t="str">
            <v>010000766238</v>
          </cell>
          <cell r="V532" t="str">
            <v>PANMINGTAO</v>
          </cell>
          <cell r="W532" t="str">
            <v/>
          </cell>
          <cell r="X532" t="str">
            <v>XC-1-1-10</v>
          </cell>
          <cell r="Y532" t="str">
            <v/>
          </cell>
          <cell r="Z532" t="str">
            <v>1915</v>
          </cell>
          <cell r="AA532" t="str">
            <v>1100139086</v>
          </cell>
          <cell r="AB532">
            <v>160</v>
          </cell>
          <cell r="AC532" t="str">
            <v/>
          </cell>
          <cell r="AD532">
            <v>15</v>
          </cell>
          <cell r="AE532" t="str">
            <v>G-100010426-241221-0097</v>
          </cell>
        </row>
        <row r="533">
          <cell r="B533" t="str">
            <v>7100918752</v>
          </cell>
          <cell r="C533" t="str">
            <v>G2501-1302</v>
          </cell>
          <cell r="D533" t="str">
            <v>000042944439145646</v>
          </cell>
          <cell r="E533" t="str">
            <v>垫圈</v>
          </cell>
          <cell r="F533" t="str">
            <v>S18.0.0050</v>
          </cell>
          <cell r="G533" t="str">
            <v>-</v>
          </cell>
          <cell r="H533" t="str">
            <v/>
          </cell>
          <cell r="I533" t="str">
            <v>Ep·Ni3-5</v>
          </cell>
          <cell r="J533" t="str">
            <v>T2</v>
          </cell>
          <cell r="K533">
            <v>12</v>
          </cell>
          <cell r="L533">
            <v>45729</v>
          </cell>
          <cell r="M533" t="str">
            <v>4-检验完成</v>
          </cell>
        </row>
        <row r="533">
          <cell r="O533">
            <v>0</v>
          </cell>
          <cell r="P533" t="str">
            <v>中国人民解放军第五七〇二工厂(国营四达机械制造公司)</v>
          </cell>
          <cell r="Q533" t="str">
            <v>30</v>
          </cell>
          <cell r="R533">
            <v>45730</v>
          </cell>
        </row>
        <row r="533">
          <cell r="U533" t="str">
            <v>010000773257</v>
          </cell>
          <cell r="V533" t="str">
            <v>PANQIFANG</v>
          </cell>
          <cell r="W533" t="str">
            <v/>
          </cell>
          <cell r="X533" t="str">
            <v>CP-108-A</v>
          </cell>
          <cell r="Y533" t="str">
            <v/>
          </cell>
          <cell r="Z533" t="str">
            <v>1915</v>
          </cell>
          <cell r="AA533" t="str">
            <v>1100139360</v>
          </cell>
          <cell r="AB533">
            <v>12</v>
          </cell>
          <cell r="AC533" t="str">
            <v/>
          </cell>
          <cell r="AD533">
            <v>48</v>
          </cell>
          <cell r="AE533" t="str">
            <v>G-100010426-241227-0108</v>
          </cell>
        </row>
        <row r="534">
          <cell r="B534" t="str">
            <v>7100918813</v>
          </cell>
          <cell r="C534" t="str">
            <v>G2412-3441</v>
          </cell>
          <cell r="D534" t="str">
            <v>000042944160007856</v>
          </cell>
          <cell r="E534" t="str">
            <v>90°沉头螺钉</v>
          </cell>
          <cell r="F534" t="str">
            <v>HB1-205TA-M5×16</v>
          </cell>
          <cell r="G534" t="str">
            <v/>
          </cell>
          <cell r="H534" t="str">
            <v/>
          </cell>
          <cell r="I534" t="str">
            <v>Ct·P</v>
          </cell>
          <cell r="J534" t="str">
            <v>H62</v>
          </cell>
          <cell r="K534">
            <v>180</v>
          </cell>
          <cell r="L534">
            <v>45729</v>
          </cell>
          <cell r="M534" t="str">
            <v>4-检验完成</v>
          </cell>
        </row>
        <row r="534">
          <cell r="O534">
            <v>0</v>
          </cell>
          <cell r="P534" t="str">
            <v>中国人民解放军第五七〇二工厂(国营四达机械制造公司)</v>
          </cell>
          <cell r="Q534" t="str">
            <v>520</v>
          </cell>
          <cell r="R534">
            <v>45730</v>
          </cell>
        </row>
        <row r="534">
          <cell r="U534" t="str">
            <v>010000767740</v>
          </cell>
          <cell r="V534" t="str">
            <v>HANXIAOLAN</v>
          </cell>
          <cell r="W534" t="str">
            <v/>
          </cell>
          <cell r="X534" t="str">
            <v>CP-108-A</v>
          </cell>
          <cell r="Y534" t="str">
            <v/>
          </cell>
          <cell r="Z534" t="str">
            <v>1915</v>
          </cell>
          <cell r="AA534" t="str">
            <v>1100139094</v>
          </cell>
          <cell r="AB534">
            <v>180</v>
          </cell>
          <cell r="AC534" t="str">
            <v/>
          </cell>
          <cell r="AD534">
            <v>2</v>
          </cell>
          <cell r="AE534" t="str">
            <v>G-100010426-241221-0094</v>
          </cell>
        </row>
        <row r="535">
          <cell r="B535" t="str">
            <v>7100918956</v>
          </cell>
          <cell r="C535" t="str">
            <v>G2411-1780</v>
          </cell>
          <cell r="D535" t="str">
            <v>000036200000143099</v>
          </cell>
          <cell r="E535" t="str">
            <v>密封圈</v>
          </cell>
          <cell r="F535" t="str">
            <v>030-034-25-2-043 OCT1 00980-80</v>
          </cell>
          <cell r="G535" t="str">
            <v>-</v>
          </cell>
          <cell r="H535" t="str">
            <v/>
          </cell>
          <cell r="I535" t="str">
            <v/>
          </cell>
          <cell r="J535" t="str">
            <v>FX-17</v>
          </cell>
          <cell r="K535">
            <v>50</v>
          </cell>
          <cell r="L535">
            <v>45730</v>
          </cell>
          <cell r="M535" t="str">
            <v>3-配货完成</v>
          </cell>
        </row>
        <row r="535">
          <cell r="O535">
            <v>0</v>
          </cell>
          <cell r="P535" t="str">
            <v>中国人民解放军第五七〇二工厂(国营四达机械制造公司)</v>
          </cell>
          <cell r="Q535" t="str">
            <v>40</v>
          </cell>
        </row>
        <row r="535">
          <cell r="U535" t="str">
            <v>010000752457</v>
          </cell>
          <cell r="V535" t="str">
            <v>PANMINGTAO</v>
          </cell>
          <cell r="W535" t="str">
            <v/>
          </cell>
          <cell r="X535" t="str">
            <v>XC-1-1-10</v>
          </cell>
          <cell r="Y535" t="str">
            <v/>
          </cell>
          <cell r="Z535" t="str">
            <v>1915</v>
          </cell>
          <cell r="AA535" t="str">
            <v>1100136612</v>
          </cell>
          <cell r="AB535">
            <v>50</v>
          </cell>
          <cell r="AC535" t="str">
            <v/>
          </cell>
          <cell r="AD535">
            <v>28</v>
          </cell>
          <cell r="AE535" t="str">
            <v>G-100010426-241101-0083</v>
          </cell>
        </row>
        <row r="536">
          <cell r="B536" t="str">
            <v>7100918957</v>
          </cell>
          <cell r="C536" t="str">
            <v>G2412-2847</v>
          </cell>
          <cell r="D536" t="str">
            <v>000036200000088154</v>
          </cell>
          <cell r="E536" t="str">
            <v>密封圈</v>
          </cell>
          <cell r="F536" t="str">
            <v>2262A-185</v>
          </cell>
          <cell r="G536" t="str">
            <v>-</v>
          </cell>
          <cell r="H536" t="str">
            <v/>
          </cell>
          <cell r="I536" t="str">
            <v/>
          </cell>
          <cell r="J536" t="str">
            <v>5080</v>
          </cell>
          <cell r="K536">
            <v>80</v>
          </cell>
          <cell r="L536">
            <v>45730</v>
          </cell>
          <cell r="M536" t="str">
            <v>3-配货完成</v>
          </cell>
        </row>
        <row r="536">
          <cell r="O536">
            <v>0</v>
          </cell>
          <cell r="P536" t="str">
            <v>中国人民解放军第五七〇二工厂(国营四达机械制造公司)</v>
          </cell>
          <cell r="Q536" t="str">
            <v>650</v>
          </cell>
        </row>
        <row r="536">
          <cell r="U536" t="str">
            <v>010000766412</v>
          </cell>
          <cell r="V536" t="str">
            <v>PANMINGTAO</v>
          </cell>
          <cell r="W536" t="str">
            <v/>
          </cell>
          <cell r="X536" t="str">
            <v>XC-1-1-10</v>
          </cell>
          <cell r="Y536" t="str">
            <v/>
          </cell>
          <cell r="Z536" t="str">
            <v>1915</v>
          </cell>
          <cell r="AA536" t="str">
            <v>1100139096</v>
          </cell>
          <cell r="AB536">
            <v>80</v>
          </cell>
          <cell r="AC536" t="str">
            <v/>
          </cell>
          <cell r="AD536">
            <v>17</v>
          </cell>
          <cell r="AE536" t="str">
            <v>G-100010426-241221-0096</v>
          </cell>
        </row>
        <row r="537">
          <cell r="B537" t="str">
            <v>7100919063</v>
          </cell>
          <cell r="C537" t="str">
            <v>G2411-1784</v>
          </cell>
          <cell r="D537" t="str">
            <v>000036200000143103</v>
          </cell>
          <cell r="E537" t="str">
            <v>密封圈</v>
          </cell>
          <cell r="F537" t="str">
            <v>068-072-25-2-043 OCT1 00980-80</v>
          </cell>
          <cell r="G537" t="str">
            <v>-</v>
          </cell>
          <cell r="H537" t="str">
            <v/>
          </cell>
          <cell r="I537" t="str">
            <v/>
          </cell>
          <cell r="J537" t="str">
            <v>FX-17</v>
          </cell>
          <cell r="K537">
            <v>50</v>
          </cell>
          <cell r="L537">
            <v>45730</v>
          </cell>
          <cell r="M537" t="str">
            <v>3-配货完成</v>
          </cell>
        </row>
        <row r="537">
          <cell r="O537">
            <v>0</v>
          </cell>
          <cell r="P537" t="str">
            <v>中国人民解放军第五七〇二工厂(国营四达机械制造公司)</v>
          </cell>
          <cell r="Q537" t="str">
            <v>80</v>
          </cell>
        </row>
        <row r="537">
          <cell r="U537" t="str">
            <v>010000752461</v>
          </cell>
          <cell r="V537" t="str">
            <v>PANMINGTAO</v>
          </cell>
          <cell r="W537" t="str">
            <v/>
          </cell>
          <cell r="X537" t="str">
            <v>XC-1-1-10</v>
          </cell>
          <cell r="Y537" t="str">
            <v/>
          </cell>
          <cell r="Z537" t="str">
            <v>1915</v>
          </cell>
          <cell r="AA537" t="str">
            <v>1100136612</v>
          </cell>
          <cell r="AB537">
            <v>50</v>
          </cell>
          <cell r="AC537" t="str">
            <v/>
          </cell>
          <cell r="AD537">
            <v>17</v>
          </cell>
          <cell r="AE537" t="str">
            <v>G-100010426-241101-0083</v>
          </cell>
        </row>
        <row r="538">
          <cell r="B538" t="str">
            <v>7100919082</v>
          </cell>
          <cell r="C538" t="str">
            <v>G2501-0718</v>
          </cell>
          <cell r="D538" t="str">
            <v>000036200000145483</v>
          </cell>
          <cell r="E538" t="str">
            <v>圆截面橡胶密封圈</v>
          </cell>
          <cell r="F538" t="str">
            <v>Q/1D33-66</v>
          </cell>
          <cell r="G538" t="str">
            <v>28×3-P</v>
          </cell>
          <cell r="H538" t="str">
            <v/>
          </cell>
          <cell r="I538" t="str">
            <v/>
          </cell>
          <cell r="J538" t="str">
            <v>5080</v>
          </cell>
          <cell r="K538">
            <v>200</v>
          </cell>
          <cell r="L538">
            <v>45730</v>
          </cell>
          <cell r="M538" t="str">
            <v>3-配货完成</v>
          </cell>
        </row>
        <row r="538">
          <cell r="O538">
            <v>0</v>
          </cell>
          <cell r="P538" t="str">
            <v>中国人民解放军第五七〇二工厂(国营四达机械制造公司)</v>
          </cell>
          <cell r="Q538" t="str">
            <v>20</v>
          </cell>
        </row>
        <row r="538">
          <cell r="U538" t="str">
            <v>010000771155</v>
          </cell>
          <cell r="V538" t="str">
            <v>PANMINGTAO</v>
          </cell>
          <cell r="W538" t="str">
            <v/>
          </cell>
          <cell r="X538" t="str">
            <v>XC-1-1-10</v>
          </cell>
          <cell r="Y538" t="str">
            <v/>
          </cell>
          <cell r="Z538" t="str">
            <v>1915</v>
          </cell>
          <cell r="AA538" t="str">
            <v>1100139197</v>
          </cell>
          <cell r="AB538">
            <v>200</v>
          </cell>
          <cell r="AC538" t="str">
            <v/>
          </cell>
          <cell r="AD538">
            <v>35</v>
          </cell>
          <cell r="AE538" t="str">
            <v>G-100010426-241224-0100</v>
          </cell>
        </row>
        <row r="539">
          <cell r="B539" t="str">
            <v>7100919159</v>
          </cell>
          <cell r="C539" t="str">
            <v>G2412-3446</v>
          </cell>
          <cell r="D539" t="str">
            <v>000042944160010528</v>
          </cell>
          <cell r="E539" t="str">
            <v>半圆头螺钉</v>
          </cell>
          <cell r="F539" t="str">
            <v>Q/4A1-24-4×11</v>
          </cell>
          <cell r="G539" t="str">
            <v/>
          </cell>
          <cell r="H539" t="str">
            <v/>
          </cell>
          <cell r="I539" t="str">
            <v>D·Cd·D</v>
          </cell>
          <cell r="J539" t="str">
            <v>ML25</v>
          </cell>
          <cell r="K539">
            <v>750</v>
          </cell>
          <cell r="L539">
            <v>45730</v>
          </cell>
          <cell r="M539" t="str">
            <v>3-配货完成</v>
          </cell>
        </row>
        <row r="539">
          <cell r="O539">
            <v>0</v>
          </cell>
          <cell r="P539" t="str">
            <v>中国人民解放军第五七〇二工厂(国营四达机械制造公司)</v>
          </cell>
          <cell r="Q539" t="str">
            <v>790</v>
          </cell>
        </row>
        <row r="539">
          <cell r="U539" t="str">
            <v>010000767747</v>
          </cell>
          <cell r="V539" t="str">
            <v>PANQIFANG</v>
          </cell>
          <cell r="W539" t="str">
            <v/>
          </cell>
          <cell r="X539" t="str">
            <v>CP-108-A</v>
          </cell>
          <cell r="Y539" t="str">
            <v/>
          </cell>
          <cell r="Z539" t="str">
            <v>1915</v>
          </cell>
          <cell r="AA539" t="str">
            <v>1100139094</v>
          </cell>
          <cell r="AB539">
            <v>750</v>
          </cell>
          <cell r="AC539" t="str">
            <v/>
          </cell>
          <cell r="AD539">
            <v>1.5</v>
          </cell>
          <cell r="AE539" t="str">
            <v>G-100010426-241221-0094</v>
          </cell>
        </row>
        <row r="540">
          <cell r="B540" t="str">
            <v>7100919248</v>
          </cell>
          <cell r="C540" t="str">
            <v>G2412-3440</v>
          </cell>
          <cell r="D540" t="str">
            <v>000042944160003785</v>
          </cell>
          <cell r="E540" t="str">
            <v>圆柱头螺钉</v>
          </cell>
          <cell r="F540" t="str">
            <v>HB1-202G-M4×30</v>
          </cell>
          <cell r="G540" t="str">
            <v/>
          </cell>
          <cell r="H540" t="str">
            <v/>
          </cell>
          <cell r="I540" t="str">
            <v>Ep·Zn·c2C</v>
          </cell>
          <cell r="J540" t="str">
            <v>ML25</v>
          </cell>
          <cell r="K540">
            <v>200</v>
          </cell>
          <cell r="L540">
            <v>45730</v>
          </cell>
          <cell r="M540" t="str">
            <v>3-配货完成</v>
          </cell>
        </row>
        <row r="540">
          <cell r="O540">
            <v>0</v>
          </cell>
          <cell r="P540" t="str">
            <v>中国人民解放军第五七〇二工厂(国营四达机械制造公司)</v>
          </cell>
          <cell r="Q540" t="str">
            <v>470</v>
          </cell>
        </row>
        <row r="540">
          <cell r="U540" t="str">
            <v>010000767739</v>
          </cell>
          <cell r="V540" t="str">
            <v>QIAOXUPENG</v>
          </cell>
          <cell r="W540" t="str">
            <v/>
          </cell>
          <cell r="X540" t="str">
            <v>CP-108-A</v>
          </cell>
          <cell r="Y540" t="str">
            <v/>
          </cell>
          <cell r="Z540" t="str">
            <v>1915</v>
          </cell>
          <cell r="AA540" t="str">
            <v>1100139094</v>
          </cell>
          <cell r="AB540">
            <v>200</v>
          </cell>
          <cell r="AC540" t="str">
            <v/>
          </cell>
          <cell r="AD540">
            <v>2</v>
          </cell>
          <cell r="AE540" t="str">
            <v>G-100010426-241221-0094</v>
          </cell>
        </row>
        <row r="541">
          <cell r="B541" t="str">
            <v>7100919488</v>
          </cell>
          <cell r="C541" t="str">
            <v>G2412-2986</v>
          </cell>
          <cell r="D541" t="str">
            <v>000042944320005906</v>
          </cell>
          <cell r="E541" t="str">
            <v>平锥头螺纹空心铆钉</v>
          </cell>
          <cell r="F541" t="str">
            <v>HB1-601LE-5×12</v>
          </cell>
          <cell r="G541" t="str">
            <v/>
          </cell>
          <cell r="H541" t="str">
            <v>淬火时效</v>
          </cell>
          <cell r="I541" t="str">
            <v>Et·A(S)</v>
          </cell>
          <cell r="J541" t="str">
            <v>LY1</v>
          </cell>
          <cell r="K541">
            <v>296</v>
          </cell>
          <cell r="L541">
            <v>45730</v>
          </cell>
          <cell r="M541" t="str">
            <v>3-配货完成</v>
          </cell>
        </row>
        <row r="541">
          <cell r="O541">
            <v>0</v>
          </cell>
          <cell r="P541" t="str">
            <v>中国人民解放军第五七〇二工厂(国营四达机械制造公司)</v>
          </cell>
          <cell r="Q541" t="str">
            <v>1270</v>
          </cell>
        </row>
        <row r="541">
          <cell r="U541" t="str">
            <v>010000766680</v>
          </cell>
          <cell r="V541" t="str">
            <v>QIAOXUPENG</v>
          </cell>
          <cell r="W541" t="str">
            <v/>
          </cell>
          <cell r="X541" t="str">
            <v>CP-108-A</v>
          </cell>
          <cell r="Y541" t="str">
            <v/>
          </cell>
          <cell r="Z541" t="str">
            <v>1915</v>
          </cell>
          <cell r="AA541" t="str">
            <v>1100139094</v>
          </cell>
          <cell r="AB541">
            <v>300</v>
          </cell>
          <cell r="AC541" t="str">
            <v/>
          </cell>
          <cell r="AD541">
            <v>11</v>
          </cell>
          <cell r="AE541" t="str">
            <v>G-100010426-241221-0094</v>
          </cell>
        </row>
        <row r="542">
          <cell r="B542" t="str">
            <v>7100919610</v>
          </cell>
          <cell r="C542" t="str">
            <v>G2412-3439</v>
          </cell>
          <cell r="D542" t="str">
            <v>000042944160003584</v>
          </cell>
          <cell r="E542" t="str">
            <v>圆柱头螺钉</v>
          </cell>
          <cell r="F542" t="str">
            <v>HB1-202G-1995</v>
          </cell>
          <cell r="G542" t="str">
            <v>M3×7</v>
          </cell>
          <cell r="H542" t="str">
            <v/>
          </cell>
          <cell r="I542" t="str">
            <v>Ep·Cd·c2C</v>
          </cell>
          <cell r="J542" t="str">
            <v>ML25</v>
          </cell>
          <cell r="K542">
            <v>150</v>
          </cell>
          <cell r="L542">
            <v>45731</v>
          </cell>
          <cell r="M542" t="str">
            <v>3-配货完成</v>
          </cell>
        </row>
        <row r="542">
          <cell r="O542">
            <v>0</v>
          </cell>
          <cell r="P542" t="str">
            <v>中国人民解放军第五七〇二工厂(国营四达机械制造公司)</v>
          </cell>
          <cell r="Q542" t="str">
            <v>460</v>
          </cell>
        </row>
        <row r="542">
          <cell r="U542" t="str">
            <v>010000767737</v>
          </cell>
          <cell r="V542" t="str">
            <v>HANXIAOLAN</v>
          </cell>
          <cell r="W542" t="str">
            <v/>
          </cell>
          <cell r="X542" t="str">
            <v>CP-108-A</v>
          </cell>
          <cell r="Y542" t="str">
            <v/>
          </cell>
          <cell r="Z542" t="str">
            <v>1915</v>
          </cell>
          <cell r="AA542" t="str">
            <v>1100139094</v>
          </cell>
          <cell r="AB542">
            <v>150</v>
          </cell>
          <cell r="AC542" t="str">
            <v/>
          </cell>
          <cell r="AD542">
            <v>2</v>
          </cell>
          <cell r="AE542" t="str">
            <v>G-100010426-241221-0094</v>
          </cell>
        </row>
        <row r="543">
          <cell r="B543" t="str">
            <v>7100919852</v>
          </cell>
          <cell r="C543" t="str">
            <v>G2501-1228</v>
          </cell>
          <cell r="D543" t="str">
            <v>000042944439145645</v>
          </cell>
          <cell r="E543" t="str">
            <v>垫圈</v>
          </cell>
          <cell r="F543" t="str">
            <v>S18.0.0049</v>
          </cell>
          <cell r="G543" t="str">
            <v>-</v>
          </cell>
          <cell r="H543" t="str">
            <v/>
          </cell>
          <cell r="I543" t="str">
            <v>Ep·Ni3-5</v>
          </cell>
          <cell r="J543" t="str">
            <v>T2-M</v>
          </cell>
          <cell r="K543">
            <v>6</v>
          </cell>
          <cell r="L543">
            <v>45731</v>
          </cell>
          <cell r="M543" t="str">
            <v>3-配货完成</v>
          </cell>
        </row>
        <row r="543">
          <cell r="O543">
            <v>0</v>
          </cell>
          <cell r="P543" t="str">
            <v>中国人民解放军第五七〇二工厂(国营四达机械制造公司)</v>
          </cell>
          <cell r="Q543" t="str">
            <v>20</v>
          </cell>
        </row>
        <row r="543">
          <cell r="U543" t="str">
            <v>010000772856</v>
          </cell>
          <cell r="V543" t="str">
            <v>PANQIFANG</v>
          </cell>
          <cell r="W543" t="str">
            <v/>
          </cell>
          <cell r="X543" t="str">
            <v>CP-108-A</v>
          </cell>
          <cell r="Y543" t="str">
            <v/>
          </cell>
          <cell r="Z543" t="str">
            <v>1915</v>
          </cell>
          <cell r="AA543" t="str">
            <v>1100139360</v>
          </cell>
          <cell r="AB543">
            <v>6</v>
          </cell>
          <cell r="AC543" t="str">
            <v/>
          </cell>
          <cell r="AD543">
            <v>43</v>
          </cell>
          <cell r="AE543" t="str">
            <v>G-100010426-241227-0108</v>
          </cell>
        </row>
        <row r="544">
          <cell r="B544" t="str">
            <v>7100920205</v>
          </cell>
          <cell r="C544" t="str">
            <v>G2412-3451</v>
          </cell>
          <cell r="D544" t="str">
            <v>000042944201008250</v>
          </cell>
          <cell r="E544" t="str">
            <v>六角头螺栓</v>
          </cell>
          <cell r="F544" t="str">
            <v>HB1-101-8×24</v>
          </cell>
          <cell r="G544" t="str">
            <v/>
          </cell>
          <cell r="H544" t="str">
            <v>σb=1175±100MPa</v>
          </cell>
          <cell r="I544" t="str">
            <v>Ep·Zn·c2C</v>
          </cell>
          <cell r="J544" t="str">
            <v>ML30CrMnSiA</v>
          </cell>
          <cell r="K544">
            <v>400</v>
          </cell>
          <cell r="L544">
            <v>45732</v>
          </cell>
          <cell r="M544" t="str">
            <v>3-配货完成</v>
          </cell>
        </row>
        <row r="544">
          <cell r="O544">
            <v>0</v>
          </cell>
          <cell r="P544" t="str">
            <v>中国人民解放军第五七〇二工厂(国营四达机械制造公司)</v>
          </cell>
          <cell r="Q544" t="str">
            <v>340</v>
          </cell>
        </row>
        <row r="544">
          <cell r="U544" t="str">
            <v>010000767754</v>
          </cell>
          <cell r="V544" t="str">
            <v>QIAOXUPENG</v>
          </cell>
          <cell r="W544" t="str">
            <v/>
          </cell>
          <cell r="X544" t="str">
            <v>CP-108-A</v>
          </cell>
          <cell r="Y544" t="str">
            <v/>
          </cell>
          <cell r="Z544" t="str">
            <v>1915</v>
          </cell>
          <cell r="AA544" t="str">
            <v>1100139094</v>
          </cell>
          <cell r="AB544">
            <v>400</v>
          </cell>
          <cell r="AC544" t="str">
            <v/>
          </cell>
          <cell r="AD544">
            <v>3</v>
          </cell>
          <cell r="AE544" t="str">
            <v>G-100010426-241221-0094</v>
          </cell>
        </row>
        <row r="545">
          <cell r="B545" t="str">
            <v>7100920213</v>
          </cell>
          <cell r="C545" t="str">
            <v>G2412-2962</v>
          </cell>
          <cell r="D545" t="str">
            <v>000042944000112361</v>
          </cell>
          <cell r="E545" t="str">
            <v>导向件</v>
          </cell>
          <cell r="F545" t="str">
            <v>Q/4A4-104</v>
          </cell>
          <cell r="G545" t="str">
            <v>-</v>
          </cell>
          <cell r="H545" t="str">
            <v/>
          </cell>
          <cell r="I545" t="str">
            <v/>
          </cell>
          <cell r="J545" t="str">
            <v>1Cr18Ni9Ti</v>
          </cell>
          <cell r="K545">
            <v>60</v>
          </cell>
          <cell r="L545">
            <v>45732</v>
          </cell>
          <cell r="M545" t="str">
            <v>3-配货完成</v>
          </cell>
        </row>
        <row r="545">
          <cell r="O545">
            <v>0</v>
          </cell>
          <cell r="P545" t="str">
            <v>中国人民解放军第五七〇二工厂(国营四达机械制造公司)</v>
          </cell>
          <cell r="Q545" t="str">
            <v>1020</v>
          </cell>
        </row>
        <row r="545">
          <cell r="U545" t="str">
            <v>010000766656</v>
          </cell>
          <cell r="V545" t="str">
            <v>QIAOXUPENG</v>
          </cell>
          <cell r="W545" t="str">
            <v/>
          </cell>
          <cell r="X545" t="str">
            <v>CP-108-A</v>
          </cell>
          <cell r="Y545" t="str">
            <v/>
          </cell>
          <cell r="Z545" t="str">
            <v>1915</v>
          </cell>
          <cell r="AA545" t="str">
            <v>1100139094</v>
          </cell>
          <cell r="AB545">
            <v>60</v>
          </cell>
          <cell r="AC545" t="str">
            <v/>
          </cell>
          <cell r="AD545">
            <v>45</v>
          </cell>
          <cell r="AE545" t="str">
            <v>G-100010426-241221-0094</v>
          </cell>
        </row>
        <row r="546">
          <cell r="B546">
            <v>7100920324</v>
          </cell>
          <cell r="C546" t="str">
            <v>G2501-2078</v>
          </cell>
          <cell r="D546">
            <v>42944320145788</v>
          </cell>
          <cell r="E546" t="str">
            <v>90°埋头铆钉</v>
          </cell>
          <cell r="F546" t="str">
            <v>4A1-105-3.5×10j</v>
          </cell>
        </row>
        <row r="546">
          <cell r="H546" t="str">
            <v>τ≥186MPa</v>
          </cell>
          <cell r="I546" t="str">
            <v>黄色阳极化</v>
          </cell>
          <cell r="J546" t="str">
            <v>2A01</v>
          </cell>
          <cell r="K546">
            <v>3000</v>
          </cell>
          <cell r="L546">
            <v>45733</v>
          </cell>
          <cell r="M546" t="str">
            <v>3-配货完成</v>
          </cell>
        </row>
        <row r="546">
          <cell r="P546" t="str">
            <v>中国人民解放军第五七〇二工厂(国营四达机械制造公司)</v>
          </cell>
          <cell r="Q546">
            <v>160</v>
          </cell>
        </row>
        <row r="546">
          <cell r="U546">
            <v>10000775818</v>
          </cell>
          <cell r="V546" t="str">
            <v>QIAOXUPENG</v>
          </cell>
        </row>
        <row r="546">
          <cell r="X546" t="str">
            <v>CP-108-A</v>
          </cell>
        </row>
        <row r="546">
          <cell r="Z546">
            <v>1915</v>
          </cell>
          <cell r="AA546">
            <v>1100139474</v>
          </cell>
          <cell r="AB546">
            <v>3000</v>
          </cell>
        </row>
        <row r="546">
          <cell r="AD546">
            <v>0.74</v>
          </cell>
          <cell r="AE546" t="str">
            <v>G-100010426-241227-0110</v>
          </cell>
        </row>
        <row r="547">
          <cell r="B547">
            <v>7100920322</v>
          </cell>
          <cell r="C547" t="str">
            <v>G2501-0925</v>
          </cell>
          <cell r="D547">
            <v>42944160145777</v>
          </cell>
          <cell r="E547" t="str">
            <v>两边切平的接触螺钉</v>
          </cell>
          <cell r="F547" t="str">
            <v>HB1-216-M8×32</v>
          </cell>
        </row>
        <row r="547">
          <cell r="I547" t="str">
            <v>Ct·P</v>
          </cell>
          <cell r="J547" t="str">
            <v>H62</v>
          </cell>
          <cell r="K547">
            <v>200</v>
          </cell>
          <cell r="L547">
            <v>45733</v>
          </cell>
          <cell r="M547" t="str">
            <v>3-配货完成</v>
          </cell>
        </row>
        <row r="547">
          <cell r="P547" t="str">
            <v>中国人民解放军第五七〇二工厂(国营四达机械制造公司)</v>
          </cell>
          <cell r="Q547">
            <v>50</v>
          </cell>
        </row>
        <row r="547">
          <cell r="U547">
            <v>10000772236</v>
          </cell>
          <cell r="V547" t="str">
            <v>HANXIAOLAN</v>
          </cell>
        </row>
        <row r="547">
          <cell r="X547" t="str">
            <v>CP-108-A</v>
          </cell>
        </row>
        <row r="547">
          <cell r="Z547">
            <v>1915</v>
          </cell>
          <cell r="AA547">
            <v>1100139474</v>
          </cell>
          <cell r="AB547">
            <v>200</v>
          </cell>
        </row>
        <row r="547">
          <cell r="AD547">
            <v>2</v>
          </cell>
          <cell r="AE547" t="str">
            <v>G-100010426-241227-0110</v>
          </cell>
        </row>
        <row r="548">
          <cell r="B548">
            <v>7100920311</v>
          </cell>
          <cell r="C548" t="str">
            <v>G2501-2080</v>
          </cell>
          <cell r="D548">
            <v>42944320145790</v>
          </cell>
          <cell r="E548" t="str">
            <v>90°埋头铆钉</v>
          </cell>
          <cell r="F548" t="str">
            <v>4A1-105-3.5×8j</v>
          </cell>
        </row>
        <row r="548">
          <cell r="H548" t="str">
            <v>τ≥186MPa</v>
          </cell>
          <cell r="I548" t="str">
            <v>黄色阳极化</v>
          </cell>
          <cell r="J548" t="str">
            <v>2A01</v>
          </cell>
          <cell r="K548">
            <v>12000</v>
          </cell>
          <cell r="L548">
            <v>45733</v>
          </cell>
          <cell r="M548" t="str">
            <v>3-配货完成</v>
          </cell>
        </row>
        <row r="548">
          <cell r="P548" t="str">
            <v>中国人民解放军第五七〇二工厂(国营四达机械制造公司)</v>
          </cell>
          <cell r="Q548">
            <v>180</v>
          </cell>
        </row>
        <row r="548">
          <cell r="U548">
            <v>10000775840</v>
          </cell>
          <cell r="V548" t="str">
            <v>QIAOXUPENG</v>
          </cell>
        </row>
        <row r="548">
          <cell r="X548" t="str">
            <v>CP-108-A</v>
          </cell>
        </row>
        <row r="548">
          <cell r="Z548">
            <v>1915</v>
          </cell>
          <cell r="AA548">
            <v>1100139474</v>
          </cell>
          <cell r="AB548">
            <v>12000</v>
          </cell>
        </row>
        <row r="548">
          <cell r="AD548">
            <v>0.74</v>
          </cell>
          <cell r="AE548" t="str">
            <v>G-100010426-241227-0110</v>
          </cell>
        </row>
        <row r="549">
          <cell r="B549">
            <v>7100920213</v>
          </cell>
          <cell r="C549" t="str">
            <v>G2412-2962</v>
          </cell>
          <cell r="D549">
            <v>42944000112361</v>
          </cell>
          <cell r="E549" t="str">
            <v>导向件</v>
          </cell>
          <cell r="F549" t="str">
            <v>Q/4A4-104</v>
          </cell>
          <cell r="G549" t="str">
            <v>-</v>
          </cell>
        </row>
        <row r="549">
          <cell r="J549" t="str">
            <v>1Cr18Ni9Ti</v>
          </cell>
          <cell r="K549">
            <v>60</v>
          </cell>
          <cell r="L549">
            <v>45732</v>
          </cell>
          <cell r="M549" t="str">
            <v>3-配货完成</v>
          </cell>
        </row>
        <row r="549">
          <cell r="P549" t="str">
            <v>中国人民解放军第五七〇二工厂(国营四达机械制造公司)</v>
          </cell>
          <cell r="Q549">
            <v>1020</v>
          </cell>
        </row>
        <row r="549">
          <cell r="U549">
            <v>10000766656</v>
          </cell>
          <cell r="V549" t="str">
            <v>QIAOXUPENG</v>
          </cell>
        </row>
        <row r="549">
          <cell r="X549" t="str">
            <v>CP-108-A</v>
          </cell>
        </row>
        <row r="549">
          <cell r="Z549">
            <v>1915</v>
          </cell>
          <cell r="AA549">
            <v>1100139094</v>
          </cell>
          <cell r="AB549">
            <v>60</v>
          </cell>
        </row>
        <row r="549">
          <cell r="AD549">
            <v>45</v>
          </cell>
          <cell r="AE549" t="str">
            <v>G-100010426-241221-0094</v>
          </cell>
        </row>
        <row r="550">
          <cell r="B550">
            <v>7100920205</v>
          </cell>
          <cell r="C550" t="str">
            <v>G2412-3451</v>
          </cell>
          <cell r="D550">
            <v>42944201008250</v>
          </cell>
          <cell r="E550" t="str">
            <v>六角头螺栓</v>
          </cell>
          <cell r="F550" t="str">
            <v>HB1-101-8×24</v>
          </cell>
        </row>
        <row r="550">
          <cell r="H550" t="str">
            <v>σb=1175±100MPa</v>
          </cell>
          <cell r="I550" t="str">
            <v>Ep·Zn·c2C</v>
          </cell>
          <cell r="J550" t="str">
            <v>ML30CrMnSiA</v>
          </cell>
          <cell r="K550">
            <v>400</v>
          </cell>
          <cell r="L550">
            <v>45732</v>
          </cell>
          <cell r="M550" t="str">
            <v>3-配货完成</v>
          </cell>
        </row>
        <row r="550">
          <cell r="P550" t="str">
            <v>中国人民解放军第五七〇二工厂(国营四达机械制造公司)</v>
          </cell>
          <cell r="Q550">
            <v>340</v>
          </cell>
        </row>
        <row r="550">
          <cell r="U550">
            <v>10000767754</v>
          </cell>
          <cell r="V550" t="str">
            <v>QIAOXUPENG</v>
          </cell>
        </row>
        <row r="550">
          <cell r="X550" t="str">
            <v>CP-108-A</v>
          </cell>
        </row>
        <row r="550">
          <cell r="Z550">
            <v>1915</v>
          </cell>
          <cell r="AA550">
            <v>1100139094</v>
          </cell>
          <cell r="AB550">
            <v>400</v>
          </cell>
        </row>
        <row r="550">
          <cell r="AD550">
            <v>3</v>
          </cell>
          <cell r="AE550" t="str">
            <v>G-100010426-241221-0094</v>
          </cell>
        </row>
        <row r="551">
          <cell r="B551">
            <v>7100919610</v>
          </cell>
          <cell r="C551" t="str">
            <v>G2412-3439</v>
          </cell>
          <cell r="D551">
            <v>42944160003584</v>
          </cell>
          <cell r="E551" t="str">
            <v>圆柱头螺钉</v>
          </cell>
          <cell r="F551" t="str">
            <v>HB1-202G-1995</v>
          </cell>
          <cell r="G551" t="str">
            <v>M3×7</v>
          </cell>
        </row>
        <row r="551">
          <cell r="I551" t="str">
            <v>Ep·Cd·c2C</v>
          </cell>
          <cell r="J551" t="str">
            <v>ML25</v>
          </cell>
          <cell r="K551">
            <v>150</v>
          </cell>
          <cell r="L551">
            <v>45731</v>
          </cell>
          <cell r="M551" t="str">
            <v>3-配货完成</v>
          </cell>
        </row>
        <row r="551">
          <cell r="P551" t="str">
            <v>中国人民解放军第五七〇二工厂(国营四达机械制造公司)</v>
          </cell>
          <cell r="Q551">
            <v>460</v>
          </cell>
        </row>
        <row r="551">
          <cell r="U551">
            <v>10000767737</v>
          </cell>
          <cell r="V551" t="str">
            <v>HANXIAOLAN</v>
          </cell>
        </row>
        <row r="551">
          <cell r="X551" t="str">
            <v>CP-108-A</v>
          </cell>
        </row>
        <row r="551">
          <cell r="Z551">
            <v>1915</v>
          </cell>
          <cell r="AA551">
            <v>1100139094</v>
          </cell>
          <cell r="AB551">
            <v>150</v>
          </cell>
        </row>
        <row r="551">
          <cell r="AD551">
            <v>2</v>
          </cell>
          <cell r="AE551" t="str">
            <v>G-100010426-241221-0094</v>
          </cell>
        </row>
        <row r="552">
          <cell r="B552" t="str">
            <v>7100922153</v>
          </cell>
          <cell r="C552" t="str">
            <v>G2501-1303</v>
          </cell>
          <cell r="D552" t="str">
            <v>000042944439145647</v>
          </cell>
          <cell r="E552" t="str">
            <v>垫圈</v>
          </cell>
          <cell r="F552" t="str">
            <v>S18.0.0051</v>
          </cell>
          <cell r="G552" t="str">
            <v>-</v>
          </cell>
          <cell r="H552" t="str">
            <v/>
          </cell>
          <cell r="I552" t="str">
            <v>Ep·Ni3-5</v>
          </cell>
          <cell r="J552" t="str">
            <v>T2</v>
          </cell>
          <cell r="K552">
            <v>12</v>
          </cell>
          <cell r="L552">
            <v>45736</v>
          </cell>
          <cell r="M552" t="str">
            <v>4-检验完成</v>
          </cell>
        </row>
        <row r="552">
          <cell r="O552">
            <v>0</v>
          </cell>
          <cell r="P552" t="str">
            <v>中国人民解放军第五七〇二工厂(国营四达机械制造公司)</v>
          </cell>
          <cell r="Q552" t="str">
            <v>40</v>
          </cell>
          <cell r="R552">
            <v>45736</v>
          </cell>
        </row>
        <row r="552">
          <cell r="U552" t="str">
            <v>010000773258</v>
          </cell>
          <cell r="V552" t="str">
            <v>LIZHIFENG</v>
          </cell>
          <cell r="W552" t="str">
            <v/>
          </cell>
          <cell r="X552" t="str">
            <v>CP-108-A</v>
          </cell>
          <cell r="Y552" t="str">
            <v/>
          </cell>
          <cell r="Z552" t="str">
            <v>1915</v>
          </cell>
          <cell r="AA552" t="str">
            <v>1100139360</v>
          </cell>
          <cell r="AB552">
            <v>12</v>
          </cell>
          <cell r="AC552" t="str">
            <v/>
          </cell>
          <cell r="AD552">
            <v>49</v>
          </cell>
          <cell r="AE552" t="str">
            <v>G-100010426-241227-0108</v>
          </cell>
        </row>
        <row r="553">
          <cell r="B553" t="str">
            <v>7100922534</v>
          </cell>
          <cell r="C553" t="str">
            <v>GW2503-144</v>
          </cell>
          <cell r="D553" t="str">
            <v>000042944360147729</v>
          </cell>
          <cell r="E553" t="str">
            <v>开口销</v>
          </cell>
          <cell r="F553" t="str">
            <v>GB91-3×35</v>
          </cell>
          <cell r="G553" t="str">
            <v/>
          </cell>
          <cell r="H553" t="str">
            <v/>
          </cell>
          <cell r="I553" t="str">
            <v>Ct·P</v>
          </cell>
          <cell r="J553" t="str">
            <v>1Cr18Ni9Ti</v>
          </cell>
          <cell r="K553">
            <v>998</v>
          </cell>
          <cell r="L553">
            <v>45736</v>
          </cell>
          <cell r="M553" t="str">
            <v>4-检验完成</v>
          </cell>
        </row>
        <row r="553">
          <cell r="O553">
            <v>0</v>
          </cell>
          <cell r="P553" t="str">
            <v>中国人民解放军第五七〇二工厂(国营四达机械制造公司)</v>
          </cell>
          <cell r="Q553" t="str">
            <v>30</v>
          </cell>
          <cell r="R553">
            <v>45737</v>
          </cell>
        </row>
        <row r="553">
          <cell r="U553" t="str">
            <v/>
          </cell>
          <cell r="V553" t="str">
            <v>QIAOXUPENG</v>
          </cell>
          <cell r="W553" t="str">
            <v/>
          </cell>
          <cell r="X553" t="str">
            <v>XH-000</v>
          </cell>
          <cell r="Y553" t="str">
            <v/>
          </cell>
          <cell r="Z553" t="str">
            <v>1915</v>
          </cell>
          <cell r="AA553" t="str">
            <v>1100140929</v>
          </cell>
          <cell r="AB553">
            <v>1000</v>
          </cell>
          <cell r="AC553" t="str">
            <v/>
          </cell>
          <cell r="AD553">
            <v>1.2</v>
          </cell>
          <cell r="AE553" t="str">
            <v>G-100010426-250126-0001-1-H</v>
          </cell>
        </row>
        <row r="554">
          <cell r="B554" t="str">
            <v>7100922646</v>
          </cell>
          <cell r="C554" t="str">
            <v>G2412-2776</v>
          </cell>
          <cell r="D554" t="str">
            <v>000036200000072383</v>
          </cell>
          <cell r="E554" t="str">
            <v>密封圈</v>
          </cell>
          <cell r="F554" t="str">
            <v>2267A-159</v>
          </cell>
          <cell r="G554" t="str">
            <v>-</v>
          </cell>
          <cell r="H554" t="str">
            <v/>
          </cell>
          <cell r="I554" t="str">
            <v/>
          </cell>
          <cell r="J554" t="str">
            <v>FX-4</v>
          </cell>
          <cell r="K554">
            <v>210</v>
          </cell>
          <cell r="L554">
            <v>45736</v>
          </cell>
          <cell r="M554" t="str">
            <v>4-检验完成</v>
          </cell>
        </row>
        <row r="554">
          <cell r="O554">
            <v>0</v>
          </cell>
          <cell r="P554" t="str">
            <v>中国人民解放军第五七〇二工厂(国营四达机械制造公司)</v>
          </cell>
          <cell r="Q554" t="str">
            <v>550</v>
          </cell>
          <cell r="R554">
            <v>45737</v>
          </cell>
        </row>
        <row r="554">
          <cell r="U554" t="str">
            <v>010000766321</v>
          </cell>
          <cell r="V554" t="str">
            <v>PANMINGTAO</v>
          </cell>
          <cell r="W554" t="str">
            <v/>
          </cell>
          <cell r="X554" t="str">
            <v>XC-1-1-10</v>
          </cell>
          <cell r="Y554" t="str">
            <v/>
          </cell>
          <cell r="Z554" t="str">
            <v>1915</v>
          </cell>
          <cell r="AA554" t="str">
            <v>1100139096</v>
          </cell>
          <cell r="AB554">
            <v>210</v>
          </cell>
          <cell r="AC554" t="str">
            <v/>
          </cell>
          <cell r="AD554">
            <v>11</v>
          </cell>
          <cell r="AE554" t="str">
            <v>G-100010426-241221-0096</v>
          </cell>
        </row>
        <row r="555">
          <cell r="B555" t="str">
            <v>7100922646</v>
          </cell>
          <cell r="C555" t="str">
            <v>G2412-2819</v>
          </cell>
          <cell r="D555" t="str">
            <v>000036200000072447</v>
          </cell>
          <cell r="E555" t="str">
            <v>密封圈</v>
          </cell>
          <cell r="F555" t="str">
            <v>5128A-12-51-1434</v>
          </cell>
          <cell r="G555" t="str">
            <v>-</v>
          </cell>
          <cell r="H555" t="str">
            <v/>
          </cell>
          <cell r="I555" t="str">
            <v/>
          </cell>
          <cell r="J555" t="str">
            <v>FS6265</v>
          </cell>
          <cell r="K555">
            <v>600</v>
          </cell>
          <cell r="L555">
            <v>45736</v>
          </cell>
          <cell r="M555" t="str">
            <v>4-检验完成</v>
          </cell>
        </row>
        <row r="555">
          <cell r="O555">
            <v>0</v>
          </cell>
          <cell r="P555" t="str">
            <v>中国人民解放军第五七〇二工厂(国营四达机械制造公司)</v>
          </cell>
          <cell r="Q555" t="str">
            <v>110</v>
          </cell>
          <cell r="R555">
            <v>45737</v>
          </cell>
        </row>
        <row r="555">
          <cell r="U555" t="str">
            <v>010000766384</v>
          </cell>
          <cell r="V555" t="str">
            <v>PANMINGTAO</v>
          </cell>
          <cell r="W555" t="str">
            <v/>
          </cell>
          <cell r="X555" t="str">
            <v>XC-1-1-10</v>
          </cell>
          <cell r="Y555" t="str">
            <v/>
          </cell>
          <cell r="Z555" t="str">
            <v>1915</v>
          </cell>
          <cell r="AA555" t="str">
            <v>1100139096</v>
          </cell>
          <cell r="AB555">
            <v>600</v>
          </cell>
          <cell r="AC555" t="str">
            <v/>
          </cell>
          <cell r="AD555">
            <v>16</v>
          </cell>
          <cell r="AE555" t="str">
            <v>G-100010426-241221-0096</v>
          </cell>
        </row>
        <row r="556">
          <cell r="B556" t="str">
            <v>7100922646</v>
          </cell>
          <cell r="C556" t="str">
            <v>G2412-2852</v>
          </cell>
          <cell r="D556" t="str">
            <v>000036200000089070</v>
          </cell>
          <cell r="E556" t="str">
            <v>密封圈</v>
          </cell>
          <cell r="F556" t="str">
            <v>5128A-151-51-1434</v>
          </cell>
          <cell r="G556" t="str">
            <v>-</v>
          </cell>
          <cell r="H556" t="str">
            <v/>
          </cell>
          <cell r="I556" t="str">
            <v/>
          </cell>
          <cell r="J556" t="str">
            <v>FS6265</v>
          </cell>
          <cell r="K556">
            <v>10</v>
          </cell>
          <cell r="L556">
            <v>45736</v>
          </cell>
          <cell r="M556" t="str">
            <v>4-检验完成</v>
          </cell>
        </row>
        <row r="556">
          <cell r="O556">
            <v>0</v>
          </cell>
          <cell r="P556" t="str">
            <v>中国人民解放军第五七〇二工厂(国营四达机械制造公司)</v>
          </cell>
          <cell r="Q556" t="str">
            <v>1220</v>
          </cell>
          <cell r="R556">
            <v>45737</v>
          </cell>
        </row>
        <row r="556">
          <cell r="U556" t="str">
            <v>010000766418</v>
          </cell>
          <cell r="V556" t="str">
            <v>PANMINGTAO</v>
          </cell>
          <cell r="W556" t="str">
            <v/>
          </cell>
          <cell r="X556" t="str">
            <v>XC-1-1-10</v>
          </cell>
          <cell r="Y556" t="str">
            <v/>
          </cell>
          <cell r="Z556" t="str">
            <v>1915</v>
          </cell>
          <cell r="AA556" t="str">
            <v>1100139096</v>
          </cell>
          <cell r="AB556">
            <v>10</v>
          </cell>
          <cell r="AC556" t="str">
            <v/>
          </cell>
          <cell r="AD556">
            <v>20</v>
          </cell>
          <cell r="AE556" t="str">
            <v>G-100010426-241221-0096</v>
          </cell>
        </row>
        <row r="557">
          <cell r="B557" t="str">
            <v>7100922688</v>
          </cell>
          <cell r="C557" t="str">
            <v>G2412-9038</v>
          </cell>
          <cell r="D557" t="str">
            <v>000042944045000178</v>
          </cell>
          <cell r="E557" t="str">
            <v>开槽锥端紧定螺钉</v>
          </cell>
          <cell r="F557" t="str">
            <v>GB71-M4×6</v>
          </cell>
          <cell r="G557" t="str">
            <v/>
          </cell>
          <cell r="H557" t="str">
            <v>22H</v>
          </cell>
          <cell r="I557" t="str">
            <v>Ep·Zn·c2C</v>
          </cell>
          <cell r="J557" t="str">
            <v>45</v>
          </cell>
          <cell r="K557">
            <v>500</v>
          </cell>
          <cell r="L557">
            <v>45736</v>
          </cell>
          <cell r="M557" t="str">
            <v>4-检验完成</v>
          </cell>
        </row>
        <row r="557">
          <cell r="O557">
            <v>0</v>
          </cell>
          <cell r="P557" t="str">
            <v>中国人民解放军第五七〇二工厂(国营四达机械制造公司)</v>
          </cell>
          <cell r="Q557" t="str">
            <v>1090</v>
          </cell>
          <cell r="R557">
            <v>45737</v>
          </cell>
        </row>
        <row r="557">
          <cell r="U557" t="str">
            <v>010000766634</v>
          </cell>
          <cell r="V557" t="str">
            <v>QIAOXUPENG</v>
          </cell>
          <cell r="W557" t="str">
            <v/>
          </cell>
          <cell r="X557" t="str">
            <v>CP-108-A</v>
          </cell>
          <cell r="Y557" t="str">
            <v/>
          </cell>
          <cell r="Z557" t="str">
            <v>1915</v>
          </cell>
          <cell r="AA557" t="str">
            <v>1100139094</v>
          </cell>
          <cell r="AB557">
            <v>500</v>
          </cell>
          <cell r="AC557" t="str">
            <v/>
          </cell>
          <cell r="AD557">
            <v>3</v>
          </cell>
          <cell r="AE557" t="str">
            <v>G-100010426-241221-0094</v>
          </cell>
        </row>
        <row r="558">
          <cell r="B558" t="str">
            <v>7100922753</v>
          </cell>
          <cell r="C558" t="str">
            <v>G2412-9037</v>
          </cell>
          <cell r="D558" t="str">
            <v>000042944045000174</v>
          </cell>
          <cell r="E558" t="str">
            <v>开槽锥端紧定螺钉</v>
          </cell>
          <cell r="F558" t="str">
            <v>GB71-M4×5</v>
          </cell>
          <cell r="G558" t="str">
            <v/>
          </cell>
          <cell r="H558" t="str">
            <v>22H</v>
          </cell>
          <cell r="I558" t="str">
            <v>Ep·Zn·c2C</v>
          </cell>
          <cell r="J558" t="str">
            <v>45</v>
          </cell>
          <cell r="K558">
            <v>200</v>
          </cell>
          <cell r="L558">
            <v>45736</v>
          </cell>
          <cell r="M558" t="str">
            <v>4-检验完成</v>
          </cell>
        </row>
        <row r="558">
          <cell r="O558">
            <v>0</v>
          </cell>
          <cell r="P558" t="str">
            <v>中国人民解放军第五七〇二工厂(国营四达机械制造公司)</v>
          </cell>
          <cell r="Q558" t="str">
            <v>760</v>
          </cell>
          <cell r="R558">
            <v>45737</v>
          </cell>
        </row>
        <row r="558">
          <cell r="U558" t="str">
            <v>010000766631</v>
          </cell>
          <cell r="V558" t="str">
            <v>QIAOXUPENG</v>
          </cell>
          <cell r="W558" t="str">
            <v/>
          </cell>
          <cell r="X558" t="str">
            <v>CP-108-A</v>
          </cell>
          <cell r="Y558" t="str">
            <v/>
          </cell>
          <cell r="Z558" t="str">
            <v>1915</v>
          </cell>
          <cell r="AA558" t="str">
            <v>1100139094</v>
          </cell>
          <cell r="AB558">
            <v>200</v>
          </cell>
          <cell r="AC558" t="str">
            <v/>
          </cell>
          <cell r="AD558">
            <v>3</v>
          </cell>
          <cell r="AE558" t="str">
            <v>G-100010426-241221-0094</v>
          </cell>
        </row>
        <row r="559">
          <cell r="B559" t="str">
            <v>7100922794</v>
          </cell>
          <cell r="C559" t="str">
            <v>G2501-2085</v>
          </cell>
          <cell r="D559" t="str">
            <v>000042944320145796</v>
          </cell>
          <cell r="E559" t="str">
            <v>120°埋头铆钉</v>
          </cell>
          <cell r="F559" t="str">
            <v>4A1-116-4×8j</v>
          </cell>
          <cell r="G559" t="str">
            <v/>
          </cell>
          <cell r="H559" t="str">
            <v>τ≥157MPa</v>
          </cell>
          <cell r="I559" t="str">
            <v>黄色阳极化</v>
          </cell>
          <cell r="J559" t="str">
            <v>5B05</v>
          </cell>
          <cell r="K559">
            <v>3908</v>
          </cell>
          <cell r="L559">
            <v>45737</v>
          </cell>
          <cell r="M559" t="str">
            <v>4-检验完成</v>
          </cell>
        </row>
        <row r="559">
          <cell r="O559">
            <v>0</v>
          </cell>
          <cell r="P559" t="str">
            <v>中国人民解放军第五七〇二工厂(国营四达机械制造公司)</v>
          </cell>
          <cell r="Q559" t="str">
            <v>240</v>
          </cell>
          <cell r="R559">
            <v>45738</v>
          </cell>
        </row>
        <row r="559">
          <cell r="U559" t="str">
            <v>010000775845</v>
          </cell>
          <cell r="V559" t="str">
            <v>LIZHIFENG</v>
          </cell>
          <cell r="W559" t="str">
            <v/>
          </cell>
          <cell r="X559" t="str">
            <v>CP-108-A</v>
          </cell>
          <cell r="Y559" t="str">
            <v/>
          </cell>
          <cell r="Z559" t="str">
            <v>1915</v>
          </cell>
          <cell r="AA559" t="str">
            <v>1100139474</v>
          </cell>
          <cell r="AB559">
            <v>4000</v>
          </cell>
          <cell r="AC559" t="str">
            <v/>
          </cell>
          <cell r="AD559">
            <v>0.74</v>
          </cell>
          <cell r="AE559" t="str">
            <v>G-100010426-241227-0110</v>
          </cell>
        </row>
        <row r="560">
          <cell r="B560" t="str">
            <v>7100922797</v>
          </cell>
          <cell r="C560" t="str">
            <v>G2501-1217</v>
          </cell>
          <cell r="D560" t="str">
            <v>000042944281145781</v>
          </cell>
          <cell r="E560" t="str">
            <v>六角扁螺母</v>
          </cell>
          <cell r="F560" t="str">
            <v>GB54-M12×1.5</v>
          </cell>
          <cell r="G560" t="str">
            <v/>
          </cell>
          <cell r="H560" t="str">
            <v/>
          </cell>
          <cell r="I560" t="str">
            <v>Ct·P</v>
          </cell>
          <cell r="J560" t="str">
            <v>HPb59-1</v>
          </cell>
          <cell r="K560">
            <v>300</v>
          </cell>
          <cell r="L560">
            <v>45737</v>
          </cell>
          <cell r="M560" t="str">
            <v>4-检验完成</v>
          </cell>
        </row>
        <row r="560">
          <cell r="O560">
            <v>0</v>
          </cell>
          <cell r="P560" t="str">
            <v>中国人民解放军第五七〇二工厂(国营四达机械制造公司)</v>
          </cell>
          <cell r="Q560" t="str">
            <v>90</v>
          </cell>
          <cell r="R560">
            <v>45738</v>
          </cell>
        </row>
        <row r="560">
          <cell r="U560" t="str">
            <v>010000772843</v>
          </cell>
          <cell r="V560" t="str">
            <v>HANXIAOLAN</v>
          </cell>
          <cell r="W560" t="str">
            <v/>
          </cell>
          <cell r="X560" t="str">
            <v>CP-108-A</v>
          </cell>
          <cell r="Y560" t="str">
            <v/>
          </cell>
          <cell r="Z560" t="str">
            <v>1915</v>
          </cell>
          <cell r="AA560" t="str">
            <v>1100139474</v>
          </cell>
          <cell r="AB560">
            <v>300</v>
          </cell>
          <cell r="AC560" t="str">
            <v/>
          </cell>
          <cell r="AD560">
            <v>8</v>
          </cell>
          <cell r="AE560" t="str">
            <v>G-100010426-241227-0110</v>
          </cell>
        </row>
        <row r="561">
          <cell r="B561" t="str">
            <v>7100922993</v>
          </cell>
          <cell r="C561" t="str">
            <v>G2408-1506</v>
          </cell>
          <cell r="D561" t="str">
            <v>000042944239014262</v>
          </cell>
          <cell r="E561" t="str">
            <v>十二角头螺栓</v>
          </cell>
          <cell r="F561" t="str">
            <v>ΦBLT1700</v>
          </cell>
          <cell r="G561" t="str">
            <v>-</v>
          </cell>
          <cell r="H561" t="str">
            <v>248-341HB</v>
          </cell>
          <cell r="I561" t="str">
            <v/>
          </cell>
          <cell r="J561" t="str">
            <v>GH2132</v>
          </cell>
          <cell r="K561">
            <v>347</v>
          </cell>
          <cell r="L561">
            <v>45737</v>
          </cell>
          <cell r="M561" t="str">
            <v>4-检验完成</v>
          </cell>
        </row>
        <row r="561">
          <cell r="O561">
            <v>0</v>
          </cell>
          <cell r="P561" t="str">
            <v>中国人民解放军第五七〇二工厂(国营四达机械制造公司)</v>
          </cell>
          <cell r="Q561" t="str">
            <v>560</v>
          </cell>
          <cell r="R561">
            <v>45739</v>
          </cell>
        </row>
        <row r="561">
          <cell r="U561" t="str">
            <v>010000729019</v>
          </cell>
          <cell r="V561" t="str">
            <v>PANQIFANG</v>
          </cell>
          <cell r="W561" t="str">
            <v/>
          </cell>
          <cell r="X561" t="str">
            <v>CP-108-A</v>
          </cell>
          <cell r="Y561" t="str">
            <v/>
          </cell>
          <cell r="Z561" t="str">
            <v>1915</v>
          </cell>
          <cell r="AA561" t="str">
            <v>1100139465</v>
          </cell>
          <cell r="AB561">
            <v>400</v>
          </cell>
          <cell r="AC561" t="str">
            <v/>
          </cell>
          <cell r="AD561">
            <v>36</v>
          </cell>
          <cell r="AE561" t="str">
            <v>G-100010426-241228-0112</v>
          </cell>
        </row>
        <row r="562">
          <cell r="B562" t="str">
            <v>7100923586</v>
          </cell>
          <cell r="C562" t="str">
            <v>G2405-0197</v>
          </cell>
          <cell r="D562" t="str">
            <v>000042944999045512</v>
          </cell>
          <cell r="E562" t="str">
            <v>快卸环</v>
          </cell>
          <cell r="F562" t="str">
            <v>44-03-162</v>
          </cell>
          <cell r="G562" t="str">
            <v>-</v>
          </cell>
          <cell r="H562" t="str">
            <v>退火</v>
          </cell>
          <cell r="I562" t="str">
            <v/>
          </cell>
          <cell r="J562" t="str">
            <v>TC2</v>
          </cell>
          <cell r="K562">
            <v>2</v>
          </cell>
          <cell r="L562">
            <v>45738</v>
          </cell>
          <cell r="M562" t="str">
            <v>4-检验完成</v>
          </cell>
        </row>
        <row r="562">
          <cell r="O562">
            <v>0</v>
          </cell>
          <cell r="P562" t="str">
            <v>中国人民解放军第五七〇二工厂(国营四达机械制造公司)</v>
          </cell>
          <cell r="Q562" t="str">
            <v>30</v>
          </cell>
          <cell r="R562">
            <v>45739</v>
          </cell>
        </row>
        <row r="562">
          <cell r="U562" t="str">
            <v>010000697655</v>
          </cell>
          <cell r="V562" t="str">
            <v>HANXIAOLAN</v>
          </cell>
          <cell r="W562" t="str">
            <v/>
          </cell>
          <cell r="X562" t="str">
            <v>CP-108-A</v>
          </cell>
          <cell r="Y562" t="str">
            <v/>
          </cell>
          <cell r="Z562" t="str">
            <v>1915</v>
          </cell>
          <cell r="AA562" t="str">
            <v>1100132498</v>
          </cell>
          <cell r="AB562">
            <v>2</v>
          </cell>
          <cell r="AC562" t="str">
            <v/>
          </cell>
          <cell r="AD562">
            <v>8559</v>
          </cell>
          <cell r="AE562" t="str">
            <v>G-100010426-240731-0054</v>
          </cell>
        </row>
        <row r="563">
          <cell r="B563" t="str">
            <v>7100923587</v>
          </cell>
          <cell r="C563" t="str">
            <v>G2405-0197</v>
          </cell>
          <cell r="D563" t="str">
            <v>000042944999045512</v>
          </cell>
          <cell r="E563" t="str">
            <v>快卸环</v>
          </cell>
          <cell r="F563" t="str">
            <v>44-03-162</v>
          </cell>
          <cell r="G563" t="str">
            <v>-</v>
          </cell>
          <cell r="H563" t="str">
            <v>退火</v>
          </cell>
          <cell r="I563" t="str">
            <v/>
          </cell>
          <cell r="J563" t="str">
            <v>TC2</v>
          </cell>
          <cell r="K563">
            <v>26</v>
          </cell>
          <cell r="L563">
            <v>45738</v>
          </cell>
          <cell r="M563" t="str">
            <v>4-检验完成</v>
          </cell>
        </row>
        <row r="563">
          <cell r="O563">
            <v>0</v>
          </cell>
          <cell r="P563" t="str">
            <v>中国人民解放军第五七〇二工厂(国营四达机械制造公司)</v>
          </cell>
          <cell r="Q563" t="str">
            <v>20</v>
          </cell>
          <cell r="R563">
            <v>45740</v>
          </cell>
        </row>
        <row r="563">
          <cell r="U563" t="str">
            <v>010000697655</v>
          </cell>
          <cell r="V563" t="str">
            <v>HANXIAOLAN</v>
          </cell>
          <cell r="W563" t="str">
            <v/>
          </cell>
          <cell r="X563" t="str">
            <v>CP-108-A</v>
          </cell>
          <cell r="Y563" t="str">
            <v/>
          </cell>
          <cell r="Z563" t="str">
            <v>1915</v>
          </cell>
          <cell r="AA563" t="str">
            <v>1100135972</v>
          </cell>
          <cell r="AB563">
            <v>28</v>
          </cell>
          <cell r="AC563" t="str">
            <v/>
          </cell>
          <cell r="AD563">
            <v>8559</v>
          </cell>
          <cell r="AE563" t="str">
            <v>G-100010426-241024-0081</v>
          </cell>
        </row>
        <row r="564">
          <cell r="B564" t="str">
            <v>7100923882</v>
          </cell>
          <cell r="C564" t="str">
            <v>G2412-2815</v>
          </cell>
          <cell r="D564" t="str">
            <v>000036200000072436</v>
          </cell>
          <cell r="E564" t="str">
            <v>密封圈</v>
          </cell>
          <cell r="F564" t="str">
            <v>2267A-9</v>
          </cell>
          <cell r="G564" t="str">
            <v>-</v>
          </cell>
          <cell r="H564" t="str">
            <v/>
          </cell>
          <cell r="I564" t="str">
            <v/>
          </cell>
          <cell r="J564" t="str">
            <v>FX-4</v>
          </cell>
          <cell r="K564">
            <v>870</v>
          </cell>
          <cell r="L564">
            <v>45739</v>
          </cell>
          <cell r="M564" t="str">
            <v>3-配货完成</v>
          </cell>
        </row>
        <row r="564">
          <cell r="O564">
            <v>0</v>
          </cell>
          <cell r="P564" t="str">
            <v>中国人民解放军第五七〇二工厂(国营四达机械制造公司)</v>
          </cell>
          <cell r="Q564" t="str">
            <v>90</v>
          </cell>
        </row>
        <row r="564">
          <cell r="U564" t="str">
            <v>010000766380</v>
          </cell>
          <cell r="V564" t="str">
            <v>PANMINGTAO</v>
          </cell>
          <cell r="W564" t="str">
            <v/>
          </cell>
          <cell r="X564" t="str">
            <v>XC-1-1-10</v>
          </cell>
          <cell r="Y564" t="str">
            <v/>
          </cell>
          <cell r="Z564" t="str">
            <v>1915</v>
          </cell>
          <cell r="AA564" t="str">
            <v>1100139096</v>
          </cell>
          <cell r="AB564">
            <v>870</v>
          </cell>
          <cell r="AC564" t="str">
            <v/>
          </cell>
          <cell r="AD564">
            <v>15</v>
          </cell>
          <cell r="AE564" t="str">
            <v>G-100010426-241221-0096</v>
          </cell>
        </row>
        <row r="565">
          <cell r="B565" t="str">
            <v>7100923882</v>
          </cell>
          <cell r="C565" t="str">
            <v>G2412-2911</v>
          </cell>
          <cell r="D565" t="str">
            <v>000036200000125033</v>
          </cell>
          <cell r="E565" t="str">
            <v>密封圈</v>
          </cell>
          <cell r="F565" t="str">
            <v>5128A-179-51-1434</v>
          </cell>
          <cell r="G565" t="str">
            <v>-</v>
          </cell>
          <cell r="H565" t="str">
            <v/>
          </cell>
          <cell r="I565" t="str">
            <v/>
          </cell>
          <cell r="J565" t="str">
            <v>FS6265</v>
          </cell>
          <cell r="K565">
            <v>30</v>
          </cell>
          <cell r="L565">
            <v>45739</v>
          </cell>
          <cell r="M565" t="str">
            <v>3-配货完成</v>
          </cell>
        </row>
        <row r="565">
          <cell r="O565">
            <v>0</v>
          </cell>
          <cell r="P565" t="str">
            <v>中国人民解放军第五七〇二工厂(国营四达机械制造公司)</v>
          </cell>
          <cell r="Q565" t="str">
            <v>1110</v>
          </cell>
        </row>
        <row r="565">
          <cell r="U565" t="str">
            <v>010000766506</v>
          </cell>
          <cell r="V565" t="str">
            <v>PANMINGTAO</v>
          </cell>
          <cell r="W565" t="str">
            <v/>
          </cell>
          <cell r="X565" t="str">
            <v>XC-1-1-10</v>
          </cell>
          <cell r="Y565" t="str">
            <v/>
          </cell>
          <cell r="Z565" t="str">
            <v>1915</v>
          </cell>
          <cell r="AA565" t="str">
            <v>1100139096</v>
          </cell>
          <cell r="AB565">
            <v>30</v>
          </cell>
          <cell r="AC565" t="str">
            <v/>
          </cell>
          <cell r="AD565">
            <v>14</v>
          </cell>
          <cell r="AE565" t="str">
            <v>G-100010426-241221-0096</v>
          </cell>
        </row>
        <row r="566">
          <cell r="B566" t="str">
            <v>7100923882</v>
          </cell>
          <cell r="C566" t="str">
            <v>G2412-2915</v>
          </cell>
          <cell r="D566" t="str">
            <v>000036200000125037</v>
          </cell>
          <cell r="E566" t="str">
            <v>密封圈</v>
          </cell>
          <cell r="F566" t="str">
            <v>5128A-158-51-1434</v>
          </cell>
          <cell r="G566" t="str">
            <v>-</v>
          </cell>
          <cell r="H566" t="str">
            <v/>
          </cell>
          <cell r="I566" t="str">
            <v/>
          </cell>
          <cell r="J566" t="str">
            <v>FS6265</v>
          </cell>
          <cell r="K566">
            <v>10</v>
          </cell>
          <cell r="L566">
            <v>45739</v>
          </cell>
          <cell r="M566" t="str">
            <v>3-配货完成</v>
          </cell>
        </row>
        <row r="566">
          <cell r="O566">
            <v>0</v>
          </cell>
          <cell r="P566" t="str">
            <v>中国人民解放军第五七〇二工厂(国营四达机械制造公司)</v>
          </cell>
          <cell r="Q566" t="str">
            <v>1200</v>
          </cell>
        </row>
        <row r="566">
          <cell r="U566" t="str">
            <v>010000766510</v>
          </cell>
          <cell r="V566" t="str">
            <v>PANMINGTAO</v>
          </cell>
          <cell r="W566" t="str">
            <v/>
          </cell>
          <cell r="X566" t="str">
            <v>XC-1-1-10</v>
          </cell>
          <cell r="Y566" t="str">
            <v/>
          </cell>
          <cell r="Z566" t="str">
            <v>1915</v>
          </cell>
          <cell r="AA566" t="str">
            <v>1100139096</v>
          </cell>
          <cell r="AB566">
            <v>10</v>
          </cell>
          <cell r="AC566" t="str">
            <v/>
          </cell>
          <cell r="AD566">
            <v>21</v>
          </cell>
          <cell r="AE566" t="str">
            <v>G-100010426-241221-0096</v>
          </cell>
        </row>
        <row r="567">
          <cell r="B567" t="str">
            <v>7100923905</v>
          </cell>
          <cell r="C567" t="str">
            <v>G2412-3487</v>
          </cell>
          <cell r="D567" t="str">
            <v>000036200000000687</v>
          </cell>
          <cell r="E567" t="str">
            <v>圆截面橡胶圈密封结构</v>
          </cell>
          <cell r="F567" t="str">
            <v>HB4-57J1-1987</v>
          </cell>
          <cell r="G567" t="str">
            <v>16</v>
          </cell>
          <cell r="H567" t="str">
            <v/>
          </cell>
          <cell r="I567" t="str">
            <v/>
          </cell>
          <cell r="J567" t="str">
            <v>试5171</v>
          </cell>
          <cell r="K567">
            <v>100</v>
          </cell>
          <cell r="L567">
            <v>45739</v>
          </cell>
          <cell r="M567" t="str">
            <v>3-配货完成</v>
          </cell>
        </row>
        <row r="567">
          <cell r="O567">
            <v>0</v>
          </cell>
          <cell r="P567" t="str">
            <v>中国人民解放军第五七〇二工厂(国营四达机械制造公司)</v>
          </cell>
          <cell r="Q567" t="str">
            <v>140</v>
          </cell>
        </row>
        <row r="567">
          <cell r="U567" t="str">
            <v>010000767882</v>
          </cell>
          <cell r="V567" t="str">
            <v>PANMINGTAO</v>
          </cell>
          <cell r="W567" t="str">
            <v/>
          </cell>
          <cell r="X567" t="str">
            <v>XC-1-1-10</v>
          </cell>
          <cell r="Y567" t="str">
            <v/>
          </cell>
          <cell r="Z567" t="str">
            <v>1915</v>
          </cell>
          <cell r="AA567" t="str">
            <v>1100139295</v>
          </cell>
          <cell r="AB567">
            <v>100</v>
          </cell>
          <cell r="AC567" t="str">
            <v/>
          </cell>
          <cell r="AD567">
            <v>15</v>
          </cell>
          <cell r="AE567" t="str">
            <v>G-100010426-241226-0102</v>
          </cell>
        </row>
        <row r="568">
          <cell r="B568" t="str">
            <v>7100924010</v>
          </cell>
          <cell r="C568" t="str">
            <v>G2412-3125</v>
          </cell>
          <cell r="D568" t="str">
            <v>000042944201112354</v>
          </cell>
          <cell r="E568" t="str">
            <v>光杆公差带f9六角头螺栓</v>
          </cell>
          <cell r="F568" t="str">
            <v>Q/4A1-6-5×14</v>
          </cell>
          <cell r="G568" t="str">
            <v/>
          </cell>
          <cell r="H568" t="str">
            <v>σb=1175±100MPa</v>
          </cell>
          <cell r="I568" t="str">
            <v>D·Cd·D</v>
          </cell>
          <cell r="J568" t="str">
            <v>ML30CrMnSiA</v>
          </cell>
          <cell r="K568">
            <v>8</v>
          </cell>
          <cell r="L568">
            <v>45739</v>
          </cell>
          <cell r="M568" t="str">
            <v>4-检验完成</v>
          </cell>
        </row>
        <row r="568">
          <cell r="O568">
            <v>0</v>
          </cell>
          <cell r="P568" t="str">
            <v>中国人民解放军第五七〇二工厂(国营四达机械制造公司)</v>
          </cell>
          <cell r="Q568" t="str">
            <v>890</v>
          </cell>
          <cell r="R568">
            <v>45740</v>
          </cell>
        </row>
        <row r="568">
          <cell r="U568" t="str">
            <v>010000766859</v>
          </cell>
          <cell r="V568" t="str">
            <v>LIZHIFENG</v>
          </cell>
          <cell r="W568" t="str">
            <v/>
          </cell>
          <cell r="X568" t="str">
            <v>CP-108-A</v>
          </cell>
          <cell r="Y568" t="str">
            <v/>
          </cell>
          <cell r="Z568" t="str">
            <v>1915</v>
          </cell>
          <cell r="AA568" t="str">
            <v>1100139094</v>
          </cell>
          <cell r="AB568">
            <v>50</v>
          </cell>
          <cell r="AC568" t="str">
            <v/>
          </cell>
          <cell r="AD568">
            <v>5</v>
          </cell>
          <cell r="AE568" t="str">
            <v>G-100010426-241221-0094</v>
          </cell>
        </row>
        <row r="569">
          <cell r="B569" t="str">
            <v>7100924146</v>
          </cell>
          <cell r="C569" t="str">
            <v>G2410-1110</v>
          </cell>
          <cell r="D569" t="str">
            <v>000042944281141586</v>
          </cell>
          <cell r="E569" t="str">
            <v>六角扁螺母</v>
          </cell>
          <cell r="F569" t="str">
            <v>GB54-M8×1</v>
          </cell>
          <cell r="G569" t="str">
            <v/>
          </cell>
          <cell r="H569" t="str">
            <v/>
          </cell>
          <cell r="I569" t="str">
            <v>Ep·Zn·c2C</v>
          </cell>
          <cell r="J569" t="str">
            <v>45A</v>
          </cell>
          <cell r="K569">
            <v>12</v>
          </cell>
          <cell r="L569">
            <v>45740</v>
          </cell>
          <cell r="M569" t="str">
            <v>3-配货完成</v>
          </cell>
        </row>
        <row r="569">
          <cell r="O569">
            <v>0</v>
          </cell>
          <cell r="P569" t="str">
            <v>中国人民解放军第五七〇二工厂(国营四达机械制造公司)</v>
          </cell>
          <cell r="Q569" t="str">
            <v>10</v>
          </cell>
        </row>
        <row r="569">
          <cell r="U569" t="str">
            <v>010000741923</v>
          </cell>
          <cell r="V569" t="str">
            <v>PANQIFANG</v>
          </cell>
          <cell r="W569" t="str">
            <v/>
          </cell>
          <cell r="X569" t="str">
            <v>CP-108-A</v>
          </cell>
          <cell r="Y569" t="str">
            <v/>
          </cell>
          <cell r="Z569" t="str">
            <v>1915</v>
          </cell>
          <cell r="AA569" t="str">
            <v>1100134692</v>
          </cell>
          <cell r="AB569">
            <v>12</v>
          </cell>
          <cell r="AC569" t="str">
            <v/>
          </cell>
          <cell r="AD569">
            <v>26</v>
          </cell>
          <cell r="AE569" t="str">
            <v>G-100010426-240920-0070</v>
          </cell>
        </row>
        <row r="570">
          <cell r="B570" t="str">
            <v>7100924349</v>
          </cell>
          <cell r="C570" t="str">
            <v>G2412-2869</v>
          </cell>
          <cell r="D570" t="str">
            <v>000042944000001663</v>
          </cell>
          <cell r="E570" t="str">
            <v>不锈钢带卡箍</v>
          </cell>
          <cell r="F570" t="str">
            <v>HB3-30-53</v>
          </cell>
          <cell r="G570" t="str">
            <v/>
          </cell>
          <cell r="H570" t="str">
            <v/>
          </cell>
          <cell r="I570" t="str">
            <v/>
          </cell>
          <cell r="J570" t="str">
            <v>组件</v>
          </cell>
          <cell r="K570">
            <v>39</v>
          </cell>
          <cell r="L570">
            <v>45740</v>
          </cell>
          <cell r="M570" t="str">
            <v>1-已打印</v>
          </cell>
        </row>
        <row r="570">
          <cell r="O570">
            <v>0</v>
          </cell>
          <cell r="P570" t="str">
            <v>中国人民解放军第五七〇二工厂(国营四达机械制造公司)</v>
          </cell>
          <cell r="Q570" t="str">
            <v>700</v>
          </cell>
        </row>
        <row r="570">
          <cell r="U570" t="str">
            <v>010000766423</v>
          </cell>
          <cell r="V570" t="str">
            <v/>
          </cell>
          <cell r="W570" t="str">
            <v/>
          </cell>
          <cell r="X570" t="str">
            <v>CP-108-A</v>
          </cell>
          <cell r="Y570" t="str">
            <v/>
          </cell>
          <cell r="Z570" t="str">
            <v>1915</v>
          </cell>
          <cell r="AA570" t="str">
            <v>1100139094</v>
          </cell>
          <cell r="AB570">
            <v>50</v>
          </cell>
          <cell r="AC570" t="str">
            <v/>
          </cell>
          <cell r="AD570">
            <v>115</v>
          </cell>
          <cell r="AE570" t="str">
            <v>G-100010426-241221-0094</v>
          </cell>
        </row>
        <row r="571">
          <cell r="B571" t="str">
            <v>7100920313</v>
          </cell>
          <cell r="C571" t="str">
            <v>G2501-2592</v>
          </cell>
          <cell r="D571" t="str">
            <v>000042944439145648</v>
          </cell>
          <cell r="E571" t="str">
            <v>垫圈</v>
          </cell>
          <cell r="F571" t="str">
            <v>S18.0.0052</v>
          </cell>
          <cell r="G571" t="str">
            <v>-</v>
          </cell>
          <cell r="H571" t="str">
            <v/>
          </cell>
          <cell r="I571" t="str">
            <v>Ep·Ni3-5</v>
          </cell>
          <cell r="J571" t="str">
            <v>T2</v>
          </cell>
          <cell r="K571">
            <v>6</v>
          </cell>
          <cell r="L571">
            <v>45733</v>
          </cell>
          <cell r="M571" t="str">
            <v>4-检验完成</v>
          </cell>
        </row>
        <row r="571">
          <cell r="O571">
            <v>0</v>
          </cell>
          <cell r="P571" t="str">
            <v>中国人民解放军第五七〇二工厂(国营四达机械制造公司)</v>
          </cell>
          <cell r="Q571" t="str">
            <v>50</v>
          </cell>
          <cell r="R571">
            <v>45733</v>
          </cell>
        </row>
        <row r="571">
          <cell r="U571" t="str">
            <v>010000777741</v>
          </cell>
          <cell r="V571" t="str">
            <v>PANQIFANG</v>
          </cell>
          <cell r="W571" t="str">
            <v/>
          </cell>
          <cell r="X571" t="str">
            <v>CP-108-A</v>
          </cell>
          <cell r="Y571" t="str">
            <v/>
          </cell>
          <cell r="Z571" t="str">
            <v>1915</v>
          </cell>
          <cell r="AA571" t="str">
            <v>1100139360</v>
          </cell>
          <cell r="AB571">
            <v>6</v>
          </cell>
          <cell r="AC571" t="str">
            <v/>
          </cell>
          <cell r="AD571">
            <v>63</v>
          </cell>
          <cell r="AE571" t="str">
            <v>G-100010426-241227-0108</v>
          </cell>
        </row>
        <row r="572">
          <cell r="B572" t="str">
            <v>7100920733</v>
          </cell>
          <cell r="C572" t="str">
            <v>G2412-2977</v>
          </cell>
          <cell r="D572" t="str">
            <v>000042944160046707</v>
          </cell>
          <cell r="E572" t="str">
            <v>半圆头螺钉</v>
          </cell>
          <cell r="F572" t="str">
            <v>HB1-221G-M6×60</v>
          </cell>
          <cell r="G572" t="str">
            <v/>
          </cell>
          <cell r="H572" t="str">
            <v/>
          </cell>
          <cell r="I572" t="str">
            <v>Ep·Zn·c2C</v>
          </cell>
          <cell r="J572" t="str">
            <v>ML25</v>
          </cell>
          <cell r="K572">
            <v>200</v>
          </cell>
          <cell r="L572">
            <v>45733</v>
          </cell>
          <cell r="M572" t="str">
            <v>4-检验完成</v>
          </cell>
        </row>
        <row r="572">
          <cell r="O572">
            <v>0</v>
          </cell>
          <cell r="P572" t="str">
            <v>中国人民解放军第五七〇二工厂(国营四达机械制造公司)</v>
          </cell>
          <cell r="Q572" t="str">
            <v>600</v>
          </cell>
          <cell r="R572">
            <v>45734</v>
          </cell>
        </row>
        <row r="572">
          <cell r="U572" t="str">
            <v>010000766672</v>
          </cell>
          <cell r="V572" t="str">
            <v>LIZHIFENG</v>
          </cell>
          <cell r="W572" t="str">
            <v/>
          </cell>
          <cell r="X572" t="str">
            <v>CP-108-A</v>
          </cell>
          <cell r="Y572" t="str">
            <v/>
          </cell>
          <cell r="Z572" t="str">
            <v>1915</v>
          </cell>
          <cell r="AA572" t="str">
            <v>1100139094</v>
          </cell>
          <cell r="AB572">
            <v>200</v>
          </cell>
          <cell r="AC572" t="str">
            <v/>
          </cell>
          <cell r="AD572">
            <v>2</v>
          </cell>
          <cell r="AE572" t="str">
            <v>G-100010426-241221-0094</v>
          </cell>
        </row>
        <row r="573">
          <cell r="B573" t="str">
            <v>7100920792</v>
          </cell>
          <cell r="C573" t="str">
            <v>G2501-1227</v>
          </cell>
          <cell r="D573" t="str">
            <v>000042944439145644</v>
          </cell>
          <cell r="E573" t="str">
            <v>垫圈</v>
          </cell>
          <cell r="F573" t="str">
            <v>S18.0.0047</v>
          </cell>
          <cell r="G573" t="str">
            <v>-</v>
          </cell>
          <cell r="H573" t="str">
            <v/>
          </cell>
          <cell r="I573" t="str">
            <v>Ep·Ni3-5</v>
          </cell>
          <cell r="J573" t="str">
            <v>T2</v>
          </cell>
          <cell r="K573">
            <v>12</v>
          </cell>
          <cell r="L573">
            <v>45733</v>
          </cell>
          <cell r="M573" t="str">
            <v>4-检验完成</v>
          </cell>
        </row>
        <row r="573">
          <cell r="O573">
            <v>0</v>
          </cell>
          <cell r="P573" t="str">
            <v>中国人民解放军第五七〇二工厂(国营四达机械制造公司)</v>
          </cell>
          <cell r="Q573" t="str">
            <v>10</v>
          </cell>
          <cell r="R573">
            <v>45734</v>
          </cell>
        </row>
        <row r="573">
          <cell r="U573" t="str">
            <v>010000772855</v>
          </cell>
          <cell r="V573" t="str">
            <v>LIZHIFENG</v>
          </cell>
          <cell r="W573" t="str">
            <v/>
          </cell>
          <cell r="X573" t="str">
            <v>CP-108-A</v>
          </cell>
          <cell r="Y573" t="str">
            <v/>
          </cell>
          <cell r="Z573" t="str">
            <v>1915</v>
          </cell>
          <cell r="AA573" t="str">
            <v>1100139360</v>
          </cell>
          <cell r="AB573">
            <v>12</v>
          </cell>
          <cell r="AC573" t="str">
            <v/>
          </cell>
          <cell r="AD573">
            <v>42</v>
          </cell>
          <cell r="AE573" t="str">
            <v>G-100010426-241227-0108</v>
          </cell>
        </row>
        <row r="574">
          <cell r="B574" t="str">
            <v>7100920853</v>
          </cell>
          <cell r="C574" t="str">
            <v>G2411-1815</v>
          </cell>
          <cell r="D574" t="str">
            <v>000042944000031751</v>
          </cell>
          <cell r="E574" t="str">
            <v>扩口式三通管接头</v>
          </cell>
          <cell r="F574" t="str">
            <v>HB4-17G-10</v>
          </cell>
          <cell r="G574" t="str">
            <v/>
          </cell>
          <cell r="H574" t="str">
            <v>正火</v>
          </cell>
          <cell r="I574" t="str">
            <v>Ep·Zn·c2C</v>
          </cell>
          <cell r="J574" t="str">
            <v>45</v>
          </cell>
          <cell r="K574">
            <v>9</v>
          </cell>
          <cell r="L574">
            <v>45734</v>
          </cell>
          <cell r="M574" t="str">
            <v>4-检验完成</v>
          </cell>
        </row>
        <row r="574">
          <cell r="O574">
            <v>0</v>
          </cell>
          <cell r="P574" t="str">
            <v>中国人民解放军第五七〇二工厂(国营四达机械制造公司)</v>
          </cell>
          <cell r="Q574" t="str">
            <v>180</v>
          </cell>
          <cell r="R574">
            <v>45735</v>
          </cell>
        </row>
        <row r="574">
          <cell r="U574" t="str">
            <v>010000752377</v>
          </cell>
          <cell r="V574" t="str">
            <v>LIZHIFENG</v>
          </cell>
          <cell r="W574" t="str">
            <v/>
          </cell>
          <cell r="X574" t="str">
            <v>CP-108-A</v>
          </cell>
          <cell r="Y574" t="str">
            <v/>
          </cell>
          <cell r="Z574" t="str">
            <v>1915</v>
          </cell>
          <cell r="AA574" t="str">
            <v>1100137124</v>
          </cell>
          <cell r="AB574">
            <v>20</v>
          </cell>
          <cell r="AC574" t="str">
            <v/>
          </cell>
          <cell r="AD574">
            <v>130</v>
          </cell>
          <cell r="AE574" t="str">
            <v>G-100010426-241113-0085</v>
          </cell>
        </row>
        <row r="575">
          <cell r="B575" t="str">
            <v>7100921266</v>
          </cell>
          <cell r="C575" t="str">
            <v>G2411-2515</v>
          </cell>
          <cell r="D575" t="str">
            <v>000042944160005051</v>
          </cell>
          <cell r="E575" t="str">
            <v>头部带保险孔的圆柱头螺钉</v>
          </cell>
          <cell r="F575" t="str">
            <v>HB1-203FA-M3×16</v>
          </cell>
          <cell r="G575" t="str">
            <v/>
          </cell>
          <cell r="H575" t="str">
            <v/>
          </cell>
          <cell r="I575" t="str">
            <v>ECP</v>
          </cell>
          <cell r="J575" t="str">
            <v>ML1Cr18Ni9Ti</v>
          </cell>
          <cell r="K575">
            <v>500</v>
          </cell>
          <cell r="L575">
            <v>45734</v>
          </cell>
          <cell r="M575" t="str">
            <v>3-配货完成</v>
          </cell>
        </row>
        <row r="575">
          <cell r="O575">
            <v>0</v>
          </cell>
          <cell r="P575" t="str">
            <v>中国人民解放军第五七〇二工厂(国营四达机械制造公司)</v>
          </cell>
          <cell r="Q575" t="str">
            <v>70</v>
          </cell>
        </row>
        <row r="575">
          <cell r="U575" t="str">
            <v>010000755049</v>
          </cell>
          <cell r="V575" t="str">
            <v>LIZHIFENG</v>
          </cell>
          <cell r="W575" t="str">
            <v/>
          </cell>
          <cell r="X575" t="str">
            <v>CP-108-A</v>
          </cell>
          <cell r="Y575" t="str">
            <v/>
          </cell>
          <cell r="Z575" t="str">
            <v>1915</v>
          </cell>
          <cell r="AA575" t="str">
            <v>1100137124</v>
          </cell>
          <cell r="AB575">
            <v>500</v>
          </cell>
          <cell r="AC575" t="str">
            <v/>
          </cell>
          <cell r="AD575">
            <v>2</v>
          </cell>
          <cell r="AE575" t="str">
            <v>G-100010426-241113-0085</v>
          </cell>
        </row>
        <row r="576">
          <cell r="B576" t="str">
            <v>7100921349</v>
          </cell>
          <cell r="C576" t="str">
            <v>G2412-3445</v>
          </cell>
          <cell r="D576" t="str">
            <v>000042944160009817</v>
          </cell>
          <cell r="E576" t="str">
            <v>半圆头螺钉</v>
          </cell>
          <cell r="F576" t="str">
            <v>HB1-221G-M6×56</v>
          </cell>
          <cell r="G576" t="str">
            <v/>
          </cell>
          <cell r="H576" t="str">
            <v/>
          </cell>
          <cell r="I576" t="str">
            <v>Ep·Zn·c2C</v>
          </cell>
          <cell r="J576" t="str">
            <v>ML25</v>
          </cell>
          <cell r="K576">
            <v>300</v>
          </cell>
          <cell r="L576">
            <v>45734</v>
          </cell>
          <cell r="M576" t="str">
            <v>4-检验完成</v>
          </cell>
        </row>
        <row r="576">
          <cell r="O576">
            <v>0</v>
          </cell>
          <cell r="P576" t="str">
            <v>中国人民解放军第五七〇二工厂(国营四达机械制造公司)</v>
          </cell>
          <cell r="Q576" t="str">
            <v>590</v>
          </cell>
          <cell r="R576">
            <v>45735</v>
          </cell>
        </row>
        <row r="576">
          <cell r="U576" t="str">
            <v>010000767746</v>
          </cell>
          <cell r="V576" t="str">
            <v>LIZHIFENG</v>
          </cell>
          <cell r="W576" t="str">
            <v/>
          </cell>
          <cell r="X576" t="str">
            <v>CP-108-A</v>
          </cell>
          <cell r="Y576" t="str">
            <v/>
          </cell>
          <cell r="Z576" t="str">
            <v>1915</v>
          </cell>
          <cell r="AA576" t="str">
            <v>1100139094</v>
          </cell>
          <cell r="AB576">
            <v>300</v>
          </cell>
          <cell r="AC576" t="str">
            <v/>
          </cell>
          <cell r="AD576">
            <v>2</v>
          </cell>
          <cell r="AE576" t="str">
            <v>G-100010426-241221-0094</v>
          </cell>
        </row>
        <row r="577">
          <cell r="B577" t="str">
            <v>7100921431</v>
          </cell>
          <cell r="C577" t="str">
            <v>G2412-2813</v>
          </cell>
          <cell r="D577" t="str">
            <v>000036200000072433</v>
          </cell>
          <cell r="E577" t="str">
            <v>密封圈</v>
          </cell>
          <cell r="F577" t="str">
            <v>2267A-7</v>
          </cell>
          <cell r="G577" t="str">
            <v>-</v>
          </cell>
          <cell r="H577" t="str">
            <v/>
          </cell>
          <cell r="I577" t="str">
            <v/>
          </cell>
          <cell r="J577" t="str">
            <v>FX-4</v>
          </cell>
          <cell r="K577">
            <v>950</v>
          </cell>
          <cell r="L577">
            <v>45735</v>
          </cell>
          <cell r="M577" t="str">
            <v>4-检验完成</v>
          </cell>
        </row>
        <row r="577">
          <cell r="O577">
            <v>0</v>
          </cell>
          <cell r="P577" t="str">
            <v>中国人民解放军第五七〇二工厂(国营四达机械制造公司)</v>
          </cell>
          <cell r="Q577" t="str">
            <v>150</v>
          </cell>
          <cell r="R577">
            <v>45737</v>
          </cell>
        </row>
        <row r="577">
          <cell r="U577" t="str">
            <v>010000766358</v>
          </cell>
          <cell r="V577" t="str">
            <v>PANMINGTAO</v>
          </cell>
          <cell r="W577" t="str">
            <v/>
          </cell>
          <cell r="X577" t="str">
            <v>XC-1-1-10</v>
          </cell>
          <cell r="Y577" t="str">
            <v/>
          </cell>
          <cell r="Z577" t="str">
            <v>1915</v>
          </cell>
          <cell r="AA577" t="str">
            <v>1100139096</v>
          </cell>
          <cell r="AB577">
            <v>950</v>
          </cell>
          <cell r="AC577" t="str">
            <v/>
          </cell>
          <cell r="AD577">
            <v>15</v>
          </cell>
          <cell r="AE577" t="str">
            <v>G-100010426-241221-0096</v>
          </cell>
        </row>
        <row r="578">
          <cell r="B578" t="str">
            <v>7100921431</v>
          </cell>
          <cell r="C578" t="str">
            <v>G2412-2825</v>
          </cell>
          <cell r="D578" t="str">
            <v>000036200000072455</v>
          </cell>
          <cell r="E578" t="str">
            <v>密封圈</v>
          </cell>
          <cell r="F578" t="str">
            <v>5128A-165-51-1434</v>
          </cell>
          <cell r="G578" t="str">
            <v>-</v>
          </cell>
          <cell r="H578" t="str">
            <v/>
          </cell>
          <cell r="I578" t="str">
            <v/>
          </cell>
          <cell r="J578" t="str">
            <v>FS6265</v>
          </cell>
          <cell r="K578">
            <v>20</v>
          </cell>
          <cell r="L578">
            <v>45735</v>
          </cell>
          <cell r="M578" t="str">
            <v>4-检验完成</v>
          </cell>
        </row>
        <row r="578">
          <cell r="O578">
            <v>0</v>
          </cell>
          <cell r="P578" t="str">
            <v>中国人民解放军第五七〇二工厂(国营四达机械制造公司)</v>
          </cell>
          <cell r="Q578" t="str">
            <v>1150</v>
          </cell>
          <cell r="R578">
            <v>45737</v>
          </cell>
        </row>
        <row r="578">
          <cell r="U578" t="str">
            <v>010000766390</v>
          </cell>
          <cell r="V578" t="str">
            <v>PANMINGTAO</v>
          </cell>
          <cell r="W578" t="str">
            <v/>
          </cell>
          <cell r="X578" t="str">
            <v>XC-1-1-10</v>
          </cell>
          <cell r="Y578" t="str">
            <v/>
          </cell>
          <cell r="Z578" t="str">
            <v>1915</v>
          </cell>
          <cell r="AA578" t="str">
            <v>1100139096</v>
          </cell>
          <cell r="AB578">
            <v>20</v>
          </cell>
          <cell r="AC578" t="str">
            <v/>
          </cell>
          <cell r="AD578">
            <v>20</v>
          </cell>
          <cell r="AE578" t="str">
            <v>G-100010426-241221-0096</v>
          </cell>
        </row>
        <row r="579">
          <cell r="B579" t="str">
            <v>7100921433</v>
          </cell>
          <cell r="C579" t="str">
            <v>G2412-2920</v>
          </cell>
          <cell r="D579" t="str">
            <v>000036200000125044</v>
          </cell>
          <cell r="E579" t="str">
            <v>密封圈</v>
          </cell>
          <cell r="F579" t="str">
            <v>5128A-288-51-1434</v>
          </cell>
          <cell r="G579" t="str">
            <v>-</v>
          </cell>
          <cell r="H579" t="str">
            <v/>
          </cell>
          <cell r="I579" t="str">
            <v/>
          </cell>
          <cell r="J579" t="str">
            <v>FS6265</v>
          </cell>
          <cell r="K579">
            <v>10</v>
          </cell>
          <cell r="L579">
            <v>45735</v>
          </cell>
          <cell r="M579" t="str">
            <v>4-检验完成</v>
          </cell>
        </row>
        <row r="579">
          <cell r="O579">
            <v>0</v>
          </cell>
          <cell r="P579" t="str">
            <v>中国人民解放军第五七〇二工厂(国营四达机械制造公司)</v>
          </cell>
          <cell r="Q579" t="str">
            <v>1170</v>
          </cell>
          <cell r="R579">
            <v>45737</v>
          </cell>
        </row>
        <row r="579">
          <cell r="U579" t="str">
            <v>010000766516</v>
          </cell>
          <cell r="V579" t="str">
            <v>PANMINGTAO</v>
          </cell>
          <cell r="W579" t="str">
            <v/>
          </cell>
          <cell r="X579" t="str">
            <v>XC-1-1-10</v>
          </cell>
          <cell r="Y579" t="str">
            <v/>
          </cell>
          <cell r="Z579" t="str">
            <v>1915</v>
          </cell>
          <cell r="AA579" t="str">
            <v>1100139096</v>
          </cell>
          <cell r="AB579">
            <v>10</v>
          </cell>
          <cell r="AC579" t="str">
            <v/>
          </cell>
          <cell r="AD579">
            <v>21</v>
          </cell>
          <cell r="AE579" t="str">
            <v>G-100010426-241221-0096</v>
          </cell>
        </row>
        <row r="580">
          <cell r="B580" t="str">
            <v>7100921433</v>
          </cell>
          <cell r="C580" t="str">
            <v>G2412-2903</v>
          </cell>
          <cell r="D580" t="str">
            <v>000036200000115042</v>
          </cell>
          <cell r="E580" t="str">
            <v>密封圈</v>
          </cell>
          <cell r="F580" t="str">
            <v>5128A-196-51-1434</v>
          </cell>
          <cell r="G580" t="str">
            <v>-</v>
          </cell>
          <cell r="H580" t="str">
            <v/>
          </cell>
          <cell r="I580" t="str">
            <v/>
          </cell>
          <cell r="J580" t="str">
            <v>FS6265</v>
          </cell>
          <cell r="K580">
            <v>10</v>
          </cell>
          <cell r="L580">
            <v>45735</v>
          </cell>
          <cell r="M580" t="str">
            <v>4-检验完成</v>
          </cell>
        </row>
        <row r="580">
          <cell r="O580">
            <v>0</v>
          </cell>
          <cell r="P580" t="str">
            <v>中国人民解放军第五七〇二工厂(国营四达机械制造公司)</v>
          </cell>
          <cell r="Q580" t="str">
            <v>1230</v>
          </cell>
          <cell r="R580">
            <v>45737</v>
          </cell>
        </row>
        <row r="580">
          <cell r="U580" t="str">
            <v>010000766497</v>
          </cell>
          <cell r="V580" t="str">
            <v>PANMINGTAO</v>
          </cell>
          <cell r="W580" t="str">
            <v/>
          </cell>
          <cell r="X580" t="str">
            <v>XC-1-1-10</v>
          </cell>
          <cell r="Y580" t="str">
            <v/>
          </cell>
          <cell r="Z580" t="str">
            <v>1915</v>
          </cell>
          <cell r="AA580" t="str">
            <v>1100139096</v>
          </cell>
          <cell r="AB580">
            <v>10</v>
          </cell>
          <cell r="AC580" t="str">
            <v/>
          </cell>
          <cell r="AD580">
            <v>25</v>
          </cell>
          <cell r="AE580" t="str">
            <v>G-100010426-241221-0096</v>
          </cell>
        </row>
        <row r="581">
          <cell r="B581" t="str">
            <v>7100921450</v>
          </cell>
          <cell r="C581" t="str">
            <v>G2410-2390</v>
          </cell>
          <cell r="D581" t="str">
            <v>000036200000072373</v>
          </cell>
          <cell r="E581" t="str">
            <v>密封圈</v>
          </cell>
          <cell r="F581" t="str">
            <v>2267A-11</v>
          </cell>
          <cell r="G581" t="str">
            <v>-</v>
          </cell>
          <cell r="H581" t="str">
            <v/>
          </cell>
          <cell r="I581" t="str">
            <v/>
          </cell>
          <cell r="J581" t="str">
            <v>FX-17</v>
          </cell>
          <cell r="K581">
            <v>1500</v>
          </cell>
          <cell r="L581">
            <v>45735</v>
          </cell>
          <cell r="M581" t="str">
            <v>4-检验完成</v>
          </cell>
        </row>
        <row r="581">
          <cell r="O581">
            <v>0</v>
          </cell>
          <cell r="P581" t="str">
            <v>中国人民解放军第五七〇二工厂(国营四达机械制造公司)</v>
          </cell>
          <cell r="Q581" t="str">
            <v>1040</v>
          </cell>
          <cell r="R581">
            <v>45737</v>
          </cell>
        </row>
        <row r="581">
          <cell r="U581" t="str">
            <v>010000745327</v>
          </cell>
          <cell r="V581" t="str">
            <v>PANMINGTAO</v>
          </cell>
          <cell r="W581" t="str">
            <v/>
          </cell>
          <cell r="X581" t="str">
            <v>XC-3-1-6-3</v>
          </cell>
          <cell r="Y581" t="str">
            <v/>
          </cell>
          <cell r="Z581" t="str">
            <v>1915</v>
          </cell>
          <cell r="AA581" t="str">
            <v>1100135916</v>
          </cell>
          <cell r="AB581">
            <v>1500</v>
          </cell>
          <cell r="AC581" t="str">
            <v/>
          </cell>
          <cell r="AD581">
            <v>10</v>
          </cell>
          <cell r="AE581" t="str">
            <v>G-100010426-241023-0076</v>
          </cell>
        </row>
        <row r="582">
          <cell r="B582" t="str">
            <v>7100921458</v>
          </cell>
          <cell r="C582" t="str">
            <v>G2412-2893</v>
          </cell>
          <cell r="D582" t="str">
            <v>000036200000096894</v>
          </cell>
          <cell r="E582" t="str">
            <v>密封圈</v>
          </cell>
          <cell r="F582" t="str">
            <v>5128A-176-51-1434</v>
          </cell>
          <cell r="G582" t="str">
            <v>-</v>
          </cell>
          <cell r="H582" t="str">
            <v/>
          </cell>
          <cell r="I582" t="str">
            <v/>
          </cell>
          <cell r="J582" t="str">
            <v>FS6265</v>
          </cell>
          <cell r="K582">
            <v>10</v>
          </cell>
          <cell r="L582">
            <v>45735</v>
          </cell>
          <cell r="M582" t="str">
            <v>4-检验完成</v>
          </cell>
        </row>
        <row r="582">
          <cell r="O582">
            <v>0</v>
          </cell>
          <cell r="P582" t="str">
            <v>中国人民解放军第五七〇二工厂(国营四达机械制造公司)</v>
          </cell>
          <cell r="Q582" t="str">
            <v>1240</v>
          </cell>
          <cell r="R582">
            <v>45737</v>
          </cell>
        </row>
        <row r="582">
          <cell r="U582" t="str">
            <v>010000766486</v>
          </cell>
          <cell r="V582" t="str">
            <v>PANMINGTAO</v>
          </cell>
          <cell r="W582" t="str">
            <v/>
          </cell>
          <cell r="X582" t="str">
            <v>XC-1-1-10</v>
          </cell>
          <cell r="Y582" t="str">
            <v/>
          </cell>
          <cell r="Z582" t="str">
            <v>1915</v>
          </cell>
          <cell r="AA582" t="str">
            <v>1100139096</v>
          </cell>
          <cell r="AB582">
            <v>10</v>
          </cell>
          <cell r="AC582" t="str">
            <v/>
          </cell>
          <cell r="AD582">
            <v>15</v>
          </cell>
          <cell r="AE582" t="str">
            <v>G-100010426-241221-0096</v>
          </cell>
        </row>
        <row r="583">
          <cell r="B583" t="str">
            <v>7100921704</v>
          </cell>
          <cell r="C583" t="str">
            <v>G2412-3203</v>
          </cell>
          <cell r="D583" t="str">
            <v>000042944000003559</v>
          </cell>
          <cell r="E583" t="str">
            <v>带减轻孔的带垫夹紧卡箍</v>
          </cell>
          <cell r="F583" t="str">
            <v>Q/FAI18-2006</v>
          </cell>
          <cell r="G583" t="str">
            <v>DE6</v>
          </cell>
          <cell r="H583" t="str">
            <v/>
          </cell>
          <cell r="I583" t="str">
            <v/>
          </cell>
          <cell r="J583" t="str">
            <v>组件</v>
          </cell>
          <cell r="K583">
            <v>350</v>
          </cell>
          <cell r="L583">
            <v>45735</v>
          </cell>
          <cell r="M583" t="str">
            <v>4-检验完成</v>
          </cell>
        </row>
        <row r="583">
          <cell r="O583">
            <v>0</v>
          </cell>
          <cell r="P583" t="str">
            <v>中国人民解放军第五七〇二工厂(国营四达机械制造公司)</v>
          </cell>
          <cell r="Q583" t="str">
            <v>350</v>
          </cell>
          <cell r="R583">
            <v>45737</v>
          </cell>
        </row>
        <row r="583">
          <cell r="U583" t="str">
            <v>010000767021</v>
          </cell>
          <cell r="V583" t="str">
            <v>PANMINGTAO</v>
          </cell>
          <cell r="W583" t="str">
            <v/>
          </cell>
          <cell r="X583" t="str">
            <v>XC-1-1-10</v>
          </cell>
          <cell r="Y583" t="str">
            <v/>
          </cell>
          <cell r="Z583" t="str">
            <v>1915</v>
          </cell>
          <cell r="AA583" t="str">
            <v>1100139086</v>
          </cell>
          <cell r="AB583">
            <v>350</v>
          </cell>
          <cell r="AC583" t="str">
            <v/>
          </cell>
          <cell r="AD583">
            <v>40</v>
          </cell>
          <cell r="AE583" t="str">
            <v>G-100010426-241221-0097</v>
          </cell>
        </row>
        <row r="584">
          <cell r="B584" t="str">
            <v>7100945504</v>
          </cell>
          <cell r="C584" t="str">
            <v>G2412-3492</v>
          </cell>
          <cell r="D584" t="str">
            <v>000036200000057124</v>
          </cell>
          <cell r="E584" t="str">
            <v>圆截面橡胶圈密封结构</v>
          </cell>
          <cell r="F584" t="str">
            <v>HB4-56J1-1987</v>
          </cell>
          <cell r="G584" t="str">
            <v>38H</v>
          </cell>
          <cell r="H584" t="str">
            <v/>
          </cell>
          <cell r="I584" t="str">
            <v/>
          </cell>
          <cell r="J584" t="str">
            <v>试5171</v>
          </cell>
          <cell r="K584">
            <v>45</v>
          </cell>
          <cell r="L584">
            <v>45786</v>
          </cell>
          <cell r="M584" t="str">
            <v>1-已打印</v>
          </cell>
        </row>
        <row r="584">
          <cell r="O584">
            <v>0</v>
          </cell>
          <cell r="P584" t="str">
            <v>中国人民解放军第五七〇二工厂(国营四达机械制造公司)</v>
          </cell>
          <cell r="Q584" t="str">
            <v>60</v>
          </cell>
        </row>
        <row r="584">
          <cell r="U584" t="str">
            <v>010000767887</v>
          </cell>
          <cell r="V584" t="str">
            <v/>
          </cell>
          <cell r="W584" t="str">
            <v/>
          </cell>
          <cell r="X584" t="str">
            <v>XC-1-1-10</v>
          </cell>
          <cell r="Y584" t="str">
            <v/>
          </cell>
          <cell r="Z584" t="str">
            <v>1915</v>
          </cell>
          <cell r="AA584" t="str">
            <v>1100139295</v>
          </cell>
          <cell r="AB584">
            <v>45</v>
          </cell>
          <cell r="AC584" t="str">
            <v/>
          </cell>
          <cell r="AD584">
            <v>20</v>
          </cell>
          <cell r="AE584" t="str">
            <v>G-100010426-241226-0102</v>
          </cell>
        </row>
        <row r="585">
          <cell r="B585" t="str">
            <v>7100945423</v>
          </cell>
          <cell r="C585" t="str">
            <v>G02504-229</v>
          </cell>
          <cell r="D585" t="str">
            <v>000042944039048119</v>
          </cell>
          <cell r="E585" t="str">
            <v>锁紧型有折断槽钢丝螺套</v>
          </cell>
          <cell r="F585" t="str">
            <v>HB6200-6×1×7</v>
          </cell>
          <cell r="G585" t="str">
            <v/>
          </cell>
          <cell r="H585" t="str">
            <v/>
          </cell>
          <cell r="I585" t="str">
            <v/>
          </cell>
          <cell r="J585" t="str">
            <v>1Cr18Ni9Ti</v>
          </cell>
          <cell r="K585">
            <v>200</v>
          </cell>
          <cell r="L585">
            <v>45786</v>
          </cell>
          <cell r="M585" t="str">
            <v>3-配货完成</v>
          </cell>
        </row>
        <row r="585">
          <cell r="O585">
            <v>0</v>
          </cell>
          <cell r="P585" t="str">
            <v>中国人民解放军第五七〇二工厂(国营四达机械制造公司)</v>
          </cell>
          <cell r="Q585" t="str">
            <v>190</v>
          </cell>
        </row>
        <row r="585">
          <cell r="U585" t="str">
            <v/>
          </cell>
          <cell r="V585" t="str">
            <v>PANQIFANG</v>
          </cell>
          <cell r="W585" t="str">
            <v/>
          </cell>
          <cell r="X585" t="str">
            <v>XH-000</v>
          </cell>
          <cell r="Y585" t="str">
            <v/>
          </cell>
          <cell r="Z585" t="str">
            <v>1915</v>
          </cell>
          <cell r="AA585" t="str">
            <v>1100144732</v>
          </cell>
          <cell r="AB585">
            <v>200</v>
          </cell>
          <cell r="AC585" t="str">
            <v/>
          </cell>
          <cell r="AD585">
            <v>3</v>
          </cell>
          <cell r="AE585" t="str">
            <v>G-100010426-250406-0013</v>
          </cell>
        </row>
        <row r="586">
          <cell r="B586" t="str">
            <v>7100943699</v>
          </cell>
          <cell r="C586" t="str">
            <v>G2412-3209</v>
          </cell>
          <cell r="D586" t="str">
            <v>000042944000003651</v>
          </cell>
          <cell r="E586" t="str">
            <v>单螺栓侧面固定带减轻孔的带垫夹紧卡箍</v>
          </cell>
          <cell r="F586" t="str">
            <v>Q/FAI19-2006</v>
          </cell>
          <cell r="G586" t="str">
            <v>CG8</v>
          </cell>
          <cell r="H586" t="str">
            <v/>
          </cell>
          <cell r="I586" t="str">
            <v/>
          </cell>
          <cell r="J586" t="str">
            <v>组件</v>
          </cell>
          <cell r="K586">
            <v>131</v>
          </cell>
          <cell r="L586">
            <v>45783</v>
          </cell>
          <cell r="M586" t="str">
            <v>4-检验完成</v>
          </cell>
        </row>
        <row r="586">
          <cell r="O586">
            <v>0</v>
          </cell>
          <cell r="P586" t="str">
            <v>中国人民解放军第五七〇二工厂(国营四达机械制造公司)</v>
          </cell>
          <cell r="Q586" t="str">
            <v>90</v>
          </cell>
          <cell r="R586">
            <v>45784</v>
          </cell>
        </row>
        <row r="586">
          <cell r="U586" t="str">
            <v>010000767027</v>
          </cell>
          <cell r="V586" t="str">
            <v>PANMINGTAO</v>
          </cell>
          <cell r="W586" t="str">
            <v/>
          </cell>
          <cell r="X586" t="str">
            <v>XC-1-1-10</v>
          </cell>
          <cell r="Y586" t="str">
            <v/>
          </cell>
          <cell r="Z586" t="str">
            <v>1915</v>
          </cell>
          <cell r="AA586" t="str">
            <v>1100139086</v>
          </cell>
          <cell r="AB586">
            <v>131</v>
          </cell>
          <cell r="AC586" t="str">
            <v/>
          </cell>
          <cell r="AD586">
            <v>46</v>
          </cell>
          <cell r="AE586" t="str">
            <v>G-100010426-241221-0097</v>
          </cell>
        </row>
        <row r="587">
          <cell r="B587" t="str">
            <v>7100942622</v>
          </cell>
          <cell r="C587" t="str">
            <v>G2501-1592</v>
          </cell>
          <cell r="D587" t="str">
            <v>000042944999045512</v>
          </cell>
          <cell r="E587" t="str">
            <v>快卸环</v>
          </cell>
          <cell r="F587" t="str">
            <v>44-03-162</v>
          </cell>
          <cell r="G587" t="str">
            <v>-</v>
          </cell>
          <cell r="H587" t="str">
            <v>退火</v>
          </cell>
          <cell r="I587" t="str">
            <v/>
          </cell>
          <cell r="J587" t="str">
            <v>TC2</v>
          </cell>
          <cell r="K587">
            <v>18</v>
          </cell>
          <cell r="L587">
            <v>45777</v>
          </cell>
          <cell r="M587" t="str">
            <v>4-检验完成</v>
          </cell>
        </row>
        <row r="587">
          <cell r="O587">
            <v>0</v>
          </cell>
          <cell r="P587" t="str">
            <v>中国人民解放军第五七〇二工厂(国营四达机械制造公司)</v>
          </cell>
          <cell r="Q587" t="str">
            <v>40</v>
          </cell>
          <cell r="R587">
            <v>45784</v>
          </cell>
        </row>
        <row r="587">
          <cell r="U587" t="str">
            <v>010000774268</v>
          </cell>
          <cell r="V587" t="str">
            <v>PANQIFANG</v>
          </cell>
          <cell r="W587" t="str">
            <v/>
          </cell>
          <cell r="X587" t="str">
            <v>CP-108-A</v>
          </cell>
          <cell r="Y587" t="str">
            <v/>
          </cell>
          <cell r="Z587" t="str">
            <v>1915</v>
          </cell>
          <cell r="AA587" t="str">
            <v>1100139094</v>
          </cell>
          <cell r="AB587">
            <v>30</v>
          </cell>
          <cell r="AC587" t="str">
            <v/>
          </cell>
          <cell r="AD587">
            <v>8559</v>
          </cell>
          <cell r="AE587" t="str">
            <v>G-100010426-241221-0094</v>
          </cell>
        </row>
        <row r="588">
          <cell r="B588" t="str">
            <v>7100942194</v>
          </cell>
          <cell r="C588" t="str">
            <v>G2412-2753</v>
          </cell>
          <cell r="D588" t="str">
            <v>000036200000001327</v>
          </cell>
          <cell r="E588" t="str">
            <v>橡胶垫</v>
          </cell>
          <cell r="F588" t="str">
            <v>Q/FAI21-2006</v>
          </cell>
          <cell r="G588" t="str">
            <v>G340B-Ⅱ</v>
          </cell>
          <cell r="H588" t="str">
            <v/>
          </cell>
          <cell r="I588" t="str">
            <v/>
          </cell>
          <cell r="J588" t="str">
            <v>CR41070</v>
          </cell>
          <cell r="K588">
            <v>250</v>
          </cell>
          <cell r="L588">
            <v>45776</v>
          </cell>
          <cell r="M588" t="str">
            <v>4-检验完成</v>
          </cell>
        </row>
        <row r="588">
          <cell r="O588">
            <v>0</v>
          </cell>
          <cell r="P588" t="str">
            <v>中国人民解放军第五七〇二工厂(国营四达机械制造公司)</v>
          </cell>
          <cell r="Q588" t="str">
            <v>100</v>
          </cell>
          <cell r="R588">
            <v>45784</v>
          </cell>
        </row>
        <row r="588">
          <cell r="U588" t="str">
            <v>010000766273</v>
          </cell>
          <cell r="V588" t="str">
            <v>PANMINGTAO</v>
          </cell>
          <cell r="W588" t="str">
            <v/>
          </cell>
          <cell r="X588" t="str">
            <v>XC-1-1-10</v>
          </cell>
          <cell r="Y588" t="str">
            <v/>
          </cell>
          <cell r="Z588" t="str">
            <v>1915</v>
          </cell>
          <cell r="AA588" t="str">
            <v>1100139086</v>
          </cell>
          <cell r="AB588">
            <v>250</v>
          </cell>
          <cell r="AC588" t="str">
            <v/>
          </cell>
          <cell r="AD588">
            <v>75</v>
          </cell>
          <cell r="AE588" t="str">
            <v>G-100010426-241221-0097</v>
          </cell>
        </row>
        <row r="589">
          <cell r="B589" t="str">
            <v>7100942193</v>
          </cell>
          <cell r="C589" t="str">
            <v>G2412-2751</v>
          </cell>
          <cell r="D589" t="str">
            <v>000036200000001320</v>
          </cell>
          <cell r="E589" t="str">
            <v>橡胶垫</v>
          </cell>
          <cell r="F589" t="str">
            <v>Q/FAI21-2006</v>
          </cell>
          <cell r="G589" t="str">
            <v>F340B-Ⅱ</v>
          </cell>
          <cell r="H589" t="str">
            <v/>
          </cell>
          <cell r="I589" t="str">
            <v/>
          </cell>
          <cell r="J589" t="str">
            <v>NBR56070</v>
          </cell>
          <cell r="K589">
            <v>1300</v>
          </cell>
          <cell r="L589">
            <v>45776</v>
          </cell>
          <cell r="M589" t="str">
            <v>4-检验完成</v>
          </cell>
        </row>
        <row r="589">
          <cell r="O589">
            <v>0</v>
          </cell>
          <cell r="P589" t="str">
            <v>中国人民解放军第五七〇二工厂(国营四达机械制造公司)</v>
          </cell>
          <cell r="Q589" t="str">
            <v>130</v>
          </cell>
          <cell r="R589">
            <v>45784</v>
          </cell>
        </row>
        <row r="589">
          <cell r="U589" t="str">
            <v>010000766271</v>
          </cell>
          <cell r="V589" t="str">
            <v>PANMINGTAO</v>
          </cell>
          <cell r="W589" t="str">
            <v/>
          </cell>
          <cell r="X589" t="str">
            <v>XC-1-1-10</v>
          </cell>
          <cell r="Y589" t="str">
            <v/>
          </cell>
          <cell r="Z589" t="str">
            <v>1915</v>
          </cell>
          <cell r="AA589" t="str">
            <v>1100139086</v>
          </cell>
          <cell r="AB589">
            <v>1300</v>
          </cell>
          <cell r="AC589" t="str">
            <v/>
          </cell>
          <cell r="AD589">
            <v>75</v>
          </cell>
          <cell r="AE589" t="str">
            <v>G-100010426-241221-0097</v>
          </cell>
        </row>
        <row r="590">
          <cell r="B590" t="str">
            <v>7100942173</v>
          </cell>
          <cell r="C590" t="str">
            <v>G2412-2846</v>
          </cell>
          <cell r="D590" t="str">
            <v>000036200000088152</v>
          </cell>
          <cell r="E590" t="str">
            <v>密封圈</v>
          </cell>
          <cell r="F590" t="str">
            <v>2262A-171-2</v>
          </cell>
          <cell r="G590" t="str">
            <v>-</v>
          </cell>
          <cell r="H590" t="str">
            <v/>
          </cell>
          <cell r="I590" t="str">
            <v/>
          </cell>
          <cell r="J590" t="str">
            <v>5080</v>
          </cell>
          <cell r="K590">
            <v>1100</v>
          </cell>
          <cell r="L590">
            <v>45776</v>
          </cell>
          <cell r="M590" t="str">
            <v>4-检验完成</v>
          </cell>
        </row>
        <row r="590">
          <cell r="O590">
            <v>0</v>
          </cell>
          <cell r="P590" t="str">
            <v>中国人民解放军第五七〇二工厂(国营四达机械制造公司)</v>
          </cell>
          <cell r="Q590" t="str">
            <v>220</v>
          </cell>
          <cell r="R590">
            <v>45785</v>
          </cell>
        </row>
        <row r="590">
          <cell r="U590" t="str">
            <v>010000766411</v>
          </cell>
          <cell r="V590" t="str">
            <v>PANMINGTAO</v>
          </cell>
          <cell r="W590" t="str">
            <v/>
          </cell>
          <cell r="X590" t="str">
            <v>XC-1-1-10</v>
          </cell>
          <cell r="Y590" t="str">
            <v/>
          </cell>
          <cell r="Z590" t="str">
            <v>1915</v>
          </cell>
          <cell r="AA590" t="str">
            <v>1100139096</v>
          </cell>
          <cell r="AB590">
            <v>1100</v>
          </cell>
          <cell r="AC590" t="str">
            <v/>
          </cell>
          <cell r="AD590">
            <v>8</v>
          </cell>
          <cell r="AE590" t="str">
            <v>G-100010426-241221-0096</v>
          </cell>
        </row>
        <row r="591">
          <cell r="B591" t="str">
            <v>7100937491</v>
          </cell>
          <cell r="C591" t="str">
            <v>G2402-1465</v>
          </cell>
          <cell r="D591" t="str">
            <v>000042944000093351</v>
          </cell>
          <cell r="E591" t="str">
            <v>卡箍</v>
          </cell>
          <cell r="F591" t="str">
            <v>H6K-7603-025</v>
          </cell>
          <cell r="G591" t="str">
            <v>-</v>
          </cell>
          <cell r="H591" t="str">
            <v/>
          </cell>
          <cell r="I591" t="str">
            <v/>
          </cell>
          <cell r="J591" t="str">
            <v>组件</v>
          </cell>
          <cell r="K591">
            <v>10</v>
          </cell>
          <cell r="L591">
            <v>45768</v>
          </cell>
          <cell r="M591" t="str">
            <v>4-检验完成</v>
          </cell>
        </row>
        <row r="591">
          <cell r="O591">
            <v>0</v>
          </cell>
          <cell r="P591" t="str">
            <v>中国人民解放军第五七〇二工厂(国营四达机械制造公司)</v>
          </cell>
          <cell r="Q591" t="str">
            <v>10</v>
          </cell>
          <cell r="R591">
            <v>45772</v>
          </cell>
        </row>
        <row r="591">
          <cell r="U591" t="str">
            <v>010000675896</v>
          </cell>
          <cell r="V591" t="str">
            <v>PANQIFANG</v>
          </cell>
          <cell r="W591" t="str">
            <v/>
          </cell>
          <cell r="X591" t="str">
            <v>CP-108-A</v>
          </cell>
          <cell r="Y591" t="str">
            <v/>
          </cell>
          <cell r="Z591" t="str">
            <v>1915</v>
          </cell>
          <cell r="AA591" t="str">
            <v>1100145684</v>
          </cell>
          <cell r="AB591">
            <v>50</v>
          </cell>
          <cell r="AC591" t="str">
            <v/>
          </cell>
          <cell r="AD591">
            <v>9000</v>
          </cell>
          <cell r="AE591" t="str">
            <v>G-100010426-250418-0014</v>
          </cell>
        </row>
        <row r="592">
          <cell r="B592" t="str">
            <v>7100937491</v>
          </cell>
          <cell r="C592" t="str">
            <v>G2406-1677</v>
          </cell>
          <cell r="D592" t="str">
            <v>000042944000093351</v>
          </cell>
          <cell r="E592" t="str">
            <v>卡箍</v>
          </cell>
          <cell r="F592" t="str">
            <v>H6K-7603-025</v>
          </cell>
          <cell r="G592" t="str">
            <v>-</v>
          </cell>
          <cell r="H592" t="str">
            <v/>
          </cell>
          <cell r="I592" t="str">
            <v/>
          </cell>
          <cell r="J592" t="str">
            <v>组件</v>
          </cell>
          <cell r="K592">
            <v>34</v>
          </cell>
          <cell r="L592">
            <v>45768</v>
          </cell>
          <cell r="M592" t="str">
            <v>4-检验完成</v>
          </cell>
        </row>
        <row r="592">
          <cell r="O592">
            <v>0</v>
          </cell>
          <cell r="P592" t="str">
            <v>中国人民解放军第五七〇二工厂(国营四达机械制造公司)</v>
          </cell>
          <cell r="Q592" t="str">
            <v>10</v>
          </cell>
          <cell r="R592">
            <v>45772</v>
          </cell>
        </row>
        <row r="592">
          <cell r="U592" t="str">
            <v>010000712361</v>
          </cell>
          <cell r="V592" t="str">
            <v>PANQIFANG</v>
          </cell>
          <cell r="W592" t="str">
            <v/>
          </cell>
          <cell r="X592" t="str">
            <v>CP-108-A</v>
          </cell>
          <cell r="Y592" t="str">
            <v/>
          </cell>
          <cell r="Z592" t="str">
            <v>1915</v>
          </cell>
          <cell r="AA592" t="str">
            <v>1100145684</v>
          </cell>
          <cell r="AB592">
            <v>50</v>
          </cell>
          <cell r="AC592" t="str">
            <v/>
          </cell>
          <cell r="AD592">
            <v>9000</v>
          </cell>
          <cell r="AE592" t="str">
            <v>G-100010426-250418-0014</v>
          </cell>
        </row>
        <row r="593">
          <cell r="B593" t="str">
            <v>7100885962</v>
          </cell>
          <cell r="C593" t="str">
            <v>G2402-1465</v>
          </cell>
          <cell r="D593" t="str">
            <v>000042944000093351</v>
          </cell>
          <cell r="E593" t="str">
            <v>卡箍</v>
          </cell>
          <cell r="F593" t="str">
            <v>H6K-7603-025</v>
          </cell>
          <cell r="G593" t="str">
            <v>-</v>
          </cell>
          <cell r="H593" t="str">
            <v/>
          </cell>
          <cell r="I593" t="str">
            <v/>
          </cell>
          <cell r="J593" t="str">
            <v>组件</v>
          </cell>
          <cell r="K593">
            <v>21</v>
          </cell>
          <cell r="L593">
            <v>45638</v>
          </cell>
          <cell r="M593" t="str">
            <v>4-检验完成</v>
          </cell>
        </row>
        <row r="593">
          <cell r="O593">
            <v>0</v>
          </cell>
          <cell r="P593" t="str">
            <v>中国人民解放军第五七〇二工厂(国营四达机械制造公司)</v>
          </cell>
          <cell r="Q593" t="str">
            <v>20</v>
          </cell>
          <cell r="R593">
            <v>45646</v>
          </cell>
        </row>
        <row r="593">
          <cell r="U593" t="str">
            <v>010000675896</v>
          </cell>
          <cell r="V593" t="str">
            <v>LIZHIFENG</v>
          </cell>
          <cell r="W593" t="str">
            <v/>
          </cell>
          <cell r="X593" t="str">
            <v>CP-108-A</v>
          </cell>
          <cell r="Y593" t="str">
            <v/>
          </cell>
          <cell r="Z593" t="str">
            <v>1915</v>
          </cell>
          <cell r="AA593" t="str">
            <v>1100107854</v>
          </cell>
          <cell r="AB593">
            <v>21</v>
          </cell>
          <cell r="AC593" t="str">
            <v/>
          </cell>
          <cell r="AD593">
            <v>9000</v>
          </cell>
          <cell r="AE593" t="str">
            <v>G0395-221208-874</v>
          </cell>
        </row>
        <row r="594">
          <cell r="B594" t="str">
            <v>7100839968</v>
          </cell>
          <cell r="C594" t="str">
            <v>G2406-1879</v>
          </cell>
          <cell r="D594" t="str">
            <v>000042944000093346</v>
          </cell>
          <cell r="E594" t="str">
            <v>卡箍</v>
          </cell>
          <cell r="F594" t="str">
            <v>H6K-7613-010</v>
          </cell>
          <cell r="G594" t="str">
            <v>-</v>
          </cell>
          <cell r="H594" t="str">
            <v/>
          </cell>
          <cell r="I594" t="str">
            <v/>
          </cell>
          <cell r="J594" t="str">
            <v>组件</v>
          </cell>
          <cell r="K594">
            <v>13</v>
          </cell>
          <cell r="L594">
            <v>45499</v>
          </cell>
          <cell r="M594" t="str">
            <v>5-包装完成</v>
          </cell>
        </row>
        <row r="594">
          <cell r="O594">
            <v>0</v>
          </cell>
          <cell r="P594" t="str">
            <v>中国人民解放军第五七〇二工厂(国营四达机械制造公司)</v>
          </cell>
          <cell r="Q594" t="str">
            <v>80</v>
          </cell>
          <cell r="R594">
            <v>45505</v>
          </cell>
          <cell r="S594">
            <v>45537</v>
          </cell>
        </row>
        <row r="594">
          <cell r="U594" t="str">
            <v>010000712978</v>
          </cell>
          <cell r="V594" t="str">
            <v>LIZHIFENG</v>
          </cell>
          <cell r="W594" t="str">
            <v/>
          </cell>
          <cell r="X594" t="str">
            <v>CP-108-A</v>
          </cell>
          <cell r="Y594" t="str">
            <v>ZHANGZHIYI</v>
          </cell>
          <cell r="Z594" t="str">
            <v>1915</v>
          </cell>
          <cell r="AA594" t="str">
            <v>1100107854</v>
          </cell>
          <cell r="AB594">
            <v>13</v>
          </cell>
          <cell r="AC594" t="str">
            <v/>
          </cell>
          <cell r="AD594">
            <v>9000</v>
          </cell>
          <cell r="AE594" t="str">
            <v>G0395-221208-874</v>
          </cell>
        </row>
        <row r="595">
          <cell r="B595" t="str">
            <v>7100839430</v>
          </cell>
          <cell r="C595" t="str">
            <v>G2406-1572</v>
          </cell>
          <cell r="D595" t="str">
            <v>000042944000093348</v>
          </cell>
          <cell r="E595" t="str">
            <v>卡箍</v>
          </cell>
          <cell r="F595" t="str">
            <v>H6K-7605-137</v>
          </cell>
          <cell r="G595" t="str">
            <v>-</v>
          </cell>
          <cell r="H595" t="str">
            <v/>
          </cell>
          <cell r="I595" t="str">
            <v/>
          </cell>
          <cell r="J595" t="str">
            <v>组件</v>
          </cell>
          <cell r="K595">
            <v>2</v>
          </cell>
          <cell r="L595">
            <v>45498</v>
          </cell>
          <cell r="M595" t="str">
            <v>5-包装完成</v>
          </cell>
        </row>
        <row r="595">
          <cell r="O595">
            <v>0</v>
          </cell>
          <cell r="P595" t="str">
            <v>中国人民解放军第五七〇二工厂(国营四达机械制造公司)</v>
          </cell>
          <cell r="Q595" t="str">
            <v>40</v>
          </cell>
          <cell r="R595">
            <v>45499</v>
          </cell>
          <cell r="S595">
            <v>45537</v>
          </cell>
        </row>
        <row r="595">
          <cell r="U595" t="str">
            <v>010000712194</v>
          </cell>
          <cell r="V595" t="str">
            <v>PANQIFANG</v>
          </cell>
          <cell r="W595" t="str">
            <v/>
          </cell>
          <cell r="X595" t="str">
            <v>CP-108-A</v>
          </cell>
          <cell r="Y595" t="str">
            <v>ZHANGZHIYI</v>
          </cell>
          <cell r="Z595" t="str">
            <v>1915</v>
          </cell>
          <cell r="AA595" t="str">
            <v>1100107854</v>
          </cell>
          <cell r="AB595">
            <v>20</v>
          </cell>
          <cell r="AC595" t="str">
            <v/>
          </cell>
          <cell r="AD595">
            <v>13000</v>
          </cell>
          <cell r="AE595" t="str">
            <v>G0395-221208-874</v>
          </cell>
        </row>
        <row r="596">
          <cell r="B596" t="str">
            <v>7100838553</v>
          </cell>
          <cell r="C596" t="str">
            <v>G2402-1480</v>
          </cell>
          <cell r="D596" t="str">
            <v>000042944000093349</v>
          </cell>
          <cell r="E596" t="str">
            <v>卡箍</v>
          </cell>
          <cell r="F596" t="str">
            <v>H6K-7611-030</v>
          </cell>
          <cell r="G596" t="str">
            <v>-</v>
          </cell>
          <cell r="H596" t="str">
            <v/>
          </cell>
          <cell r="I596" t="str">
            <v/>
          </cell>
          <cell r="J596" t="str">
            <v>组件</v>
          </cell>
          <cell r="K596">
            <v>14</v>
          </cell>
          <cell r="L596">
            <v>45497</v>
          </cell>
          <cell r="M596" t="str">
            <v>5-包装完成</v>
          </cell>
        </row>
        <row r="596">
          <cell r="O596">
            <v>0</v>
          </cell>
          <cell r="P596" t="str">
            <v>中国人民解放军第五七〇二工厂(国营四达机械制造公司)</v>
          </cell>
          <cell r="Q596" t="str">
            <v>60</v>
          </cell>
          <cell r="R596">
            <v>45498</v>
          </cell>
          <cell r="S596">
            <v>45537</v>
          </cell>
        </row>
        <row r="596">
          <cell r="U596" t="str">
            <v>010000675953</v>
          </cell>
          <cell r="V596" t="str">
            <v>HANXIAOLAN</v>
          </cell>
          <cell r="W596" t="str">
            <v/>
          </cell>
          <cell r="X596" t="str">
            <v>CP-108-A</v>
          </cell>
          <cell r="Y596" t="str">
            <v>ZHANGZHIYI</v>
          </cell>
          <cell r="Z596" t="str">
            <v>1915</v>
          </cell>
          <cell r="AA596" t="str">
            <v>1100107854</v>
          </cell>
          <cell r="AB596">
            <v>20</v>
          </cell>
          <cell r="AC596" t="str">
            <v/>
          </cell>
          <cell r="AD596">
            <v>16500</v>
          </cell>
          <cell r="AE596" t="str">
            <v>G0395-221208-874</v>
          </cell>
        </row>
        <row r="597">
          <cell r="B597" t="str">
            <v>7100835601</v>
          </cell>
          <cell r="C597" t="str">
            <v>G2212-1447</v>
          </cell>
          <cell r="D597" t="str">
            <v>000042944000093345</v>
          </cell>
          <cell r="E597" t="str">
            <v>卡箍</v>
          </cell>
          <cell r="F597" t="str">
            <v>H6K-7611-040</v>
          </cell>
          <cell r="G597" t="str">
            <v>-</v>
          </cell>
          <cell r="H597" t="str">
            <v/>
          </cell>
          <cell r="I597" t="str">
            <v/>
          </cell>
          <cell r="J597" t="str">
            <v>组件</v>
          </cell>
          <cell r="K597">
            <v>14</v>
          </cell>
          <cell r="L597">
            <v>45488</v>
          </cell>
          <cell r="M597" t="str">
            <v>4-检验完成</v>
          </cell>
        </row>
        <row r="597">
          <cell r="O597">
            <v>0</v>
          </cell>
          <cell r="P597" t="str">
            <v>中国人民解放军第五七〇二工厂(国营四达机械制造公司)</v>
          </cell>
          <cell r="Q597" t="str">
            <v>70</v>
          </cell>
          <cell r="R597">
            <v>45720</v>
          </cell>
        </row>
        <row r="597">
          <cell r="U597" t="str">
            <v>010000557758</v>
          </cell>
          <cell r="V597" t="str">
            <v>LIZHIFENG</v>
          </cell>
          <cell r="W597" t="str">
            <v/>
          </cell>
          <cell r="X597" t="str">
            <v>CP-108-A</v>
          </cell>
          <cell r="Y597" t="str">
            <v/>
          </cell>
          <cell r="Z597" t="str">
            <v>1915</v>
          </cell>
          <cell r="AA597" t="str">
            <v>1100107854</v>
          </cell>
          <cell r="AB597">
            <v>14</v>
          </cell>
          <cell r="AC597" t="str">
            <v/>
          </cell>
          <cell r="AD597">
            <v>4250</v>
          </cell>
          <cell r="AE597" t="str">
            <v>G0395-221208-874</v>
          </cell>
        </row>
        <row r="598">
          <cell r="B598" t="str">
            <v>7100954234</v>
          </cell>
          <cell r="C598" t="str">
            <v>G2411-1609</v>
          </cell>
          <cell r="D598" t="str">
            <v>000042944440046737</v>
          </cell>
          <cell r="E598" t="str">
            <v>塑料垫圈</v>
          </cell>
          <cell r="F598" t="str">
            <v>HB4-51-99</v>
          </cell>
          <cell r="G598" t="str">
            <v>12</v>
          </cell>
          <cell r="H598" t="str">
            <v/>
          </cell>
          <cell r="I598" t="str">
            <v/>
          </cell>
          <cell r="J598" t="str">
            <v>SFB-3</v>
          </cell>
          <cell r="K598">
            <v>20</v>
          </cell>
          <cell r="L598">
            <v>45801</v>
          </cell>
          <cell r="M598" t="str">
            <v>0-初始未打印</v>
          </cell>
        </row>
        <row r="598">
          <cell r="O598">
            <v>0</v>
          </cell>
          <cell r="P598" t="str">
            <v>中国人民解放军第五七〇二工厂(国营四达机械制造公司)</v>
          </cell>
          <cell r="Q598" t="str">
            <v>40</v>
          </cell>
        </row>
        <row r="598">
          <cell r="U598" t="str">
            <v>010000751932</v>
          </cell>
          <cell r="V598" t="str">
            <v/>
          </cell>
          <cell r="W598" t="str">
            <v/>
          </cell>
          <cell r="X598" t="str">
            <v>XC-1-1-10</v>
          </cell>
          <cell r="Y598" t="str">
            <v/>
          </cell>
          <cell r="Z598" t="str">
            <v>1915</v>
          </cell>
          <cell r="AA598" t="str">
            <v>1100137102</v>
          </cell>
          <cell r="AB598">
            <v>20</v>
          </cell>
          <cell r="AC598" t="str">
            <v/>
          </cell>
          <cell r="AD598">
            <v>16</v>
          </cell>
          <cell r="AE598" t="str">
            <v>G-100010426-241113-0084</v>
          </cell>
        </row>
        <row r="599">
          <cell r="B599" t="str">
            <v>7100953822</v>
          </cell>
          <cell r="C599" t="str">
            <v>G2504-3126</v>
          </cell>
          <cell r="D599" t="str">
            <v>000042944000020609</v>
          </cell>
          <cell r="E599" t="str">
            <v>不锈钢带卡箍</v>
          </cell>
          <cell r="F599" t="str">
            <v>4A3-51-60</v>
          </cell>
          <cell r="G599" t="str">
            <v/>
          </cell>
          <cell r="H599" t="str">
            <v/>
          </cell>
          <cell r="I599" t="str">
            <v/>
          </cell>
          <cell r="J599" t="str">
            <v>组件</v>
          </cell>
          <cell r="K599">
            <v>270</v>
          </cell>
          <cell r="L599">
            <v>45800</v>
          </cell>
          <cell r="M599" t="str">
            <v>3-配货完成</v>
          </cell>
        </row>
        <row r="599">
          <cell r="O599">
            <v>0</v>
          </cell>
          <cell r="P599" t="str">
            <v>中国人民解放军第五七〇二工厂(国营四达机械制造公司)</v>
          </cell>
          <cell r="Q599" t="str">
            <v>1240</v>
          </cell>
        </row>
        <row r="599">
          <cell r="U599" t="str">
            <v>010000812493</v>
          </cell>
          <cell r="V599" t="str">
            <v>LIZHIFENG</v>
          </cell>
          <cell r="W599" t="str">
            <v/>
          </cell>
          <cell r="X599" t="str">
            <v>CP-108-A</v>
          </cell>
          <cell r="Y599" t="str">
            <v/>
          </cell>
          <cell r="Z599" t="str">
            <v>1915</v>
          </cell>
          <cell r="AA599" t="str">
            <v>1100139094</v>
          </cell>
          <cell r="AB599">
            <v>700</v>
          </cell>
          <cell r="AC599" t="str">
            <v/>
          </cell>
          <cell r="AD599">
            <v>125</v>
          </cell>
          <cell r="AE599" t="str">
            <v>G-100010426-241221-0094</v>
          </cell>
        </row>
        <row r="600">
          <cell r="B600" t="str">
            <v>7100953634</v>
          </cell>
          <cell r="C600" t="str">
            <v>G02505-043</v>
          </cell>
          <cell r="D600" t="str">
            <v>000042944440150229</v>
          </cell>
          <cell r="E600" t="str">
            <v>轴用弹性挡圈-A型</v>
          </cell>
          <cell r="F600" t="str">
            <v>GB894.1-14</v>
          </cell>
          <cell r="G600" t="str">
            <v/>
          </cell>
          <cell r="H600" t="str">
            <v>47-54HRC</v>
          </cell>
          <cell r="I600" t="str">
            <v>Ep·Cd·c2C</v>
          </cell>
          <cell r="J600" t="str">
            <v>65Mn</v>
          </cell>
          <cell r="K600">
            <v>150</v>
          </cell>
          <cell r="L600">
            <v>45800</v>
          </cell>
          <cell r="M600" t="str">
            <v>3-配货完成</v>
          </cell>
        </row>
        <row r="600">
          <cell r="O600">
            <v>0</v>
          </cell>
          <cell r="P600" t="str">
            <v>中国人民解放军第五七〇二工厂(国营四达机械制造公司)</v>
          </cell>
          <cell r="Q600" t="str">
            <v>20</v>
          </cell>
        </row>
        <row r="600">
          <cell r="U600" t="str">
            <v/>
          </cell>
          <cell r="V600" t="str">
            <v>PANQIFANG</v>
          </cell>
          <cell r="W600" t="str">
            <v/>
          </cell>
          <cell r="X600" t="str">
            <v>XH-000</v>
          </cell>
          <cell r="Y600" t="str">
            <v/>
          </cell>
          <cell r="Z600" t="str">
            <v>1915</v>
          </cell>
          <cell r="AA600" t="str">
            <v>1100142908</v>
          </cell>
          <cell r="AB600">
            <v>150</v>
          </cell>
          <cell r="AC600" t="str">
            <v/>
          </cell>
          <cell r="AD600">
            <v>17</v>
          </cell>
          <cell r="AE600" t="str">
            <v>G-100010426-250307-0007</v>
          </cell>
        </row>
        <row r="601">
          <cell r="B601" t="str">
            <v>7100949547</v>
          </cell>
          <cell r="C601" t="str">
            <v>G2412-2808</v>
          </cell>
          <cell r="D601" t="str">
            <v>000036200000072427</v>
          </cell>
          <cell r="E601" t="str">
            <v>密封圈</v>
          </cell>
          <cell r="F601" t="str">
            <v>2267A-393</v>
          </cell>
          <cell r="G601" t="str">
            <v>-</v>
          </cell>
          <cell r="H601" t="str">
            <v/>
          </cell>
          <cell r="I601" t="str">
            <v/>
          </cell>
          <cell r="J601" t="str">
            <v>FX-4</v>
          </cell>
          <cell r="K601">
            <v>20</v>
          </cell>
          <cell r="L601">
            <v>45794</v>
          </cell>
          <cell r="M601" t="str">
            <v>3-配货完成</v>
          </cell>
        </row>
        <row r="601">
          <cell r="O601">
            <v>0</v>
          </cell>
          <cell r="P601" t="str">
            <v>中国人民解放军第五七〇二工厂(国营四达机械制造公司)</v>
          </cell>
          <cell r="Q601" t="str">
            <v>910</v>
          </cell>
        </row>
        <row r="601">
          <cell r="U601" t="str">
            <v>010000766353</v>
          </cell>
          <cell r="V601" t="str">
            <v>PANMINGTAO</v>
          </cell>
          <cell r="W601" t="str">
            <v/>
          </cell>
          <cell r="X601" t="str">
            <v>XC-1-1-10</v>
          </cell>
          <cell r="Y601" t="str">
            <v/>
          </cell>
          <cell r="Z601" t="str">
            <v>1915</v>
          </cell>
          <cell r="AA601" t="str">
            <v>1100139096</v>
          </cell>
          <cell r="AB601">
            <v>20</v>
          </cell>
          <cell r="AC601" t="str">
            <v/>
          </cell>
          <cell r="AD601">
            <v>28</v>
          </cell>
          <cell r="AE601" t="str">
            <v>G-100010426-241221-0096</v>
          </cell>
        </row>
        <row r="602">
          <cell r="B602" t="str">
            <v>7100943699</v>
          </cell>
          <cell r="C602" t="str">
            <v>G2412-3209</v>
          </cell>
          <cell r="D602" t="str">
            <v>000042944000003651</v>
          </cell>
          <cell r="E602" t="str">
            <v>单螺栓侧面固定带减轻孔的带垫夹紧卡箍</v>
          </cell>
          <cell r="F602" t="str">
            <v>Q/FAI19-2006</v>
          </cell>
          <cell r="G602" t="str">
            <v>CG8</v>
          </cell>
          <cell r="H602" t="str">
            <v/>
          </cell>
          <cell r="I602" t="str">
            <v/>
          </cell>
          <cell r="J602" t="str">
            <v>组件</v>
          </cell>
          <cell r="K602">
            <v>131</v>
          </cell>
          <cell r="L602">
            <v>45783</v>
          </cell>
          <cell r="M602" t="str">
            <v>4-检验完成</v>
          </cell>
        </row>
        <row r="602">
          <cell r="O602">
            <v>0</v>
          </cell>
          <cell r="P602" t="str">
            <v>中国人民解放军第五七〇二工厂(国营四达机械制造公司)</v>
          </cell>
          <cell r="Q602" t="str">
            <v>90</v>
          </cell>
          <cell r="R602">
            <v>45784</v>
          </cell>
        </row>
        <row r="602">
          <cell r="U602" t="str">
            <v>010000767027</v>
          </cell>
          <cell r="V602" t="str">
            <v>PANMINGTAO</v>
          </cell>
          <cell r="W602" t="str">
            <v/>
          </cell>
          <cell r="X602" t="str">
            <v>XC-1-1-10</v>
          </cell>
          <cell r="Y602" t="str">
            <v/>
          </cell>
          <cell r="Z602" t="str">
            <v>1915</v>
          </cell>
          <cell r="AA602" t="str">
            <v>1100139086</v>
          </cell>
          <cell r="AB602">
            <v>131</v>
          </cell>
          <cell r="AC602" t="str">
            <v/>
          </cell>
          <cell r="AD602">
            <v>46</v>
          </cell>
          <cell r="AE602" t="str">
            <v>G-100010426-241221-0097</v>
          </cell>
        </row>
        <row r="603">
          <cell r="B603" t="str">
            <v>7100942173</v>
          </cell>
          <cell r="C603" t="str">
            <v>G2412-2846</v>
          </cell>
          <cell r="D603" t="str">
            <v>000036200000088152</v>
          </cell>
          <cell r="E603" t="str">
            <v>密封圈</v>
          </cell>
          <cell r="F603" t="str">
            <v>2262A-171-2</v>
          </cell>
          <cell r="G603" t="str">
            <v>-</v>
          </cell>
          <cell r="H603" t="str">
            <v/>
          </cell>
          <cell r="I603" t="str">
            <v/>
          </cell>
          <cell r="J603" t="str">
            <v>5080</v>
          </cell>
          <cell r="K603">
            <v>1100</v>
          </cell>
          <cell r="L603">
            <v>45776</v>
          </cell>
          <cell r="M603" t="str">
            <v>4-检验完成</v>
          </cell>
        </row>
        <row r="603">
          <cell r="O603">
            <v>0</v>
          </cell>
          <cell r="P603" t="str">
            <v>中国人民解放军第五七〇二工厂(国营四达机械制造公司)</v>
          </cell>
          <cell r="Q603" t="str">
            <v>220</v>
          </cell>
          <cell r="R603">
            <v>45785</v>
          </cell>
        </row>
        <row r="603">
          <cell r="U603" t="str">
            <v>010000766411</v>
          </cell>
          <cell r="V603" t="str">
            <v>PANMINGTAO</v>
          </cell>
          <cell r="W603" t="str">
            <v/>
          </cell>
          <cell r="X603" t="str">
            <v>XC-1-1-10</v>
          </cell>
          <cell r="Y603" t="str">
            <v/>
          </cell>
          <cell r="Z603" t="str">
            <v>1915</v>
          </cell>
          <cell r="AA603" t="str">
            <v>1100139096</v>
          </cell>
          <cell r="AB603">
            <v>1100</v>
          </cell>
          <cell r="AC603" t="str">
            <v/>
          </cell>
          <cell r="AD603">
            <v>8</v>
          </cell>
          <cell r="AE603" t="str">
            <v>G-100010426-241221-0096</v>
          </cell>
        </row>
        <row r="604">
          <cell r="B604" t="str">
            <v>7100937491</v>
          </cell>
          <cell r="C604" t="str">
            <v>G2402-1465</v>
          </cell>
          <cell r="D604" t="str">
            <v>000042944000093351</v>
          </cell>
          <cell r="E604" t="str">
            <v>卡箍</v>
          </cell>
          <cell r="F604" t="str">
            <v>H6K-7603-025</v>
          </cell>
          <cell r="G604" t="str">
            <v>-</v>
          </cell>
          <cell r="H604" t="str">
            <v/>
          </cell>
          <cell r="I604" t="str">
            <v/>
          </cell>
          <cell r="J604" t="str">
            <v>组件</v>
          </cell>
          <cell r="K604">
            <v>10</v>
          </cell>
          <cell r="L604">
            <v>45768</v>
          </cell>
          <cell r="M604" t="str">
            <v>4-检验完成</v>
          </cell>
        </row>
        <row r="604">
          <cell r="O604">
            <v>0</v>
          </cell>
          <cell r="P604" t="str">
            <v>中国人民解放军第五七〇二工厂(国营四达机械制造公司)</v>
          </cell>
          <cell r="Q604" t="str">
            <v>10</v>
          </cell>
          <cell r="R604">
            <v>45772</v>
          </cell>
        </row>
        <row r="604">
          <cell r="U604" t="str">
            <v>010000675896</v>
          </cell>
          <cell r="V604" t="str">
            <v>PANQIFANG</v>
          </cell>
          <cell r="W604" t="str">
            <v/>
          </cell>
          <cell r="X604" t="str">
            <v>CP-108-A</v>
          </cell>
          <cell r="Y604" t="str">
            <v/>
          </cell>
          <cell r="Z604" t="str">
            <v>1915</v>
          </cell>
          <cell r="AA604" t="str">
            <v>1100145684</v>
          </cell>
          <cell r="AB604">
            <v>50</v>
          </cell>
          <cell r="AC604" t="str">
            <v/>
          </cell>
          <cell r="AD604">
            <v>9000</v>
          </cell>
          <cell r="AE604" t="str">
            <v>G-100010426-250418-0014</v>
          </cell>
        </row>
        <row r="605">
          <cell r="B605" t="str">
            <v>7100937491</v>
          </cell>
          <cell r="C605" t="str">
            <v>G2406-1677</v>
          </cell>
          <cell r="D605" t="str">
            <v>000042944000093351</v>
          </cell>
          <cell r="E605" t="str">
            <v>卡箍</v>
          </cell>
          <cell r="F605" t="str">
            <v>H6K-7603-025</v>
          </cell>
          <cell r="G605" t="str">
            <v>-</v>
          </cell>
          <cell r="H605" t="str">
            <v/>
          </cell>
          <cell r="I605" t="str">
            <v/>
          </cell>
          <cell r="J605" t="str">
            <v>组件</v>
          </cell>
          <cell r="K605">
            <v>34</v>
          </cell>
          <cell r="L605">
            <v>45768</v>
          </cell>
          <cell r="M605" t="str">
            <v>4-检验完成</v>
          </cell>
        </row>
        <row r="605">
          <cell r="O605">
            <v>0</v>
          </cell>
          <cell r="P605" t="str">
            <v>中国人民解放军第五七〇二工厂(国营四达机械制造公司)</v>
          </cell>
          <cell r="Q605" t="str">
            <v>10</v>
          </cell>
          <cell r="R605">
            <v>45772</v>
          </cell>
        </row>
        <row r="605">
          <cell r="U605" t="str">
            <v>010000712361</v>
          </cell>
          <cell r="V605" t="str">
            <v>PANQIFANG</v>
          </cell>
          <cell r="W605" t="str">
            <v/>
          </cell>
          <cell r="X605" t="str">
            <v>CP-108-A</v>
          </cell>
          <cell r="Y605" t="str">
            <v/>
          </cell>
          <cell r="Z605" t="str">
            <v>1915</v>
          </cell>
          <cell r="AA605" t="str">
            <v>1100145684</v>
          </cell>
          <cell r="AB605">
            <v>50</v>
          </cell>
          <cell r="AC605" t="str">
            <v/>
          </cell>
          <cell r="AD605">
            <v>9000</v>
          </cell>
          <cell r="AE605" t="str">
            <v>G-100010426-250418-0014</v>
          </cell>
        </row>
        <row r="606">
          <cell r="B606" t="str">
            <v>7100885962</v>
          </cell>
          <cell r="C606" t="str">
            <v>G2402-1465</v>
          </cell>
          <cell r="D606" t="str">
            <v>000042944000093351</v>
          </cell>
          <cell r="E606" t="str">
            <v>卡箍</v>
          </cell>
          <cell r="F606" t="str">
            <v>H6K-7603-025</v>
          </cell>
          <cell r="G606" t="str">
            <v>-</v>
          </cell>
          <cell r="H606" t="str">
            <v/>
          </cell>
          <cell r="I606" t="str">
            <v/>
          </cell>
          <cell r="J606" t="str">
            <v>组件</v>
          </cell>
          <cell r="K606">
            <v>21</v>
          </cell>
          <cell r="L606">
            <v>45638</v>
          </cell>
          <cell r="M606" t="str">
            <v>4-检验完成</v>
          </cell>
        </row>
        <row r="606">
          <cell r="O606">
            <v>0</v>
          </cell>
          <cell r="P606" t="str">
            <v>中国人民解放军第五七〇二工厂(国营四达机械制造公司)</v>
          </cell>
          <cell r="Q606" t="str">
            <v>20</v>
          </cell>
          <cell r="R606">
            <v>45646</v>
          </cell>
        </row>
        <row r="606">
          <cell r="U606" t="str">
            <v>010000675896</v>
          </cell>
          <cell r="V606" t="str">
            <v>LIZHIFENG</v>
          </cell>
          <cell r="W606" t="str">
            <v/>
          </cell>
          <cell r="X606" t="str">
            <v>CP-108-A</v>
          </cell>
          <cell r="Y606" t="str">
            <v/>
          </cell>
          <cell r="Z606" t="str">
            <v>1915</v>
          </cell>
          <cell r="AA606" t="str">
            <v>1100107854</v>
          </cell>
          <cell r="AB606">
            <v>21</v>
          </cell>
          <cell r="AC606" t="str">
            <v/>
          </cell>
          <cell r="AD606">
            <v>9000</v>
          </cell>
          <cell r="AE606" t="str">
            <v>G0395-221208-874</v>
          </cell>
        </row>
        <row r="607">
          <cell r="B607" t="str">
            <v>7100839968</v>
          </cell>
          <cell r="C607" t="str">
            <v>G2406-1879</v>
          </cell>
          <cell r="D607" t="str">
            <v>000042944000093346</v>
          </cell>
          <cell r="E607" t="str">
            <v>卡箍</v>
          </cell>
          <cell r="F607" t="str">
            <v>H6K-7613-010</v>
          </cell>
          <cell r="G607" t="str">
            <v>-</v>
          </cell>
          <cell r="H607" t="str">
            <v/>
          </cell>
          <cell r="I607" t="str">
            <v/>
          </cell>
          <cell r="J607" t="str">
            <v>组件</v>
          </cell>
          <cell r="K607">
            <v>13</v>
          </cell>
          <cell r="L607">
            <v>45499</v>
          </cell>
          <cell r="M607" t="str">
            <v>5-包装完成</v>
          </cell>
        </row>
        <row r="607">
          <cell r="O607">
            <v>0</v>
          </cell>
          <cell r="P607" t="str">
            <v>中国人民解放军第五七〇二工厂(国营四达机械制造公司)</v>
          </cell>
          <cell r="Q607" t="str">
            <v>80</v>
          </cell>
          <cell r="R607">
            <v>45505</v>
          </cell>
          <cell r="S607">
            <v>45537</v>
          </cell>
        </row>
        <row r="607">
          <cell r="U607" t="str">
            <v>010000712978</v>
          </cell>
          <cell r="V607" t="str">
            <v>LIZHIFENG</v>
          </cell>
          <cell r="W607" t="str">
            <v/>
          </cell>
          <cell r="X607" t="str">
            <v>CP-108-A</v>
          </cell>
          <cell r="Y607" t="str">
            <v>ZHANGZHIYI</v>
          </cell>
          <cell r="Z607" t="str">
            <v>1915</v>
          </cell>
          <cell r="AA607" t="str">
            <v>1100107854</v>
          </cell>
          <cell r="AB607">
            <v>13</v>
          </cell>
          <cell r="AC607" t="str">
            <v/>
          </cell>
          <cell r="AD607">
            <v>9000</v>
          </cell>
          <cell r="AE607" t="str">
            <v>G0395-221208-874</v>
          </cell>
        </row>
        <row r="608">
          <cell r="B608" t="str">
            <v>7100839430</v>
          </cell>
          <cell r="C608" t="str">
            <v>G2406-1572</v>
          </cell>
          <cell r="D608" t="str">
            <v>000042944000093348</v>
          </cell>
          <cell r="E608" t="str">
            <v>卡箍</v>
          </cell>
          <cell r="F608" t="str">
            <v>H6K-7605-137</v>
          </cell>
          <cell r="G608" t="str">
            <v>-</v>
          </cell>
          <cell r="H608" t="str">
            <v/>
          </cell>
          <cell r="I608" t="str">
            <v/>
          </cell>
          <cell r="J608" t="str">
            <v>组件</v>
          </cell>
          <cell r="K608">
            <v>2</v>
          </cell>
          <cell r="L608">
            <v>45498</v>
          </cell>
          <cell r="M608" t="str">
            <v>5-包装完成</v>
          </cell>
        </row>
        <row r="608">
          <cell r="O608">
            <v>0</v>
          </cell>
          <cell r="P608" t="str">
            <v>中国人民解放军第五七〇二工厂(国营四达机械制造公司)</v>
          </cell>
          <cell r="Q608" t="str">
            <v>40</v>
          </cell>
          <cell r="R608">
            <v>45499</v>
          </cell>
          <cell r="S608">
            <v>45537</v>
          </cell>
        </row>
        <row r="608">
          <cell r="U608" t="str">
            <v>010000712194</v>
          </cell>
          <cell r="V608" t="str">
            <v>PANQIFANG</v>
          </cell>
          <cell r="W608" t="str">
            <v/>
          </cell>
          <cell r="X608" t="str">
            <v>CP-108-A</v>
          </cell>
          <cell r="Y608" t="str">
            <v>ZHANGZHIYI</v>
          </cell>
          <cell r="Z608" t="str">
            <v>1915</v>
          </cell>
          <cell r="AA608" t="str">
            <v>1100107854</v>
          </cell>
          <cell r="AB608">
            <v>20</v>
          </cell>
          <cell r="AC608" t="str">
            <v/>
          </cell>
          <cell r="AD608">
            <v>13000</v>
          </cell>
          <cell r="AE608" t="str">
            <v>G0395-221208-874</v>
          </cell>
        </row>
        <row r="609">
          <cell r="B609" t="str">
            <v>7100838553</v>
          </cell>
          <cell r="C609" t="str">
            <v>G2402-1480</v>
          </cell>
          <cell r="D609" t="str">
            <v>000042944000093349</v>
          </cell>
          <cell r="E609" t="str">
            <v>卡箍</v>
          </cell>
          <cell r="F609" t="str">
            <v>H6K-7611-030</v>
          </cell>
          <cell r="G609" t="str">
            <v>-</v>
          </cell>
          <cell r="H609" t="str">
            <v/>
          </cell>
          <cell r="I609" t="str">
            <v/>
          </cell>
          <cell r="J609" t="str">
            <v>组件</v>
          </cell>
          <cell r="K609">
            <v>14</v>
          </cell>
          <cell r="L609">
            <v>45497</v>
          </cell>
          <cell r="M609" t="str">
            <v>5-包装完成</v>
          </cell>
        </row>
        <row r="609">
          <cell r="O609">
            <v>0</v>
          </cell>
          <cell r="P609" t="str">
            <v>中国人民解放军第五七〇二工厂(国营四达机械制造公司)</v>
          </cell>
          <cell r="Q609" t="str">
            <v>60</v>
          </cell>
          <cell r="R609">
            <v>45498</v>
          </cell>
          <cell r="S609">
            <v>45537</v>
          </cell>
        </row>
        <row r="609">
          <cell r="U609" t="str">
            <v>010000675953</v>
          </cell>
          <cell r="V609" t="str">
            <v>HANXIAOLAN</v>
          </cell>
          <cell r="W609" t="str">
            <v/>
          </cell>
          <cell r="X609" t="str">
            <v>CP-108-A</v>
          </cell>
          <cell r="Y609" t="str">
            <v>ZHANGZHIYI</v>
          </cell>
          <cell r="Z609" t="str">
            <v>1915</v>
          </cell>
          <cell r="AA609" t="str">
            <v>1100107854</v>
          </cell>
          <cell r="AB609">
            <v>20</v>
          </cell>
          <cell r="AC609" t="str">
            <v/>
          </cell>
          <cell r="AD609">
            <v>16500</v>
          </cell>
          <cell r="AE609" t="str">
            <v>G0395-221208-874</v>
          </cell>
        </row>
        <row r="610">
          <cell r="B610" t="str">
            <v>7100835601</v>
          </cell>
          <cell r="C610" t="str">
            <v>G2212-1447</v>
          </cell>
          <cell r="D610" t="str">
            <v>000042944000093345</v>
          </cell>
          <cell r="E610" t="str">
            <v>卡箍</v>
          </cell>
          <cell r="F610" t="str">
            <v>H6K-7611-040</v>
          </cell>
          <cell r="G610" t="str">
            <v>-</v>
          </cell>
          <cell r="H610" t="str">
            <v/>
          </cell>
          <cell r="I610" t="str">
            <v/>
          </cell>
          <cell r="J610" t="str">
            <v>组件</v>
          </cell>
          <cell r="K610">
            <v>14</v>
          </cell>
          <cell r="L610">
            <v>45488</v>
          </cell>
          <cell r="M610" t="str">
            <v>4-检验完成</v>
          </cell>
        </row>
        <row r="610">
          <cell r="O610">
            <v>0</v>
          </cell>
          <cell r="P610" t="str">
            <v>中国人民解放军第五七〇二工厂(国营四达机械制造公司)</v>
          </cell>
          <cell r="Q610" t="str">
            <v>70</v>
          </cell>
          <cell r="R610">
            <v>45720</v>
          </cell>
        </row>
        <row r="610">
          <cell r="U610" t="str">
            <v>010000557758</v>
          </cell>
          <cell r="V610" t="str">
            <v>LIZHIFENG</v>
          </cell>
          <cell r="W610" t="str">
            <v/>
          </cell>
          <cell r="X610" t="str">
            <v>CP-108-A</v>
          </cell>
          <cell r="Y610" t="str">
            <v/>
          </cell>
          <cell r="Z610" t="str">
            <v>1915</v>
          </cell>
          <cell r="AA610" t="str">
            <v>1100107854</v>
          </cell>
          <cell r="AB610">
            <v>14</v>
          </cell>
          <cell r="AC610" t="str">
            <v/>
          </cell>
          <cell r="AD610">
            <v>4250</v>
          </cell>
          <cell r="AE610" t="str">
            <v>G0395-221208-874</v>
          </cell>
        </row>
        <row r="611">
          <cell r="B611" t="str">
            <v>7100949547</v>
          </cell>
          <cell r="C611" t="str">
            <v>G2412-2808</v>
          </cell>
          <cell r="D611" t="str">
            <v>000036200000072427</v>
          </cell>
          <cell r="E611" t="str">
            <v>密封圈</v>
          </cell>
          <cell r="F611" t="str">
            <v>2267A-393</v>
          </cell>
          <cell r="G611" t="str">
            <v>-</v>
          </cell>
          <cell r="H611" t="str">
            <v/>
          </cell>
          <cell r="I611" t="str">
            <v/>
          </cell>
          <cell r="J611" t="str">
            <v>FX-4</v>
          </cell>
          <cell r="K611">
            <v>20</v>
          </cell>
          <cell r="L611">
            <v>45794</v>
          </cell>
          <cell r="M611" t="str">
            <v>3-配货完成</v>
          </cell>
        </row>
        <row r="611">
          <cell r="O611">
            <v>0</v>
          </cell>
          <cell r="P611" t="str">
            <v>中国人民解放军第五七〇二工厂(国营四达机械制造公司)</v>
          </cell>
          <cell r="Q611" t="str">
            <v>910</v>
          </cell>
        </row>
        <row r="611">
          <cell r="U611" t="str">
            <v>010000766353</v>
          </cell>
          <cell r="V611" t="str">
            <v>PANMINGTAO</v>
          </cell>
          <cell r="W611" t="str">
            <v/>
          </cell>
          <cell r="X611" t="str">
            <v>XC-1-1-10</v>
          </cell>
          <cell r="Y611" t="str">
            <v/>
          </cell>
          <cell r="Z611" t="str">
            <v>1915</v>
          </cell>
          <cell r="AA611" t="str">
            <v>1100139096</v>
          </cell>
          <cell r="AB611">
            <v>20</v>
          </cell>
          <cell r="AC611" t="str">
            <v/>
          </cell>
          <cell r="AD611">
            <v>28</v>
          </cell>
          <cell r="AE611" t="str">
            <v>G-100010426-241221-0096</v>
          </cell>
        </row>
        <row r="612">
          <cell r="B612" t="str">
            <v>7100954834</v>
          </cell>
          <cell r="C612" t="str">
            <v>G2501-0493</v>
          </cell>
          <cell r="D612" t="str">
            <v>000042944043084772</v>
          </cell>
          <cell r="E612" t="str">
            <v>开槽锥端紧定螺钉</v>
          </cell>
          <cell r="F612" t="str">
            <v>GB71-M3×10</v>
          </cell>
          <cell r="G612" t="str">
            <v/>
          </cell>
          <cell r="H612" t="str">
            <v>14H</v>
          </cell>
          <cell r="I612" t="str">
            <v>Ep·Zn·c2C</v>
          </cell>
          <cell r="J612" t="str">
            <v>45A</v>
          </cell>
          <cell r="K612">
            <v>200</v>
          </cell>
          <cell r="L612">
            <v>45802</v>
          </cell>
          <cell r="M612" t="str">
            <v>4-检验完成</v>
          </cell>
        </row>
        <row r="612">
          <cell r="O612">
            <v>0</v>
          </cell>
          <cell r="P612" t="str">
            <v>中国人民解放军第五七〇二工厂(国营四达机械制造公司)</v>
          </cell>
          <cell r="Q612" t="str">
            <v>740</v>
          </cell>
          <cell r="R612">
            <v>45805</v>
          </cell>
        </row>
        <row r="612">
          <cell r="U612" t="str">
            <v>010000769855</v>
          </cell>
          <cell r="V612" t="str">
            <v>PANQIFANG</v>
          </cell>
          <cell r="W612" t="str">
            <v/>
          </cell>
          <cell r="X612" t="str">
            <v>CP-108-A</v>
          </cell>
          <cell r="Y612" t="str">
            <v/>
          </cell>
          <cell r="Z612" t="str">
            <v>1915</v>
          </cell>
          <cell r="AA612" t="str">
            <v>1100139094</v>
          </cell>
          <cell r="AB612">
            <v>200</v>
          </cell>
          <cell r="AC612" t="str">
            <v/>
          </cell>
          <cell r="AD612">
            <v>3</v>
          </cell>
          <cell r="AE612" t="str">
            <v>G-100010426-241221-0094</v>
          </cell>
        </row>
        <row r="613">
          <cell r="B613" t="str">
            <v>7100954838</v>
          </cell>
          <cell r="C613" t="str">
            <v>G2501-2689</v>
          </cell>
          <cell r="D613" t="str">
            <v>000042944160145782</v>
          </cell>
          <cell r="E613" t="str">
            <v>开槽锥端紧定螺钉</v>
          </cell>
          <cell r="F613" t="str">
            <v>GB71-M3×14</v>
          </cell>
          <cell r="G613" t="str">
            <v/>
          </cell>
          <cell r="H613" t="str">
            <v>14H</v>
          </cell>
          <cell r="I613" t="str">
            <v>Ep·Zn·c2C</v>
          </cell>
          <cell r="J613" t="str">
            <v>45A</v>
          </cell>
          <cell r="K613">
            <v>150</v>
          </cell>
          <cell r="L613">
            <v>45802</v>
          </cell>
          <cell r="M613" t="str">
            <v>4-检验完成</v>
          </cell>
        </row>
        <row r="613">
          <cell r="O613">
            <v>0</v>
          </cell>
          <cell r="P613" t="str">
            <v>中国人民解放军第五七〇二工厂(国营四达机械制造公司)</v>
          </cell>
          <cell r="Q613" t="str">
            <v>100</v>
          </cell>
          <cell r="R613">
            <v>45805</v>
          </cell>
        </row>
        <row r="613">
          <cell r="U613" t="str">
            <v>010000778006</v>
          </cell>
          <cell r="V613" t="str">
            <v>PANQIFANG</v>
          </cell>
          <cell r="W613" t="str">
            <v/>
          </cell>
          <cell r="X613" t="str">
            <v>CP-108-A</v>
          </cell>
          <cell r="Y613" t="str">
            <v/>
          </cell>
          <cell r="Z613" t="str">
            <v>1915</v>
          </cell>
          <cell r="AA613" t="str">
            <v>1100139474</v>
          </cell>
          <cell r="AB613">
            <v>150</v>
          </cell>
          <cell r="AC613" t="str">
            <v/>
          </cell>
          <cell r="AD613">
            <v>3</v>
          </cell>
          <cell r="AE613" t="str">
            <v>G-100010426-241227-0110</v>
          </cell>
        </row>
        <row r="614">
          <cell r="B614" t="str">
            <v>7100955824</v>
          </cell>
          <cell r="C614" t="str">
            <v>G2502-0276</v>
          </cell>
          <cell r="D614" t="str">
            <v>000042944288000857</v>
          </cell>
          <cell r="E614" t="str">
            <v>六角压扁自锁螺母</v>
          </cell>
          <cell r="F614" t="str">
            <v>HB5634-M6</v>
          </cell>
          <cell r="G614" t="str">
            <v/>
          </cell>
          <cell r="H614" t="str">
            <v>29-35HRC</v>
          </cell>
          <cell r="I614" t="str">
            <v>Ep·Ag</v>
          </cell>
          <cell r="J614" t="str">
            <v>GH2132</v>
          </cell>
          <cell r="K614">
            <v>30</v>
          </cell>
          <cell r="L614">
            <v>45803</v>
          </cell>
          <cell r="M614" t="str">
            <v>4-检验完成</v>
          </cell>
        </row>
        <row r="614">
          <cell r="O614">
            <v>0</v>
          </cell>
          <cell r="P614" t="str">
            <v>中国人民解放军第五七〇二工厂(国营四达机械制造公司)</v>
          </cell>
          <cell r="Q614" t="str">
            <v>1290</v>
          </cell>
          <cell r="R614">
            <v>45805</v>
          </cell>
        </row>
        <row r="614">
          <cell r="U614" t="str">
            <v>010000780520</v>
          </cell>
          <cell r="V614" t="str">
            <v>PANQIFANG</v>
          </cell>
          <cell r="W614" t="str">
            <v/>
          </cell>
          <cell r="X614" t="str">
            <v>CP-108-A</v>
          </cell>
          <cell r="Y614" t="str">
            <v/>
          </cell>
          <cell r="Z614" t="str">
            <v>1915</v>
          </cell>
          <cell r="AA614" t="str">
            <v>1100139094</v>
          </cell>
          <cell r="AB614">
            <v>30</v>
          </cell>
          <cell r="AC614" t="str">
            <v/>
          </cell>
          <cell r="AD614">
            <v>38</v>
          </cell>
          <cell r="AE614" t="str">
            <v>G-100010426-241221-0094</v>
          </cell>
        </row>
        <row r="615">
          <cell r="B615" t="str">
            <v>7100956315</v>
          </cell>
          <cell r="C615" t="str">
            <v>G2412-3420</v>
          </cell>
          <cell r="D615" t="str">
            <v>000036200000072372</v>
          </cell>
          <cell r="E615" t="str">
            <v>密封圈</v>
          </cell>
          <cell r="F615" t="str">
            <v>2267A-10</v>
          </cell>
          <cell r="G615" t="str">
            <v>-</v>
          </cell>
          <cell r="H615" t="str">
            <v/>
          </cell>
          <cell r="I615" t="str">
            <v/>
          </cell>
          <cell r="J615" t="str">
            <v>FX-4</v>
          </cell>
          <cell r="K615">
            <v>900</v>
          </cell>
          <cell r="L615">
            <v>45805</v>
          </cell>
          <cell r="M615" t="str">
            <v>4-检验完成</v>
          </cell>
        </row>
        <row r="615">
          <cell r="O615">
            <v>0</v>
          </cell>
          <cell r="P615" t="str">
            <v>中国人民解放军第五七〇二工厂(国营四达机械制造公司)</v>
          </cell>
          <cell r="Q615" t="str">
            <v>100</v>
          </cell>
          <cell r="R615">
            <v>45807</v>
          </cell>
        </row>
        <row r="615">
          <cell r="U615" t="str">
            <v>010000767771</v>
          </cell>
          <cell r="V615" t="str">
            <v>PANMINGTAO</v>
          </cell>
          <cell r="W615" t="str">
            <v/>
          </cell>
          <cell r="X615" t="str">
            <v>XC-1-1-10</v>
          </cell>
          <cell r="Y615" t="str">
            <v/>
          </cell>
          <cell r="Z615" t="str">
            <v>1915</v>
          </cell>
          <cell r="AA615" t="str">
            <v>1100139096</v>
          </cell>
          <cell r="AB615">
            <v>4500</v>
          </cell>
          <cell r="AC615" t="str">
            <v/>
          </cell>
          <cell r="AD615">
            <v>15</v>
          </cell>
          <cell r="AE615" t="str">
            <v>G-100010426-241221-0096</v>
          </cell>
        </row>
        <row r="616">
          <cell r="B616" t="str">
            <v>7100956496</v>
          </cell>
          <cell r="C616" t="str">
            <v>G2412-3065</v>
          </cell>
          <cell r="D616" t="str">
            <v>000042944000061569</v>
          </cell>
          <cell r="E616" t="str">
            <v>衬套</v>
          </cell>
          <cell r="F616" t="str">
            <v>40-01-4062-I-1</v>
          </cell>
          <cell r="G616" t="str">
            <v/>
          </cell>
          <cell r="H616" t="str">
            <v>42-50HRC</v>
          </cell>
          <cell r="I616" t="str">
            <v>Ct·P</v>
          </cell>
          <cell r="J616" t="str">
            <v>9Cr18</v>
          </cell>
          <cell r="K616">
            <v>402</v>
          </cell>
          <cell r="L616">
            <v>45805</v>
          </cell>
          <cell r="M616" t="str">
            <v>3-配货完成</v>
          </cell>
        </row>
        <row r="616">
          <cell r="O616">
            <v>0</v>
          </cell>
          <cell r="P616" t="str">
            <v>中国人民解放军第五七〇二工厂(国营四达机械制造公司)</v>
          </cell>
          <cell r="Q616" t="str">
            <v>170</v>
          </cell>
        </row>
        <row r="616">
          <cell r="U616" t="str">
            <v>010000766728</v>
          </cell>
          <cell r="V616" t="str">
            <v>PANQIFANG</v>
          </cell>
          <cell r="W616" t="str">
            <v/>
          </cell>
          <cell r="X616" t="str">
            <v>CP-108-A</v>
          </cell>
          <cell r="Y616" t="str">
            <v/>
          </cell>
          <cell r="Z616" t="str">
            <v>1915</v>
          </cell>
          <cell r="AA616" t="str">
            <v>1100134926</v>
          </cell>
          <cell r="AB616">
            <v>2000</v>
          </cell>
          <cell r="AC616" t="str">
            <v/>
          </cell>
          <cell r="AD616">
            <v>28</v>
          </cell>
          <cell r="AE616" t="str">
            <v>G-100010426-240929-0071</v>
          </cell>
        </row>
        <row r="617">
          <cell r="B617" t="str">
            <v>7100956497</v>
          </cell>
          <cell r="C617" t="str">
            <v>G2412-3065</v>
          </cell>
          <cell r="D617" t="str">
            <v>000042944000061569</v>
          </cell>
          <cell r="E617" t="str">
            <v>衬套</v>
          </cell>
          <cell r="F617" t="str">
            <v>40-01-4062-I-1</v>
          </cell>
          <cell r="G617" t="str">
            <v/>
          </cell>
          <cell r="H617" t="str">
            <v>42-50HRC</v>
          </cell>
          <cell r="I617" t="str">
            <v>Ct·P</v>
          </cell>
          <cell r="J617" t="str">
            <v>9Cr18</v>
          </cell>
          <cell r="K617">
            <v>1352</v>
          </cell>
          <cell r="L617">
            <v>45805</v>
          </cell>
          <cell r="M617" t="str">
            <v>4-检验完成</v>
          </cell>
        </row>
        <row r="617">
          <cell r="O617">
            <v>0</v>
          </cell>
          <cell r="P617" t="str">
            <v>中国人民解放军第五七〇二工厂(国营四达机械制造公司)</v>
          </cell>
          <cell r="Q617" t="str">
            <v>90</v>
          </cell>
          <cell r="R617">
            <v>45809</v>
          </cell>
        </row>
        <row r="617">
          <cell r="U617" t="str">
            <v>010000766728</v>
          </cell>
          <cell r="V617" t="str">
            <v>PANQIFANG</v>
          </cell>
          <cell r="W617" t="str">
            <v/>
          </cell>
          <cell r="X617" t="str">
            <v>CP-108-A</v>
          </cell>
          <cell r="Y617" t="str">
            <v/>
          </cell>
          <cell r="Z617" t="str">
            <v>1915</v>
          </cell>
          <cell r="AA617" t="str">
            <v>1100139094</v>
          </cell>
          <cell r="AB617">
            <v>1400</v>
          </cell>
          <cell r="AC617" t="str">
            <v/>
          </cell>
          <cell r="AD617">
            <v>24</v>
          </cell>
          <cell r="AE617" t="str">
            <v>G-100010426-241221-0094</v>
          </cell>
        </row>
        <row r="618">
          <cell r="B618" t="str">
            <v>7100956575</v>
          </cell>
          <cell r="C618" t="str">
            <v>G02505-064</v>
          </cell>
          <cell r="D618" t="str">
            <v>000042944440000058</v>
          </cell>
          <cell r="E618" t="str">
            <v>孔用弹性挡圈-A型</v>
          </cell>
          <cell r="F618" t="str">
            <v>GB893.1-10</v>
          </cell>
          <cell r="G618" t="str">
            <v/>
          </cell>
          <cell r="H618" t="str">
            <v>47-54HRC</v>
          </cell>
          <cell r="I618" t="str">
            <v>Ct·O</v>
          </cell>
          <cell r="J618" t="str">
            <v>65Mn</v>
          </cell>
          <cell r="K618">
            <v>500</v>
          </cell>
          <cell r="L618">
            <v>45805</v>
          </cell>
          <cell r="M618" t="str">
            <v>3-配货完成</v>
          </cell>
        </row>
        <row r="618">
          <cell r="O618">
            <v>0</v>
          </cell>
          <cell r="P618" t="str">
            <v>中国人民解放军第五七〇二工厂(国营四达机械制造公司)</v>
          </cell>
          <cell r="Q618" t="str">
            <v>220</v>
          </cell>
        </row>
        <row r="618">
          <cell r="U618" t="str">
            <v/>
          </cell>
          <cell r="V618" t="str">
            <v>PANQIFANG</v>
          </cell>
          <cell r="W618" t="str">
            <v/>
          </cell>
          <cell r="X618" t="str">
            <v>XH-000</v>
          </cell>
          <cell r="Y618" t="str">
            <v/>
          </cell>
          <cell r="Z618" t="str">
            <v>1915</v>
          </cell>
          <cell r="AA618" t="str">
            <v>1100144732</v>
          </cell>
          <cell r="AB618">
            <v>500</v>
          </cell>
          <cell r="AC618" t="str">
            <v/>
          </cell>
          <cell r="AD618">
            <v>2.5</v>
          </cell>
          <cell r="AE618" t="str">
            <v>G-100010426-250406-0013</v>
          </cell>
        </row>
        <row r="619">
          <cell r="B619" t="str">
            <v>7100956707</v>
          </cell>
          <cell r="C619" t="str">
            <v>G2412-2883</v>
          </cell>
          <cell r="D619" t="str">
            <v>000036200000089107</v>
          </cell>
          <cell r="E619" t="str">
            <v>密封圈</v>
          </cell>
          <cell r="F619" t="str">
            <v>2267A-156</v>
          </cell>
          <cell r="G619" t="str">
            <v>-</v>
          </cell>
          <cell r="H619" t="str">
            <v/>
          </cell>
          <cell r="I619" t="str">
            <v/>
          </cell>
          <cell r="J619" t="str">
            <v>FX-4</v>
          </cell>
          <cell r="K619">
            <v>110</v>
          </cell>
          <cell r="L619">
            <v>45805</v>
          </cell>
          <cell r="M619" t="str">
            <v>1-已打印</v>
          </cell>
        </row>
        <row r="619">
          <cell r="O619">
            <v>0</v>
          </cell>
          <cell r="P619" t="str">
            <v>中国人民解放军第五七〇二工厂(国营四达机械制造公司)</v>
          </cell>
          <cell r="Q619" t="str">
            <v>640</v>
          </cell>
        </row>
        <row r="619">
          <cell r="U619" t="str">
            <v>010000766455</v>
          </cell>
          <cell r="V619" t="str">
            <v/>
          </cell>
          <cell r="W619" t="str">
            <v/>
          </cell>
          <cell r="X619" t="str">
            <v>XC-1-1-10</v>
          </cell>
          <cell r="Y619" t="str">
            <v/>
          </cell>
          <cell r="Z619" t="str">
            <v>1915</v>
          </cell>
          <cell r="AA619" t="str">
            <v>1100139096</v>
          </cell>
          <cell r="AB619">
            <v>110</v>
          </cell>
          <cell r="AC619" t="str">
            <v/>
          </cell>
          <cell r="AD619">
            <v>14</v>
          </cell>
          <cell r="AE619" t="str">
            <v>G-100010426-241221-0096</v>
          </cell>
        </row>
        <row r="620">
          <cell r="B620" t="str">
            <v>7100956713</v>
          </cell>
          <cell r="C620" t="str">
            <v>G2404-1154</v>
          </cell>
          <cell r="D620" t="str">
            <v>000042944000127911</v>
          </cell>
          <cell r="E620" t="str">
            <v>减震器充气活门/盖</v>
          </cell>
          <cell r="F620" t="str">
            <v>4A4-107</v>
          </cell>
          <cell r="G620" t="str">
            <v>-</v>
          </cell>
          <cell r="H620" t="str">
            <v/>
          </cell>
          <cell r="I620" t="str">
            <v>镀锌</v>
          </cell>
          <cell r="J620" t="str">
            <v>45A</v>
          </cell>
          <cell r="K620">
            <v>15</v>
          </cell>
          <cell r="L620">
            <v>45805</v>
          </cell>
          <cell r="M620" t="str">
            <v>3-配货完成</v>
          </cell>
        </row>
        <row r="620">
          <cell r="O620">
            <v>0</v>
          </cell>
          <cell r="P620" t="str">
            <v>中国人民解放军第五七〇二工厂(国营四达机械制造公司)</v>
          </cell>
          <cell r="Q620" t="str">
            <v>1030</v>
          </cell>
        </row>
        <row r="620">
          <cell r="U620" t="str">
            <v>010000691072</v>
          </cell>
          <cell r="V620" t="str">
            <v>PANQIFANG</v>
          </cell>
          <cell r="W620" t="str">
            <v/>
          </cell>
          <cell r="X620" t="str">
            <v>CP-108-A</v>
          </cell>
          <cell r="Y620" t="str">
            <v/>
          </cell>
          <cell r="Z620" t="str">
            <v>1915</v>
          </cell>
          <cell r="AA620" t="str">
            <v>1100139094</v>
          </cell>
          <cell r="AB620">
            <v>90</v>
          </cell>
          <cell r="AC620" t="str">
            <v/>
          </cell>
          <cell r="AD620">
            <v>25</v>
          </cell>
          <cell r="AE620" t="str">
            <v>G-100010426-241221-0094</v>
          </cell>
        </row>
        <row r="621">
          <cell r="B621" t="str">
            <v>7100956714</v>
          </cell>
          <cell r="C621" t="str">
            <v>G2405-0455</v>
          </cell>
          <cell r="D621" t="str">
            <v>000042944160045412</v>
          </cell>
          <cell r="E621" t="str">
            <v>螺钉</v>
          </cell>
          <cell r="F621" t="str">
            <v>51-04-4020</v>
          </cell>
          <cell r="G621" t="str">
            <v>-</v>
          </cell>
          <cell r="H621" t="str">
            <v>d=3.55-3.3</v>
          </cell>
          <cell r="I621" t="str">
            <v>Ep·Ag5-9</v>
          </cell>
          <cell r="J621" t="str">
            <v>GH4698</v>
          </cell>
          <cell r="K621">
            <v>869</v>
          </cell>
          <cell r="L621">
            <v>45805</v>
          </cell>
          <cell r="M621" t="str">
            <v>4-检验完成</v>
          </cell>
        </row>
        <row r="621">
          <cell r="O621">
            <v>0</v>
          </cell>
          <cell r="P621" t="str">
            <v>中国人民解放军第五七〇二工厂(国营四达机械制造公司)</v>
          </cell>
          <cell r="Q621" t="str">
            <v>30</v>
          </cell>
          <cell r="R621">
            <v>45807</v>
          </cell>
        </row>
        <row r="621">
          <cell r="U621" t="str">
            <v>010000698306</v>
          </cell>
          <cell r="V621" t="str">
            <v>PANQIFANG</v>
          </cell>
          <cell r="W621" t="str">
            <v/>
          </cell>
          <cell r="X621" t="str">
            <v>CP-70-5-1-1</v>
          </cell>
          <cell r="Y621" t="str">
            <v/>
          </cell>
          <cell r="Z621" t="str">
            <v>1915</v>
          </cell>
          <cell r="AA621" t="str">
            <v>1100139094</v>
          </cell>
          <cell r="AB621">
            <v>7200</v>
          </cell>
          <cell r="AC621" t="str">
            <v/>
          </cell>
          <cell r="AD621">
            <v>54</v>
          </cell>
          <cell r="AE621" t="str">
            <v>G-100010426-241221-0094</v>
          </cell>
        </row>
        <row r="622">
          <cell r="B622" t="str">
            <v>7100956715</v>
          </cell>
          <cell r="C622" t="str">
            <v>G2306-2501</v>
          </cell>
          <cell r="D622" t="str">
            <v>000042944999045517</v>
          </cell>
          <cell r="E622" t="str">
            <v>管夹</v>
          </cell>
          <cell r="F622" t="str">
            <v>51-03-4017-01</v>
          </cell>
          <cell r="G622" t="str">
            <v>-</v>
          </cell>
          <cell r="H622" t="str">
            <v>退火</v>
          </cell>
          <cell r="I622" t="str">
            <v/>
          </cell>
          <cell r="J622" t="str">
            <v>TC2</v>
          </cell>
          <cell r="K622">
            <v>30</v>
          </cell>
          <cell r="L622">
            <v>45805</v>
          </cell>
          <cell r="M622" t="str">
            <v>3-配货完成</v>
          </cell>
        </row>
        <row r="622">
          <cell r="O622">
            <v>0</v>
          </cell>
          <cell r="P622" t="str">
            <v>中国人民解放军第五七〇二工厂(国营四达机械制造公司)</v>
          </cell>
          <cell r="Q622" t="str">
            <v>150</v>
          </cell>
        </row>
        <row r="622">
          <cell r="U622" t="str">
            <v>010000614884</v>
          </cell>
          <cell r="V622" t="str">
            <v>PANQIFANG</v>
          </cell>
          <cell r="W622" t="str">
            <v/>
          </cell>
          <cell r="X622" t="str">
            <v>CP-40-1-4-6</v>
          </cell>
          <cell r="Y622" t="str">
            <v/>
          </cell>
          <cell r="Z622" t="str">
            <v>1915</v>
          </cell>
          <cell r="AA622" t="str">
            <v>1100139094</v>
          </cell>
          <cell r="AB622">
            <v>30</v>
          </cell>
          <cell r="AC622" t="str">
            <v/>
          </cell>
          <cell r="AD622">
            <v>1038.8</v>
          </cell>
          <cell r="AE622" t="str">
            <v>G-100010426-241221-0094</v>
          </cell>
        </row>
        <row r="623">
          <cell r="B623" t="str">
            <v>7100956727</v>
          </cell>
          <cell r="C623" t="str">
            <v>G2310-0330</v>
          </cell>
          <cell r="D623" t="str">
            <v>000042944239014409</v>
          </cell>
          <cell r="E623" t="str">
            <v>十二角头螺栓</v>
          </cell>
          <cell r="F623" t="str">
            <v>ΦK186122</v>
          </cell>
          <cell r="G623" t="str">
            <v>-</v>
          </cell>
          <cell r="H623" t="str">
            <v>248-341HB</v>
          </cell>
          <cell r="I623" t="str">
            <v/>
          </cell>
          <cell r="J623" t="str">
            <v>GH2132</v>
          </cell>
          <cell r="K623">
            <v>30</v>
          </cell>
          <cell r="L623">
            <v>45805</v>
          </cell>
          <cell r="M623" t="str">
            <v>4-检验完成</v>
          </cell>
        </row>
        <row r="623">
          <cell r="O623">
            <v>0</v>
          </cell>
          <cell r="P623" t="str">
            <v>中国人民解放军第五七〇二工厂(国营四达机械制造公司)</v>
          </cell>
          <cell r="Q623" t="str">
            <v>110</v>
          </cell>
          <cell r="R623">
            <v>45809</v>
          </cell>
        </row>
        <row r="623">
          <cell r="U623" t="str">
            <v>010000640306</v>
          </cell>
          <cell r="V623" t="str">
            <v>PANQIFANG</v>
          </cell>
          <cell r="W623" t="str">
            <v/>
          </cell>
          <cell r="X623" t="str">
            <v>CP-C7-2-4-2</v>
          </cell>
          <cell r="Y623" t="str">
            <v/>
          </cell>
          <cell r="Z623" t="str">
            <v>1915</v>
          </cell>
          <cell r="AA623" t="str">
            <v>1100139465</v>
          </cell>
          <cell r="AB623">
            <v>30</v>
          </cell>
          <cell r="AC623" t="str">
            <v/>
          </cell>
          <cell r="AD623">
            <v>36</v>
          </cell>
          <cell r="AE623" t="str">
            <v>G-100010426-241228-0112</v>
          </cell>
        </row>
        <row r="624">
          <cell r="B624" t="str">
            <v>7100956728</v>
          </cell>
          <cell r="C624" t="str">
            <v>G2101-2740</v>
          </cell>
          <cell r="D624" t="str">
            <v>000042944239014236</v>
          </cell>
          <cell r="E624" t="str">
            <v>十二角头螺栓</v>
          </cell>
          <cell r="F624" t="str">
            <v>ΦBLT1460</v>
          </cell>
          <cell r="G624" t="str">
            <v>-</v>
          </cell>
          <cell r="H624" t="str">
            <v>269-331HB</v>
          </cell>
          <cell r="I624" t="str">
            <v/>
          </cell>
          <cell r="J624" t="str">
            <v>1Cr12Ni2WMoVNb</v>
          </cell>
          <cell r="K624">
            <v>4</v>
          </cell>
          <cell r="L624">
            <v>45805</v>
          </cell>
          <cell r="M624" t="str">
            <v>1-已打印</v>
          </cell>
        </row>
        <row r="624">
          <cell r="O624">
            <v>0</v>
          </cell>
          <cell r="P624" t="str">
            <v>中国人民解放军第五七〇二工厂(国营四达机械制造公司)</v>
          </cell>
          <cell r="Q624" t="str">
            <v>210</v>
          </cell>
        </row>
        <row r="624">
          <cell r="U624" t="str">
            <v>010000325505</v>
          </cell>
          <cell r="V624" t="str">
            <v/>
          </cell>
          <cell r="W624" t="str">
            <v/>
          </cell>
          <cell r="X624" t="str">
            <v>CP-11-2-4-1</v>
          </cell>
          <cell r="Y624" t="str">
            <v/>
          </cell>
          <cell r="Z624" t="str">
            <v>1915</v>
          </cell>
          <cell r="AA624" t="str">
            <v>1100139465</v>
          </cell>
          <cell r="AB624">
            <v>200</v>
          </cell>
          <cell r="AC624" t="str">
            <v/>
          </cell>
          <cell r="AD624">
            <v>21</v>
          </cell>
          <cell r="AE624" t="str">
            <v>G-100010426-241228-0112</v>
          </cell>
        </row>
        <row r="625">
          <cell r="B625" t="str">
            <v>7100956728</v>
          </cell>
          <cell r="C625" t="str">
            <v>G2310-0222</v>
          </cell>
          <cell r="D625" t="str">
            <v>000042944239014236</v>
          </cell>
          <cell r="E625" t="str">
            <v>十二角头螺栓</v>
          </cell>
          <cell r="F625" t="str">
            <v>ΦBLT1460</v>
          </cell>
          <cell r="G625" t="str">
            <v>-</v>
          </cell>
          <cell r="H625" t="str">
            <v>269-331HB</v>
          </cell>
          <cell r="I625" t="str">
            <v/>
          </cell>
          <cell r="J625" t="str">
            <v>1Cr12Ni2WMoVNb</v>
          </cell>
          <cell r="K625">
            <v>196</v>
          </cell>
          <cell r="L625">
            <v>45805</v>
          </cell>
          <cell r="M625" t="str">
            <v>1-已打印</v>
          </cell>
        </row>
        <row r="625">
          <cell r="O625">
            <v>0</v>
          </cell>
          <cell r="P625" t="str">
            <v>中国人民解放军第五七〇二工厂(国营四达机械制造公司)</v>
          </cell>
          <cell r="Q625" t="str">
            <v>210</v>
          </cell>
        </row>
        <row r="625">
          <cell r="U625" t="str">
            <v>010000640181</v>
          </cell>
          <cell r="V625" t="str">
            <v/>
          </cell>
          <cell r="W625" t="str">
            <v/>
          </cell>
          <cell r="X625" t="str">
            <v>CP-42-2-4-5</v>
          </cell>
          <cell r="Y625" t="str">
            <v/>
          </cell>
          <cell r="Z625" t="str">
            <v>1915</v>
          </cell>
          <cell r="AA625" t="str">
            <v>1100139465</v>
          </cell>
          <cell r="AB625">
            <v>200</v>
          </cell>
          <cell r="AC625" t="str">
            <v/>
          </cell>
          <cell r="AD625">
            <v>21</v>
          </cell>
          <cell r="AE625" t="str">
            <v>G-100010426-241228-0112</v>
          </cell>
        </row>
        <row r="626">
          <cell r="B626" t="str">
            <v>7100956730</v>
          </cell>
          <cell r="C626" t="str">
            <v>G2310-0489</v>
          </cell>
          <cell r="D626" t="str">
            <v>000042944288002859</v>
          </cell>
          <cell r="E626" t="str">
            <v>十二角自锁螺母</v>
          </cell>
          <cell r="F626" t="str">
            <v>ΦU125943</v>
          </cell>
          <cell r="G626" t="str">
            <v>-</v>
          </cell>
          <cell r="H626" t="str">
            <v>277-363HB</v>
          </cell>
          <cell r="I626" t="str">
            <v>Ep·Ag</v>
          </cell>
          <cell r="J626" t="str">
            <v>GH2132</v>
          </cell>
          <cell r="K626">
            <v>170</v>
          </cell>
          <cell r="L626">
            <v>45805</v>
          </cell>
          <cell r="M626" t="str">
            <v>1-已打印</v>
          </cell>
        </row>
        <row r="626">
          <cell r="O626">
            <v>0</v>
          </cell>
          <cell r="P626" t="str">
            <v>中国人民解放军第五七〇二工厂(国营四达机械制造公司)</v>
          </cell>
          <cell r="Q626" t="str">
            <v>260</v>
          </cell>
        </row>
        <row r="626">
          <cell r="U626" t="str">
            <v>010000640696</v>
          </cell>
          <cell r="V626" t="str">
            <v/>
          </cell>
          <cell r="W626" t="str">
            <v/>
          </cell>
          <cell r="X626" t="str">
            <v>CP-40-1-3-1</v>
          </cell>
          <cell r="Y626" t="str">
            <v/>
          </cell>
          <cell r="Z626" t="str">
            <v>1915</v>
          </cell>
          <cell r="AA626" t="str">
            <v>1100139465</v>
          </cell>
          <cell r="AB626">
            <v>170</v>
          </cell>
          <cell r="AC626" t="str">
            <v/>
          </cell>
          <cell r="AD626">
            <v>39.5</v>
          </cell>
          <cell r="AE626" t="str">
            <v>G-100010426-241228-0112</v>
          </cell>
        </row>
        <row r="627">
          <cell r="B627" t="str">
            <v>7100956732</v>
          </cell>
          <cell r="C627" t="str">
            <v>G2408-0959</v>
          </cell>
          <cell r="D627" t="str">
            <v>000042944288002870</v>
          </cell>
          <cell r="E627" t="str">
            <v>铆轴开槽自锁螺母</v>
          </cell>
          <cell r="F627" t="str">
            <v>ΦU146052</v>
          </cell>
          <cell r="G627" t="str">
            <v>-</v>
          </cell>
          <cell r="H627" t="str">
            <v>277-363HB</v>
          </cell>
          <cell r="I627" t="str">
            <v>Ep·Ag</v>
          </cell>
          <cell r="J627" t="str">
            <v>GH2132</v>
          </cell>
          <cell r="K627">
            <v>168</v>
          </cell>
          <cell r="L627">
            <v>45805</v>
          </cell>
          <cell r="M627" t="str">
            <v>1-已打印</v>
          </cell>
        </row>
        <row r="627">
          <cell r="O627">
            <v>0</v>
          </cell>
          <cell r="P627" t="str">
            <v>中国人民解放军第五七〇二工厂(国营四达机械制造公司)</v>
          </cell>
          <cell r="Q627" t="str">
            <v>590</v>
          </cell>
        </row>
        <row r="627">
          <cell r="U627" t="str">
            <v>010000727105</v>
          </cell>
          <cell r="V627" t="str">
            <v/>
          </cell>
          <cell r="W627" t="str">
            <v/>
          </cell>
          <cell r="X627" t="str">
            <v>CP-56-2-3-4</v>
          </cell>
          <cell r="Y627" t="str">
            <v/>
          </cell>
          <cell r="Z627" t="str">
            <v>1915</v>
          </cell>
          <cell r="AA627" t="str">
            <v>1100139465</v>
          </cell>
          <cell r="AB627">
            <v>200</v>
          </cell>
          <cell r="AC627" t="str">
            <v/>
          </cell>
          <cell r="AD627">
            <v>64</v>
          </cell>
          <cell r="AE627" t="str">
            <v>G-100010426-241228-0112</v>
          </cell>
        </row>
        <row r="628">
          <cell r="B628" t="str">
            <v>7100956735</v>
          </cell>
          <cell r="C628" t="str">
            <v>G2311-0943</v>
          </cell>
          <cell r="D628" t="str">
            <v>000042944999045513</v>
          </cell>
          <cell r="E628" t="str">
            <v>快卸环</v>
          </cell>
          <cell r="F628" t="str">
            <v>44-03-235</v>
          </cell>
          <cell r="G628" t="str">
            <v>-</v>
          </cell>
          <cell r="H628" t="str">
            <v>退火</v>
          </cell>
          <cell r="I628" t="str">
            <v/>
          </cell>
          <cell r="J628" t="str">
            <v>TC2</v>
          </cell>
          <cell r="K628">
            <v>18</v>
          </cell>
          <cell r="L628">
            <v>45805</v>
          </cell>
          <cell r="M628" t="str">
            <v>3-配货完成</v>
          </cell>
        </row>
        <row r="628">
          <cell r="O628">
            <v>0</v>
          </cell>
          <cell r="P628" t="str">
            <v>中国人民解放军第五七〇二工厂(国营四达机械制造公司)</v>
          </cell>
          <cell r="Q628" t="str">
            <v>40</v>
          </cell>
        </row>
        <row r="628">
          <cell r="U628" t="str">
            <v>010000650084</v>
          </cell>
          <cell r="V628" t="str">
            <v>PANQIFANG</v>
          </cell>
          <cell r="W628" t="str">
            <v/>
          </cell>
          <cell r="X628" t="str">
            <v>CP-43-3-2-2/3</v>
          </cell>
          <cell r="Y628" t="str">
            <v/>
          </cell>
          <cell r="Z628" t="str">
            <v>1915</v>
          </cell>
          <cell r="AA628" t="str">
            <v>1100132498</v>
          </cell>
          <cell r="AB628">
            <v>30</v>
          </cell>
          <cell r="AC628" t="str">
            <v/>
          </cell>
          <cell r="AD628">
            <v>4685</v>
          </cell>
          <cell r="AE628" t="str">
            <v>G-100010426-240731-0054</v>
          </cell>
        </row>
        <row r="629">
          <cell r="B629" t="str">
            <v>7100956952</v>
          </cell>
          <cell r="C629" t="str">
            <v>G2412-3015</v>
          </cell>
          <cell r="D629" t="str">
            <v>000042944000127909</v>
          </cell>
          <cell r="E629" t="str">
            <v>不锈钢带卡箍</v>
          </cell>
          <cell r="F629" t="str">
            <v>Q/4A3-51-22</v>
          </cell>
          <cell r="G629" t="str">
            <v/>
          </cell>
          <cell r="H629" t="str">
            <v/>
          </cell>
          <cell r="I629" t="str">
            <v/>
          </cell>
          <cell r="J629" t="str">
            <v>组件</v>
          </cell>
          <cell r="K629">
            <v>30</v>
          </cell>
          <cell r="L629">
            <v>45806</v>
          </cell>
          <cell r="M629" t="str">
            <v>3-配货完成</v>
          </cell>
        </row>
        <row r="629">
          <cell r="O629">
            <v>0</v>
          </cell>
          <cell r="P629" t="str">
            <v>中国人民解放军第五七〇二工厂(国营四达机械制造公司)</v>
          </cell>
          <cell r="Q629" t="str">
            <v>980</v>
          </cell>
        </row>
        <row r="629">
          <cell r="U629" t="str">
            <v>010000766433</v>
          </cell>
          <cell r="V629" t="str">
            <v>PANQIFANG</v>
          </cell>
          <cell r="W629" t="str">
            <v/>
          </cell>
          <cell r="X629" t="str">
            <v>CP-108-A</v>
          </cell>
          <cell r="Y629" t="str">
            <v/>
          </cell>
          <cell r="Z629" t="str">
            <v>1915</v>
          </cell>
          <cell r="AA629" t="str">
            <v>1100139094</v>
          </cell>
          <cell r="AB629">
            <v>50</v>
          </cell>
          <cell r="AC629" t="str">
            <v/>
          </cell>
          <cell r="AD629">
            <v>110</v>
          </cell>
          <cell r="AE629" t="str">
            <v>G-100010426-241221-0094</v>
          </cell>
        </row>
        <row r="630">
          <cell r="B630" t="str">
            <v>7100957202</v>
          </cell>
          <cell r="C630" t="str">
            <v>G2407-2928</v>
          </cell>
          <cell r="D630" t="str">
            <v>000042944000093348</v>
          </cell>
          <cell r="E630" t="str">
            <v>卡箍</v>
          </cell>
          <cell r="F630" t="str">
            <v>H6K-7605-137</v>
          </cell>
          <cell r="G630" t="str">
            <v>-</v>
          </cell>
          <cell r="H630" t="str">
            <v/>
          </cell>
          <cell r="I630" t="str">
            <v/>
          </cell>
          <cell r="J630" t="str">
            <v>组件</v>
          </cell>
          <cell r="K630">
            <v>14</v>
          </cell>
          <cell r="L630">
            <v>45806</v>
          </cell>
          <cell r="M630" t="str">
            <v>4-检验完成</v>
          </cell>
        </row>
        <row r="630">
          <cell r="O630">
            <v>0</v>
          </cell>
          <cell r="P630" t="str">
            <v>中国人民解放军第五七〇二工厂(国营四达机械制造公司)</v>
          </cell>
          <cell r="Q630" t="str">
            <v>40</v>
          </cell>
          <cell r="R630">
            <v>45807</v>
          </cell>
        </row>
        <row r="630">
          <cell r="U630" t="str">
            <v>010000722806</v>
          </cell>
          <cell r="V630" t="str">
            <v>PANQIFANG</v>
          </cell>
          <cell r="W630" t="str">
            <v/>
          </cell>
          <cell r="X630" t="str">
            <v>CP-108-A</v>
          </cell>
          <cell r="Y630" t="str">
            <v/>
          </cell>
          <cell r="Z630" t="str">
            <v>1915</v>
          </cell>
          <cell r="AA630" t="str">
            <v>1100107854</v>
          </cell>
          <cell r="AB630">
            <v>20</v>
          </cell>
          <cell r="AC630" t="str">
            <v/>
          </cell>
          <cell r="AD630">
            <v>13000</v>
          </cell>
          <cell r="AE630" t="str">
            <v>G0395-221208-874</v>
          </cell>
        </row>
        <row r="631">
          <cell r="B631" t="str">
            <v>7100957237</v>
          </cell>
          <cell r="C631" t="str">
            <v>G2411-0027</v>
          </cell>
          <cell r="D631" t="str">
            <v>000042944000092036</v>
          </cell>
          <cell r="E631" t="str">
            <v>锁片</v>
          </cell>
          <cell r="F631" t="str">
            <v>40-04-021-Ⅰ</v>
          </cell>
          <cell r="G631" t="str">
            <v/>
          </cell>
          <cell r="H631" t="str">
            <v>固溶</v>
          </cell>
          <cell r="I631" t="str">
            <v/>
          </cell>
          <cell r="J631" t="str">
            <v>GH3044</v>
          </cell>
          <cell r="K631">
            <v>725</v>
          </cell>
          <cell r="L631">
            <v>45806</v>
          </cell>
          <cell r="M631" t="str">
            <v>4-检验完成</v>
          </cell>
        </row>
        <row r="631">
          <cell r="O631">
            <v>0</v>
          </cell>
          <cell r="P631" t="str">
            <v>中国人民解放军第五七〇二工厂(国营四达机械制造公司)</v>
          </cell>
          <cell r="Q631" t="str">
            <v>80</v>
          </cell>
          <cell r="R631">
            <v>45809</v>
          </cell>
        </row>
        <row r="631">
          <cell r="U631" t="str">
            <v>010000747172</v>
          </cell>
          <cell r="V631" t="str">
            <v>QIAOXUPENG</v>
          </cell>
          <cell r="W631" t="str">
            <v/>
          </cell>
          <cell r="X631" t="str">
            <v>CP-108-A</v>
          </cell>
          <cell r="Y631" t="str">
            <v/>
          </cell>
          <cell r="Z631" t="str">
            <v>1915</v>
          </cell>
          <cell r="AA631" t="str">
            <v>1100108062</v>
          </cell>
          <cell r="AB631">
            <v>1000</v>
          </cell>
          <cell r="AC631" t="str">
            <v/>
          </cell>
          <cell r="AD631">
            <v>38</v>
          </cell>
          <cell r="AE631" t="str">
            <v>G0395-20221226-1368-1</v>
          </cell>
        </row>
        <row r="632">
          <cell r="B632" t="str">
            <v>7100957237</v>
          </cell>
          <cell r="C632" t="str">
            <v>G2411-0027</v>
          </cell>
          <cell r="D632" t="str">
            <v>000042944000092036</v>
          </cell>
          <cell r="E632" t="str">
            <v>锁片</v>
          </cell>
          <cell r="F632" t="str">
            <v>40-04-021-Ⅰ</v>
          </cell>
          <cell r="G632" t="str">
            <v/>
          </cell>
          <cell r="H632" t="str">
            <v>固溶</v>
          </cell>
          <cell r="I632" t="str">
            <v/>
          </cell>
          <cell r="J632" t="str">
            <v>GH3044</v>
          </cell>
          <cell r="K632">
            <v>963</v>
          </cell>
          <cell r="L632">
            <v>45806</v>
          </cell>
          <cell r="M632" t="str">
            <v>4-检验完成</v>
          </cell>
        </row>
        <row r="632">
          <cell r="O632">
            <v>0</v>
          </cell>
          <cell r="P632" t="str">
            <v>中国人民解放军第五七〇二工厂(国营四达机械制造公司)</v>
          </cell>
          <cell r="Q632" t="str">
            <v>130</v>
          </cell>
          <cell r="R632">
            <v>45809</v>
          </cell>
        </row>
        <row r="632">
          <cell r="U632" t="str">
            <v>010000747172</v>
          </cell>
          <cell r="V632" t="str">
            <v>QIAOXUPENG</v>
          </cell>
          <cell r="W632" t="str">
            <v/>
          </cell>
          <cell r="X632" t="str">
            <v>CP-108-A</v>
          </cell>
          <cell r="Y632" t="str">
            <v/>
          </cell>
          <cell r="Z632" t="str">
            <v>1915</v>
          </cell>
          <cell r="AA632" t="str">
            <v>1100108062</v>
          </cell>
          <cell r="AB632">
            <v>1000</v>
          </cell>
          <cell r="AC632" t="str">
            <v/>
          </cell>
          <cell r="AD632">
            <v>38</v>
          </cell>
          <cell r="AE632" t="str">
            <v>G0395-20221226-1368-1</v>
          </cell>
        </row>
        <row r="633">
          <cell r="B633" t="str">
            <v>7100957336</v>
          </cell>
          <cell r="C633" t="str">
            <v>G2504-7009</v>
          </cell>
          <cell r="D633" t="str">
            <v>000042944281107433</v>
          </cell>
          <cell r="E633" t="str">
            <v>六角厚螺母</v>
          </cell>
          <cell r="F633" t="str">
            <v>HB1-401TA-M6</v>
          </cell>
          <cell r="G633" t="str">
            <v/>
          </cell>
          <cell r="H633" t="str">
            <v/>
          </cell>
          <cell r="I633" t="str">
            <v>镀银</v>
          </cell>
          <cell r="J633" t="str">
            <v>HPb59-1</v>
          </cell>
          <cell r="K633">
            <v>1200</v>
          </cell>
          <cell r="L633">
            <v>45806</v>
          </cell>
          <cell r="M633" t="str">
            <v>3-配货完成</v>
          </cell>
        </row>
        <row r="633">
          <cell r="O633">
            <v>0</v>
          </cell>
          <cell r="P633" t="str">
            <v>中国人民解放军第五七〇二工厂(国营四达机械制造公司)</v>
          </cell>
          <cell r="Q633" t="str">
            <v>250</v>
          </cell>
        </row>
        <row r="633">
          <cell r="U633" t="str">
            <v>010000810010</v>
          </cell>
          <cell r="V633" t="str">
            <v>PANQIFANG</v>
          </cell>
          <cell r="W633" t="str">
            <v/>
          </cell>
          <cell r="X633" t="str">
            <v>CP-108-A</v>
          </cell>
          <cell r="Y633" t="str">
            <v/>
          </cell>
          <cell r="Z633" t="str">
            <v>1915</v>
          </cell>
          <cell r="AA633" t="str">
            <v>1100144732</v>
          </cell>
          <cell r="AB633">
            <v>1200</v>
          </cell>
          <cell r="AC633" t="str">
            <v/>
          </cell>
          <cell r="AD633">
            <v>8</v>
          </cell>
          <cell r="AE633" t="str">
            <v>G-100010426-250406-0013</v>
          </cell>
        </row>
        <row r="634">
          <cell r="B634" t="str">
            <v>7101025020</v>
          </cell>
          <cell r="C634" t="str">
            <v>G2506-1596</v>
          </cell>
          <cell r="D634" t="str">
            <v>000042944000125676</v>
          </cell>
          <cell r="E634" t="str">
            <v>不锈钢带卡箍</v>
          </cell>
          <cell r="F634" t="str">
            <v>4A3-51-78</v>
          </cell>
          <cell r="G634" t="str">
            <v/>
          </cell>
          <cell r="H634" t="str">
            <v/>
          </cell>
          <cell r="I634" t="str">
            <v/>
          </cell>
          <cell r="J634" t="str">
            <v>组件</v>
          </cell>
          <cell r="K634">
            <v>150</v>
          </cell>
          <cell r="L634">
            <v>45952</v>
          </cell>
          <cell r="M634" t="str">
            <v>3-配货完成</v>
          </cell>
        </row>
        <row r="634">
          <cell r="O634">
            <v>0</v>
          </cell>
          <cell r="P634" t="str">
            <v>中国人民解放军第五七〇二工厂(国营四达机械制造公司)</v>
          </cell>
          <cell r="Q634" t="str">
            <v>1000</v>
          </cell>
        </row>
        <row r="634">
          <cell r="U634" t="str">
            <v>010000837455</v>
          </cell>
          <cell r="V634" t="str">
            <v>BIAOQIAN1</v>
          </cell>
          <cell r="W634" t="str">
            <v/>
          </cell>
          <cell r="X634" t="str">
            <v>CP-108-A</v>
          </cell>
          <cell r="Y634" t="str">
            <v/>
          </cell>
          <cell r="Z634" t="str">
            <v>1915</v>
          </cell>
          <cell r="AA634" t="str">
            <v>1100139094</v>
          </cell>
          <cell r="AB634">
            <v>150</v>
          </cell>
          <cell r="AC634" t="str">
            <v/>
          </cell>
          <cell r="AD634">
            <v>205</v>
          </cell>
          <cell r="AE634" t="str">
            <v>G-100010426-241221-0094</v>
          </cell>
        </row>
        <row r="635">
          <cell r="B635" t="str">
            <v>7101024922</v>
          </cell>
          <cell r="C635" t="str">
            <v>G2507-2267</v>
          </cell>
          <cell r="D635" t="str">
            <v>000042944000125677</v>
          </cell>
          <cell r="E635" t="str">
            <v>不锈钢带卡箍</v>
          </cell>
          <cell r="F635" t="str">
            <v>4A3-51-80</v>
          </cell>
          <cell r="G635" t="str">
            <v/>
          </cell>
          <cell r="H635" t="str">
            <v/>
          </cell>
          <cell r="I635" t="str">
            <v/>
          </cell>
          <cell r="J635" t="str">
            <v>组件</v>
          </cell>
          <cell r="K635">
            <v>88</v>
          </cell>
          <cell r="L635">
            <v>45951</v>
          </cell>
          <cell r="M635" t="str">
            <v>3-配货完成</v>
          </cell>
        </row>
        <row r="635">
          <cell r="O635">
            <v>0</v>
          </cell>
          <cell r="P635" t="str">
            <v>中国人民解放军第五七〇二工厂(国营四达机械制造公司)</v>
          </cell>
          <cell r="Q635" t="str">
            <v>1010</v>
          </cell>
        </row>
        <row r="635">
          <cell r="U635" t="str">
            <v>010000849641</v>
          </cell>
          <cell r="V635" t="str">
            <v>BIAOQIAN4</v>
          </cell>
          <cell r="W635" t="str">
            <v/>
          </cell>
          <cell r="X635" t="str">
            <v>CP-108-A</v>
          </cell>
          <cell r="Y635" t="str">
            <v/>
          </cell>
          <cell r="Z635" t="str">
            <v>1915</v>
          </cell>
          <cell r="AA635" t="str">
            <v>1100139094</v>
          </cell>
          <cell r="AB635">
            <v>120</v>
          </cell>
          <cell r="AC635" t="str">
            <v/>
          </cell>
          <cell r="AD635">
            <v>240</v>
          </cell>
          <cell r="AE635" t="str">
            <v>G-100010426-241221-0094</v>
          </cell>
        </row>
        <row r="636">
          <cell r="B636" t="str">
            <v>7101024888</v>
          </cell>
          <cell r="C636" t="str">
            <v>G2501-0766</v>
          </cell>
          <cell r="D636" t="str">
            <v>000042944288002562</v>
          </cell>
          <cell r="E636" t="str">
            <v>自锁螺母</v>
          </cell>
          <cell r="F636" t="str">
            <v>S18.4.0202</v>
          </cell>
          <cell r="G636" t="str">
            <v>-</v>
          </cell>
          <cell r="H636" t="str">
            <v>27-35HRC</v>
          </cell>
          <cell r="I636" t="str">
            <v>Ep·Cd5-8·c2C</v>
          </cell>
          <cell r="J636" t="str">
            <v>30CrMnSiA</v>
          </cell>
          <cell r="K636">
            <v>9</v>
          </cell>
          <cell r="L636">
            <v>45951</v>
          </cell>
          <cell r="M636" t="str">
            <v>3-配货完成</v>
          </cell>
        </row>
        <row r="636">
          <cell r="O636">
            <v>0</v>
          </cell>
          <cell r="P636" t="str">
            <v>中国人民解放军第五七〇二工厂(国营四达机械制造公司)</v>
          </cell>
          <cell r="Q636" t="str">
            <v>40</v>
          </cell>
        </row>
        <row r="636">
          <cell r="U636" t="str">
            <v>010000771542</v>
          </cell>
          <cell r="V636" t="str">
            <v>BIAOQIAN2</v>
          </cell>
          <cell r="W636" t="str">
            <v/>
          </cell>
          <cell r="X636" t="str">
            <v>CP-108-A</v>
          </cell>
          <cell r="Y636" t="str">
            <v/>
          </cell>
          <cell r="Z636" t="str">
            <v>1915</v>
          </cell>
          <cell r="AA636" t="str">
            <v>1100139307</v>
          </cell>
          <cell r="AB636">
            <v>9</v>
          </cell>
          <cell r="AC636" t="str">
            <v/>
          </cell>
          <cell r="AD636">
            <v>18</v>
          </cell>
          <cell r="AE636" t="str">
            <v>G-100010426-241226-0105</v>
          </cell>
        </row>
        <row r="637">
          <cell r="B637" t="str">
            <v>7101024845</v>
          </cell>
          <cell r="C637" t="str">
            <v>G2508-1361</v>
          </cell>
          <cell r="D637" t="str">
            <v>000042944000002215</v>
          </cell>
          <cell r="E637" t="str">
            <v>A型直通管接头</v>
          </cell>
          <cell r="F637" t="str">
            <v>HB4-5-10</v>
          </cell>
          <cell r="G637" t="str">
            <v/>
          </cell>
          <cell r="H637" t="str">
            <v/>
          </cell>
          <cell r="I637" t="str">
            <v>Et·A(S)·Cs</v>
          </cell>
          <cell r="J637" t="str">
            <v>2A12</v>
          </cell>
          <cell r="K637">
            <v>100</v>
          </cell>
          <cell r="L637">
            <v>45951</v>
          </cell>
          <cell r="M637" t="str">
            <v>3-配货完成</v>
          </cell>
        </row>
        <row r="637">
          <cell r="O637">
            <v>0</v>
          </cell>
          <cell r="P637" t="str">
            <v>中国人民解放军第五七〇二工厂(国营四达机械制造公司)</v>
          </cell>
          <cell r="Q637" t="str">
            <v>380</v>
          </cell>
        </row>
        <row r="637">
          <cell r="U637" t="str">
            <v>010000855928</v>
          </cell>
          <cell r="V637" t="str">
            <v>BIAOQIAN3</v>
          </cell>
          <cell r="W637" t="str">
            <v/>
          </cell>
          <cell r="X637" t="str">
            <v>CP-108-A</v>
          </cell>
          <cell r="Y637" t="str">
            <v/>
          </cell>
          <cell r="Z637" t="str">
            <v>1915</v>
          </cell>
          <cell r="AA637" t="str">
            <v>1100151484</v>
          </cell>
          <cell r="AB637">
            <v>100</v>
          </cell>
          <cell r="AC637" t="str">
            <v/>
          </cell>
          <cell r="AD637">
            <v>15</v>
          </cell>
          <cell r="AE637" t="str">
            <v>G-100010426-250812-0023</v>
          </cell>
        </row>
        <row r="638">
          <cell r="B638" t="str">
            <v>7101024627</v>
          </cell>
          <cell r="C638" t="str">
            <v>G2508-7520</v>
          </cell>
          <cell r="D638" t="str">
            <v>000042944999004545</v>
          </cell>
          <cell r="E638" t="str">
            <v>平管嘴</v>
          </cell>
          <cell r="F638" t="str">
            <v>HB4-44G-14</v>
          </cell>
          <cell r="G638" t="str">
            <v/>
          </cell>
          <cell r="H638" t="str">
            <v>正火</v>
          </cell>
          <cell r="I638" t="str">
            <v>Ep·Zn·c2C</v>
          </cell>
          <cell r="J638" t="str">
            <v>45A</v>
          </cell>
          <cell r="K638">
            <v>270</v>
          </cell>
          <cell r="L638">
            <v>45951</v>
          </cell>
          <cell r="M638" t="str">
            <v>4-检验完成</v>
          </cell>
        </row>
        <row r="638">
          <cell r="O638">
            <v>0</v>
          </cell>
          <cell r="P638" t="str">
            <v>中国人民解放军第五七〇二工厂(国营四达机械制造公司)</v>
          </cell>
          <cell r="Q638" t="str">
            <v>10</v>
          </cell>
          <cell r="R638">
            <v>45952</v>
          </cell>
        </row>
        <row r="638">
          <cell r="U638" t="str">
            <v>010000855689</v>
          </cell>
          <cell r="V638" t="str">
            <v>BIAOQIAN2</v>
          </cell>
          <cell r="W638" t="str">
            <v/>
          </cell>
          <cell r="X638" t="str">
            <v>CP-108-A</v>
          </cell>
          <cell r="Y638" t="str">
            <v/>
          </cell>
          <cell r="Z638" t="str">
            <v>1915</v>
          </cell>
          <cell r="AA638" t="str">
            <v>1100151531</v>
          </cell>
          <cell r="AB638">
            <v>270</v>
          </cell>
          <cell r="AC638" t="str">
            <v/>
          </cell>
          <cell r="AD638">
            <v>7</v>
          </cell>
          <cell r="AE638" t="str">
            <v>G-100010426-250815-0027</v>
          </cell>
        </row>
        <row r="639">
          <cell r="B639" t="str">
            <v>7101024460</v>
          </cell>
          <cell r="C639" t="str">
            <v>G2507-2488</v>
          </cell>
          <cell r="D639" t="str">
            <v>000042944360006158</v>
          </cell>
          <cell r="E639" t="str">
            <v>固定弹簧片的有头带槽销</v>
          </cell>
          <cell r="F639" t="str">
            <v>ΦJR11109</v>
          </cell>
          <cell r="G639" t="str">
            <v>-</v>
          </cell>
          <cell r="H639" t="str">
            <v/>
          </cell>
          <cell r="I639" t="str">
            <v/>
          </cell>
          <cell r="J639" t="str">
            <v>1Cr18Ni9Ti</v>
          </cell>
          <cell r="K639">
            <v>40</v>
          </cell>
          <cell r="L639">
            <v>45950</v>
          </cell>
          <cell r="M639" t="str">
            <v>3-配货完成</v>
          </cell>
        </row>
        <row r="639">
          <cell r="O639">
            <v>0</v>
          </cell>
          <cell r="P639" t="str">
            <v>中国人民解放军第五七〇二工厂(国营四达机械制造公司)</v>
          </cell>
          <cell r="Q639" t="str">
            <v>150</v>
          </cell>
        </row>
        <row r="639">
          <cell r="U639" t="str">
            <v>010000850540</v>
          </cell>
          <cell r="V639" t="str">
            <v>BIAOQIAN1</v>
          </cell>
          <cell r="W639" t="str">
            <v/>
          </cell>
          <cell r="X639" t="str">
            <v>CP-108-A</v>
          </cell>
          <cell r="Y639" t="str">
            <v/>
          </cell>
          <cell r="Z639" t="str">
            <v>1915</v>
          </cell>
          <cell r="AA639" t="str">
            <v>1100150902</v>
          </cell>
          <cell r="AB639">
            <v>40</v>
          </cell>
          <cell r="AC639" t="str">
            <v/>
          </cell>
          <cell r="AD639">
            <v>46</v>
          </cell>
          <cell r="AE639" t="str">
            <v>G-100010426-250730-0022</v>
          </cell>
        </row>
        <row r="640">
          <cell r="B640" t="str">
            <v>7101021187</v>
          </cell>
          <cell r="C640" t="str">
            <v>G2402-1465</v>
          </cell>
          <cell r="D640" t="str">
            <v>000042944000093351</v>
          </cell>
          <cell r="E640" t="str">
            <v>卡箍</v>
          </cell>
          <cell r="F640" t="str">
            <v>H6K-7603-025</v>
          </cell>
          <cell r="G640" t="str">
            <v>-</v>
          </cell>
          <cell r="H640" t="str">
            <v/>
          </cell>
          <cell r="I640" t="str">
            <v/>
          </cell>
          <cell r="J640" t="str">
            <v>组件</v>
          </cell>
          <cell r="K640">
            <v>21</v>
          </cell>
          <cell r="L640">
            <v>45945</v>
          </cell>
          <cell r="M640" t="str">
            <v>4-检验完成</v>
          </cell>
        </row>
        <row r="640">
          <cell r="O640">
            <v>0</v>
          </cell>
          <cell r="P640" t="str">
            <v>中国人民解放军第五七〇二工厂(国营四达机械制造公司)</v>
          </cell>
          <cell r="Q640" t="str">
            <v>20</v>
          </cell>
          <cell r="R640">
            <v>45946</v>
          </cell>
        </row>
        <row r="640">
          <cell r="U640" t="str">
            <v>010000675896</v>
          </cell>
          <cell r="V640" t="str">
            <v>BIAOQIAN3</v>
          </cell>
          <cell r="W640" t="str">
            <v/>
          </cell>
          <cell r="X640" t="str">
            <v>CP-C8-5-4-6</v>
          </cell>
          <cell r="Y640" t="str">
            <v/>
          </cell>
          <cell r="Z640" t="str">
            <v>1915</v>
          </cell>
          <cell r="AA640" t="str">
            <v>1100107854</v>
          </cell>
          <cell r="AB640">
            <v>21</v>
          </cell>
          <cell r="AC640" t="str">
            <v/>
          </cell>
          <cell r="AD640">
            <v>9000</v>
          </cell>
          <cell r="AE640" t="str">
            <v>G0395-221208-874</v>
          </cell>
        </row>
        <row r="641">
          <cell r="B641" t="str">
            <v>7101021184</v>
          </cell>
          <cell r="C641" t="str">
            <v>G2212-1447</v>
          </cell>
          <cell r="D641" t="str">
            <v>000042944000093345</v>
          </cell>
          <cell r="E641" t="str">
            <v>卡箍</v>
          </cell>
          <cell r="F641" t="str">
            <v>H6K-7611-040</v>
          </cell>
          <cell r="G641" t="str">
            <v>-</v>
          </cell>
          <cell r="H641" t="str">
            <v/>
          </cell>
          <cell r="I641" t="str">
            <v/>
          </cell>
          <cell r="J641" t="str">
            <v>组件</v>
          </cell>
          <cell r="K641">
            <v>14</v>
          </cell>
          <cell r="L641">
            <v>45945</v>
          </cell>
          <cell r="M641" t="str">
            <v>4-检验完成</v>
          </cell>
        </row>
        <row r="641">
          <cell r="O641">
            <v>0</v>
          </cell>
          <cell r="P641" t="str">
            <v>中国人民解放军第五七〇二工厂(国营四达机械制造公司)</v>
          </cell>
          <cell r="Q641" t="str">
            <v>70</v>
          </cell>
          <cell r="R641">
            <v>45947</v>
          </cell>
        </row>
        <row r="641">
          <cell r="U641" t="str">
            <v>010000557758</v>
          </cell>
          <cell r="V641" t="str">
            <v>PANQIFANG</v>
          </cell>
          <cell r="W641" t="str">
            <v/>
          </cell>
          <cell r="X641" t="str">
            <v>CP-108-A</v>
          </cell>
          <cell r="Y641" t="str">
            <v/>
          </cell>
          <cell r="Z641" t="str">
            <v>1915</v>
          </cell>
          <cell r="AA641" t="str">
            <v>1100107854</v>
          </cell>
          <cell r="AB641">
            <v>14</v>
          </cell>
          <cell r="AC641" t="str">
            <v/>
          </cell>
          <cell r="AD641">
            <v>4250</v>
          </cell>
          <cell r="AE641" t="str">
            <v>G0395-221208-874</v>
          </cell>
        </row>
        <row r="642">
          <cell r="B642" t="str">
            <v>7101021184</v>
          </cell>
          <cell r="C642" t="str">
            <v>G2406-1879</v>
          </cell>
          <cell r="D642" t="str">
            <v>000042944000093346</v>
          </cell>
          <cell r="E642" t="str">
            <v>卡箍</v>
          </cell>
          <cell r="F642" t="str">
            <v>H6K-7613-010</v>
          </cell>
          <cell r="G642" t="str">
            <v>-</v>
          </cell>
          <cell r="H642" t="str">
            <v/>
          </cell>
          <cell r="I642" t="str">
            <v/>
          </cell>
          <cell r="J642" t="str">
            <v>组件</v>
          </cell>
          <cell r="K642">
            <v>13</v>
          </cell>
          <cell r="L642">
            <v>45945</v>
          </cell>
          <cell r="M642" t="str">
            <v>4-检验完成</v>
          </cell>
        </row>
        <row r="642">
          <cell r="O642">
            <v>0</v>
          </cell>
          <cell r="P642" t="str">
            <v>中国人民解放军第五七〇二工厂(国营四达机械制造公司)</v>
          </cell>
          <cell r="Q642" t="str">
            <v>80</v>
          </cell>
          <cell r="R642">
            <v>45947</v>
          </cell>
        </row>
        <row r="642">
          <cell r="U642" t="str">
            <v>010000712978</v>
          </cell>
          <cell r="V642" t="str">
            <v>PANQIFANG</v>
          </cell>
          <cell r="W642" t="str">
            <v/>
          </cell>
          <cell r="X642" t="str">
            <v>CP-C8-5-4-6</v>
          </cell>
          <cell r="Y642" t="str">
            <v/>
          </cell>
          <cell r="Z642" t="str">
            <v>1915</v>
          </cell>
          <cell r="AA642" t="str">
            <v>1100107854</v>
          </cell>
          <cell r="AB642">
            <v>13</v>
          </cell>
          <cell r="AC642" t="str">
            <v/>
          </cell>
          <cell r="AD642">
            <v>9000</v>
          </cell>
          <cell r="AE642" t="str">
            <v>G0395-221208-874</v>
          </cell>
        </row>
        <row r="643">
          <cell r="B643" t="str">
            <v>7100996276</v>
          </cell>
          <cell r="C643" t="str">
            <v>G2504-4152</v>
          </cell>
          <cell r="D643" t="str">
            <v>000042944000093352</v>
          </cell>
          <cell r="E643" t="str">
            <v>卡箍</v>
          </cell>
          <cell r="F643" t="str">
            <v>H6K-7611-010</v>
          </cell>
          <cell r="G643" t="str">
            <v>-</v>
          </cell>
          <cell r="H643" t="str">
            <v/>
          </cell>
          <cell r="I643" t="str">
            <v/>
          </cell>
          <cell r="J643" t="str">
            <v>组件</v>
          </cell>
          <cell r="K643">
            <v>41</v>
          </cell>
          <cell r="L643">
            <v>45890</v>
          </cell>
          <cell r="M643" t="str">
            <v>4-检验完成</v>
          </cell>
        </row>
        <row r="643">
          <cell r="O643">
            <v>0</v>
          </cell>
          <cell r="P643" t="str">
            <v>中国人民解放军第五七〇二工厂(国营四达机械制造公司)</v>
          </cell>
          <cell r="Q643" t="str">
            <v>20</v>
          </cell>
          <cell r="R643">
            <v>45891</v>
          </cell>
        </row>
        <row r="643">
          <cell r="U643" t="str">
            <v>010000817238</v>
          </cell>
          <cell r="V643" t="str">
            <v>PANQIFANG</v>
          </cell>
          <cell r="W643" t="str">
            <v/>
          </cell>
          <cell r="X643" t="str">
            <v>CP-108-A</v>
          </cell>
          <cell r="Y643" t="str">
            <v/>
          </cell>
          <cell r="Z643" t="str">
            <v>1915</v>
          </cell>
          <cell r="AA643" t="str">
            <v>1100145684</v>
          </cell>
          <cell r="AB643">
            <v>50</v>
          </cell>
          <cell r="AC643" t="str">
            <v/>
          </cell>
          <cell r="AD643">
            <v>11000</v>
          </cell>
          <cell r="AE643" t="str">
            <v>G-100010426-250418-0014</v>
          </cell>
        </row>
        <row r="644">
          <cell r="B644" t="str">
            <v>7100996275</v>
          </cell>
          <cell r="C644" t="str">
            <v>G2504-4152</v>
          </cell>
          <cell r="D644" t="str">
            <v>000042944000093352</v>
          </cell>
          <cell r="E644" t="str">
            <v>卡箍</v>
          </cell>
          <cell r="F644" t="str">
            <v>H6K-7611-010</v>
          </cell>
          <cell r="G644" t="str">
            <v>-</v>
          </cell>
          <cell r="H644" t="str">
            <v/>
          </cell>
          <cell r="I644" t="str">
            <v/>
          </cell>
          <cell r="J644" t="str">
            <v>组件</v>
          </cell>
          <cell r="K644">
            <v>8</v>
          </cell>
          <cell r="L644">
            <v>45890</v>
          </cell>
          <cell r="M644" t="str">
            <v>4-检验完成</v>
          </cell>
        </row>
        <row r="644">
          <cell r="O644">
            <v>0</v>
          </cell>
          <cell r="P644" t="str">
            <v>中国人民解放军第五七〇二工厂(国营四达机械制造公司)</v>
          </cell>
          <cell r="Q644" t="str">
            <v>50</v>
          </cell>
          <cell r="R644">
            <v>45891</v>
          </cell>
        </row>
        <row r="644">
          <cell r="U644" t="str">
            <v>010000817238</v>
          </cell>
          <cell r="V644" t="str">
            <v>PANQIFANG</v>
          </cell>
          <cell r="W644" t="str">
            <v/>
          </cell>
          <cell r="X644" t="str">
            <v>CP-108-A</v>
          </cell>
          <cell r="Y644" t="str">
            <v/>
          </cell>
          <cell r="Z644" t="str">
            <v>1915</v>
          </cell>
          <cell r="AA644" t="str">
            <v>1100107854</v>
          </cell>
          <cell r="AB644">
            <v>22</v>
          </cell>
          <cell r="AC644" t="str">
            <v/>
          </cell>
          <cell r="AD644">
            <v>11000</v>
          </cell>
          <cell r="AE644" t="str">
            <v>G0395-221208-874</v>
          </cell>
        </row>
        <row r="645">
          <cell r="B645" t="str">
            <v>7100996195</v>
          </cell>
          <cell r="C645" t="str">
            <v>G2505-1634</v>
          </cell>
          <cell r="D645" t="str">
            <v>000042944000093352</v>
          </cell>
          <cell r="E645" t="str">
            <v>卡箍</v>
          </cell>
          <cell r="F645" t="str">
            <v>H6K-7611-010</v>
          </cell>
          <cell r="G645" t="str">
            <v>-</v>
          </cell>
          <cell r="H645" t="str">
            <v/>
          </cell>
          <cell r="I645" t="str">
            <v/>
          </cell>
          <cell r="J645" t="str">
            <v>组件</v>
          </cell>
          <cell r="K645">
            <v>14</v>
          </cell>
          <cell r="L645">
            <v>45889</v>
          </cell>
          <cell r="M645" t="str">
            <v>4-检验完成</v>
          </cell>
        </row>
        <row r="645">
          <cell r="O645">
            <v>0</v>
          </cell>
          <cell r="P645" t="str">
            <v>中国人民解放军第五七〇二工厂(国营四达机械制造公司)</v>
          </cell>
          <cell r="Q645" t="str">
            <v>50</v>
          </cell>
          <cell r="R645">
            <v>45891</v>
          </cell>
        </row>
        <row r="645">
          <cell r="U645" t="str">
            <v>010000828569</v>
          </cell>
          <cell r="V645" t="str">
            <v>PANQIFANG</v>
          </cell>
          <cell r="W645" t="str">
            <v/>
          </cell>
          <cell r="X645" t="str">
            <v>CP-108-A</v>
          </cell>
          <cell r="Y645" t="str">
            <v/>
          </cell>
          <cell r="Z645" t="str">
            <v>1915</v>
          </cell>
          <cell r="AA645" t="str">
            <v>1100107854</v>
          </cell>
          <cell r="AB645">
            <v>22</v>
          </cell>
          <cell r="AC645" t="str">
            <v/>
          </cell>
          <cell r="AD645">
            <v>11000</v>
          </cell>
          <cell r="AE645" t="str">
            <v>G0395-221208-874</v>
          </cell>
        </row>
        <row r="646">
          <cell r="B646" t="str">
            <v>7100957202</v>
          </cell>
          <cell r="C646" t="str">
            <v>G2407-2928</v>
          </cell>
          <cell r="D646" t="str">
            <v>000042944000093348</v>
          </cell>
          <cell r="E646" t="str">
            <v>卡箍</v>
          </cell>
          <cell r="F646" t="str">
            <v>H6K-7605-137</v>
          </cell>
          <cell r="G646" t="str">
            <v>-</v>
          </cell>
          <cell r="H646" t="str">
            <v/>
          </cell>
          <cell r="I646" t="str">
            <v/>
          </cell>
          <cell r="J646" t="str">
            <v>组件</v>
          </cell>
          <cell r="K646">
            <v>14</v>
          </cell>
          <cell r="L646">
            <v>45806</v>
          </cell>
          <cell r="M646" t="str">
            <v>4-检验完成</v>
          </cell>
        </row>
        <row r="646">
          <cell r="O646">
            <v>0</v>
          </cell>
          <cell r="P646" t="str">
            <v>中国人民解放军第五七〇二工厂(国营四达机械制造公司)</v>
          </cell>
          <cell r="Q646" t="str">
            <v>40</v>
          </cell>
          <cell r="R646">
            <v>45807</v>
          </cell>
        </row>
        <row r="646">
          <cell r="U646" t="str">
            <v>010000722806</v>
          </cell>
          <cell r="V646" t="str">
            <v>PANQIFANG</v>
          </cell>
          <cell r="W646" t="str">
            <v/>
          </cell>
          <cell r="X646" t="str">
            <v>CP-108-A</v>
          </cell>
          <cell r="Y646" t="str">
            <v/>
          </cell>
          <cell r="Z646" t="str">
            <v>1915</v>
          </cell>
          <cell r="AA646" t="str">
            <v>1100107854</v>
          </cell>
          <cell r="AB646">
            <v>20</v>
          </cell>
          <cell r="AC646" t="str">
            <v/>
          </cell>
          <cell r="AD646">
            <v>13000</v>
          </cell>
          <cell r="AE646" t="str">
            <v>G0395-221208-874</v>
          </cell>
        </row>
        <row r="647">
          <cell r="B647" t="str">
            <v>7100937491</v>
          </cell>
          <cell r="C647" t="str">
            <v>G2402-1465</v>
          </cell>
          <cell r="D647" t="str">
            <v>000042944000093351</v>
          </cell>
          <cell r="E647" t="str">
            <v>卡箍</v>
          </cell>
          <cell r="F647" t="str">
            <v>H6K-7603-025</v>
          </cell>
          <cell r="G647" t="str">
            <v>-</v>
          </cell>
          <cell r="H647" t="str">
            <v/>
          </cell>
          <cell r="I647" t="str">
            <v/>
          </cell>
          <cell r="J647" t="str">
            <v>组件</v>
          </cell>
          <cell r="K647">
            <v>10</v>
          </cell>
          <cell r="L647">
            <v>45768</v>
          </cell>
          <cell r="M647" t="str">
            <v>4-检验完成</v>
          </cell>
        </row>
        <row r="647">
          <cell r="O647">
            <v>0</v>
          </cell>
          <cell r="P647" t="str">
            <v>中国人民解放军第五七〇二工厂(国营四达机械制造公司)</v>
          </cell>
          <cell r="Q647" t="str">
            <v>10</v>
          </cell>
          <cell r="R647">
            <v>45772</v>
          </cell>
        </row>
        <row r="647">
          <cell r="U647" t="str">
            <v>010000675896</v>
          </cell>
          <cell r="V647" t="str">
            <v>PANQIFANG</v>
          </cell>
          <cell r="W647" t="str">
            <v/>
          </cell>
          <cell r="X647" t="str">
            <v>CP-108-A</v>
          </cell>
          <cell r="Y647" t="str">
            <v/>
          </cell>
          <cell r="Z647" t="str">
            <v>1915</v>
          </cell>
          <cell r="AA647" t="str">
            <v>1100145684</v>
          </cell>
          <cell r="AB647">
            <v>50</v>
          </cell>
          <cell r="AC647" t="str">
            <v/>
          </cell>
          <cell r="AD647">
            <v>9000</v>
          </cell>
          <cell r="AE647" t="str">
            <v>G-100010426-250418-0014</v>
          </cell>
        </row>
        <row r="648">
          <cell r="B648" t="str">
            <v>7100937491</v>
          </cell>
          <cell r="C648" t="str">
            <v>G2406-1677</v>
          </cell>
          <cell r="D648" t="str">
            <v>000042944000093351</v>
          </cell>
          <cell r="E648" t="str">
            <v>卡箍</v>
          </cell>
          <cell r="F648" t="str">
            <v>H6K-7603-025</v>
          </cell>
          <cell r="G648" t="str">
            <v>-</v>
          </cell>
          <cell r="H648" t="str">
            <v/>
          </cell>
          <cell r="I648" t="str">
            <v/>
          </cell>
          <cell r="J648" t="str">
            <v>组件</v>
          </cell>
          <cell r="K648">
            <v>34</v>
          </cell>
          <cell r="L648">
            <v>45768</v>
          </cell>
          <cell r="M648" t="str">
            <v>4-检验完成</v>
          </cell>
        </row>
        <row r="648">
          <cell r="O648">
            <v>0</v>
          </cell>
          <cell r="P648" t="str">
            <v>中国人民解放军第五七〇二工厂(国营四达机械制造公司)</v>
          </cell>
          <cell r="Q648" t="str">
            <v>10</v>
          </cell>
          <cell r="R648">
            <v>45772</v>
          </cell>
        </row>
        <row r="648">
          <cell r="U648" t="str">
            <v>010000712361</v>
          </cell>
          <cell r="V648" t="str">
            <v>PANQIFANG</v>
          </cell>
          <cell r="W648" t="str">
            <v/>
          </cell>
          <cell r="X648" t="str">
            <v>CP-108-A</v>
          </cell>
          <cell r="Y648" t="str">
            <v/>
          </cell>
          <cell r="Z648" t="str">
            <v>1915</v>
          </cell>
          <cell r="AA648" t="str">
            <v>1100145684</v>
          </cell>
          <cell r="AB648">
            <v>50</v>
          </cell>
          <cell r="AC648" t="str">
            <v/>
          </cell>
          <cell r="AD648">
            <v>9000</v>
          </cell>
          <cell r="AE648" t="str">
            <v>G-100010426-250418-0014</v>
          </cell>
        </row>
        <row r="649">
          <cell r="B649" t="str">
            <v>7101041690</v>
          </cell>
          <cell r="C649" t="str">
            <v>G2406-1879</v>
          </cell>
          <cell r="D649" t="str">
            <v>000042944000093346</v>
          </cell>
          <cell r="E649" t="str">
            <v>卡箍</v>
          </cell>
          <cell r="F649" t="str">
            <v>H6K-7613-010</v>
          </cell>
          <cell r="G649" t="str">
            <v>-</v>
          </cell>
          <cell r="H649" t="str">
            <v/>
          </cell>
          <cell r="I649" t="str">
            <v/>
          </cell>
          <cell r="J649" t="str">
            <v>组件</v>
          </cell>
          <cell r="K649">
            <v>13</v>
          </cell>
          <cell r="L649">
            <v>45986</v>
          </cell>
          <cell r="M649" t="str">
            <v>0-初始未打印</v>
          </cell>
        </row>
        <row r="649">
          <cell r="O649">
            <v>0</v>
          </cell>
          <cell r="P649" t="str">
            <v>中国人民解放军第五七〇二工厂(国营四达机械制造公司)</v>
          </cell>
          <cell r="Q649" t="str">
            <v>80</v>
          </cell>
        </row>
        <row r="649">
          <cell r="U649" t="str">
            <v>010000712978</v>
          </cell>
          <cell r="V649" t="str">
            <v/>
          </cell>
          <cell r="W649" t="str">
            <v/>
          </cell>
          <cell r="X649" t="str">
            <v>CP-C8-5-4-6</v>
          </cell>
          <cell r="Y649" t="str">
            <v/>
          </cell>
          <cell r="Z649" t="str">
            <v>1915</v>
          </cell>
          <cell r="AA649" t="str">
            <v>1100107854</v>
          </cell>
          <cell r="AB649">
            <v>13</v>
          </cell>
          <cell r="AC649" t="str">
            <v/>
          </cell>
          <cell r="AD649">
            <v>9000</v>
          </cell>
          <cell r="AE649" t="str">
            <v>G0395-221208-874</v>
          </cell>
        </row>
        <row r="650">
          <cell r="B650" t="str">
            <v>7101041688</v>
          </cell>
          <cell r="C650" t="str">
            <v>G2212-1447</v>
          </cell>
          <cell r="D650" t="str">
            <v>000042944000093345</v>
          </cell>
          <cell r="E650" t="str">
            <v>卡箍</v>
          </cell>
          <cell r="F650" t="str">
            <v>H6K-7611-040</v>
          </cell>
          <cell r="G650" t="str">
            <v>-</v>
          </cell>
          <cell r="H650" t="str">
            <v/>
          </cell>
          <cell r="I650" t="str">
            <v/>
          </cell>
          <cell r="J650" t="str">
            <v>组件</v>
          </cell>
          <cell r="K650">
            <v>14</v>
          </cell>
          <cell r="L650">
            <v>45986</v>
          </cell>
          <cell r="M650" t="str">
            <v>0-初始未打印</v>
          </cell>
        </row>
        <row r="650">
          <cell r="O650">
            <v>0</v>
          </cell>
          <cell r="P650" t="str">
            <v>中国人民解放军第五七〇二工厂(国营四达机械制造公司)</v>
          </cell>
          <cell r="Q650" t="str">
            <v>70</v>
          </cell>
        </row>
        <row r="650">
          <cell r="U650" t="str">
            <v>010000557758</v>
          </cell>
          <cell r="V650" t="str">
            <v/>
          </cell>
          <cell r="W650" t="str">
            <v/>
          </cell>
          <cell r="X650" t="str">
            <v>CP-108-A/CP-K8-1-5-2</v>
          </cell>
          <cell r="Y650" t="str">
            <v/>
          </cell>
          <cell r="Z650" t="str">
            <v>1915</v>
          </cell>
          <cell r="AA650" t="str">
            <v>1100107854</v>
          </cell>
          <cell r="AB650">
            <v>14</v>
          </cell>
          <cell r="AC650" t="str">
            <v/>
          </cell>
          <cell r="AD650">
            <v>4250</v>
          </cell>
          <cell r="AE650" t="str">
            <v>G0395-221208-874</v>
          </cell>
        </row>
        <row r="651">
          <cell r="B651" t="str">
            <v>7101041687</v>
          </cell>
          <cell r="C651" t="str">
            <v>G2407-2928</v>
          </cell>
          <cell r="D651" t="str">
            <v>000042944000093348</v>
          </cell>
          <cell r="E651" t="str">
            <v>卡箍</v>
          </cell>
          <cell r="F651" t="str">
            <v>H6K-7605-137</v>
          </cell>
          <cell r="G651" t="str">
            <v>-</v>
          </cell>
          <cell r="H651" t="str">
            <v/>
          </cell>
          <cell r="I651" t="str">
            <v/>
          </cell>
          <cell r="J651" t="str">
            <v>组件</v>
          </cell>
          <cell r="K651">
            <v>14</v>
          </cell>
          <cell r="L651">
            <v>45986</v>
          </cell>
          <cell r="M651" t="str">
            <v>0-初始未打印</v>
          </cell>
        </row>
        <row r="651">
          <cell r="O651">
            <v>0</v>
          </cell>
          <cell r="P651" t="str">
            <v>中国人民解放军第五七〇二工厂(国营四达机械制造公司)</v>
          </cell>
          <cell r="Q651" t="str">
            <v>40</v>
          </cell>
        </row>
        <row r="651">
          <cell r="U651" t="str">
            <v>010000722806</v>
          </cell>
          <cell r="V651" t="str">
            <v/>
          </cell>
          <cell r="W651" t="str">
            <v/>
          </cell>
          <cell r="X651" t="str">
            <v>CP-108-A/CP-K8-1-5-6</v>
          </cell>
          <cell r="Y651" t="str">
            <v/>
          </cell>
          <cell r="Z651" t="str">
            <v>1915</v>
          </cell>
          <cell r="AA651" t="str">
            <v>1100107854</v>
          </cell>
          <cell r="AB651">
            <v>14</v>
          </cell>
          <cell r="AC651" t="str">
            <v/>
          </cell>
          <cell r="AD651">
            <v>13000</v>
          </cell>
          <cell r="AE651" t="str">
            <v>G0395-221208-874</v>
          </cell>
        </row>
        <row r="652">
          <cell r="B652" t="str">
            <v>7101041686</v>
          </cell>
          <cell r="C652" t="str">
            <v>G2505-1634</v>
          </cell>
          <cell r="D652" t="str">
            <v>000042944000093352</v>
          </cell>
          <cell r="E652" t="str">
            <v>卡箍</v>
          </cell>
          <cell r="F652" t="str">
            <v>H6K-7611-010</v>
          </cell>
          <cell r="G652" t="str">
            <v>-</v>
          </cell>
          <cell r="H652" t="str">
            <v/>
          </cell>
          <cell r="I652" t="str">
            <v/>
          </cell>
          <cell r="J652" t="str">
            <v>组件</v>
          </cell>
          <cell r="K652">
            <v>1</v>
          </cell>
          <cell r="L652">
            <v>45986</v>
          </cell>
          <cell r="M652" t="str">
            <v>0-初始未打印</v>
          </cell>
        </row>
        <row r="652">
          <cell r="O652">
            <v>0</v>
          </cell>
          <cell r="P652" t="str">
            <v>中国人民解放军第五七〇二工厂(国营四达机械制造公司)</v>
          </cell>
          <cell r="Q652" t="str">
            <v>20</v>
          </cell>
        </row>
        <row r="652">
          <cell r="U652" t="str">
            <v>010000828569</v>
          </cell>
          <cell r="V652" t="str">
            <v/>
          </cell>
          <cell r="W652" t="str">
            <v/>
          </cell>
          <cell r="X652" t="str">
            <v>CP-108-A/CP-24-5-4-2</v>
          </cell>
          <cell r="Y652" t="str">
            <v/>
          </cell>
          <cell r="Z652" t="str">
            <v>1915</v>
          </cell>
          <cell r="AA652" t="str">
            <v>1100145684</v>
          </cell>
          <cell r="AB652">
            <v>50</v>
          </cell>
          <cell r="AC652" t="str">
            <v/>
          </cell>
          <cell r="AD652">
            <v>11000</v>
          </cell>
          <cell r="AE652" t="str">
            <v>G-100010426-250418-0014</v>
          </cell>
        </row>
        <row r="653">
          <cell r="B653" t="str">
            <v>7101041685</v>
          </cell>
          <cell r="C653" t="str">
            <v>G2504-4152</v>
          </cell>
          <cell r="D653" t="str">
            <v>000042944000093352</v>
          </cell>
          <cell r="E653" t="str">
            <v>卡箍</v>
          </cell>
          <cell r="F653" t="str">
            <v>H6K-7611-010</v>
          </cell>
          <cell r="G653" t="str">
            <v>-</v>
          </cell>
          <cell r="H653" t="str">
            <v/>
          </cell>
          <cell r="I653" t="str">
            <v/>
          </cell>
          <cell r="J653" t="str">
            <v>组件</v>
          </cell>
          <cell r="K653">
            <v>49</v>
          </cell>
          <cell r="L653">
            <v>45986</v>
          </cell>
          <cell r="M653" t="str">
            <v>0-初始未打印</v>
          </cell>
        </row>
        <row r="653">
          <cell r="O653">
            <v>0</v>
          </cell>
          <cell r="P653" t="str">
            <v>中国人民解放军第五七〇二工厂(国营四达机械制造公司)</v>
          </cell>
          <cell r="Q653" t="str">
            <v>20</v>
          </cell>
        </row>
        <row r="653">
          <cell r="U653" t="str">
            <v>010000817238</v>
          </cell>
          <cell r="V653" t="str">
            <v/>
          </cell>
          <cell r="W653" t="str">
            <v/>
          </cell>
          <cell r="X653" t="str">
            <v>CP-108-A/CP-K2-1-6-3</v>
          </cell>
          <cell r="Y653" t="str">
            <v/>
          </cell>
          <cell r="Z653" t="str">
            <v>1915</v>
          </cell>
          <cell r="AA653" t="str">
            <v>1100145684</v>
          </cell>
          <cell r="AB653">
            <v>50</v>
          </cell>
          <cell r="AC653" t="str">
            <v/>
          </cell>
          <cell r="AD653">
            <v>11000</v>
          </cell>
          <cell r="AE653" t="str">
            <v>G-100010426-250418-0014</v>
          </cell>
        </row>
        <row r="654">
          <cell r="B654" t="str">
            <v>7101041684</v>
          </cell>
          <cell r="C654" t="str">
            <v>G2402-1465</v>
          </cell>
          <cell r="D654" t="str">
            <v>000042944000093351</v>
          </cell>
          <cell r="E654" t="str">
            <v>卡箍</v>
          </cell>
          <cell r="F654" t="str">
            <v>H6K-7603-025</v>
          </cell>
          <cell r="G654" t="str">
            <v>-</v>
          </cell>
          <cell r="H654" t="str">
            <v/>
          </cell>
          <cell r="I654" t="str">
            <v/>
          </cell>
          <cell r="J654" t="str">
            <v>组件</v>
          </cell>
          <cell r="K654">
            <v>16</v>
          </cell>
          <cell r="L654">
            <v>45986</v>
          </cell>
          <cell r="M654" t="str">
            <v>0-初始未打印</v>
          </cell>
        </row>
        <row r="654">
          <cell r="O654">
            <v>0</v>
          </cell>
          <cell r="P654" t="str">
            <v>中国人民解放军第五七〇二工厂(国营四达机械制造公司)</v>
          </cell>
          <cell r="Q654" t="str">
            <v>10</v>
          </cell>
        </row>
        <row r="654">
          <cell r="U654" t="str">
            <v>010000675896</v>
          </cell>
          <cell r="V654" t="str">
            <v/>
          </cell>
          <cell r="W654" t="str">
            <v/>
          </cell>
          <cell r="X654" t="str">
            <v>CP-C8-5-4-6</v>
          </cell>
          <cell r="Y654" t="str">
            <v/>
          </cell>
          <cell r="Z654" t="str">
            <v>1915</v>
          </cell>
          <cell r="AA654" t="str">
            <v>1100145684</v>
          </cell>
          <cell r="AB654">
            <v>50</v>
          </cell>
          <cell r="AC654" t="str">
            <v/>
          </cell>
          <cell r="AD654">
            <v>9000</v>
          </cell>
          <cell r="AE654" t="str">
            <v>G-100010426-250418-0014</v>
          </cell>
        </row>
        <row r="655">
          <cell r="B655" t="str">
            <v>7101041683</v>
          </cell>
          <cell r="C655" t="str">
            <v>G2406-1677</v>
          </cell>
          <cell r="D655" t="str">
            <v>000042944000093351</v>
          </cell>
          <cell r="E655" t="str">
            <v>卡箍</v>
          </cell>
          <cell r="F655" t="str">
            <v>H6K-7603-025</v>
          </cell>
          <cell r="G655" t="str">
            <v>-</v>
          </cell>
          <cell r="H655" t="str">
            <v/>
          </cell>
          <cell r="I655" t="str">
            <v/>
          </cell>
          <cell r="J655" t="str">
            <v>组件</v>
          </cell>
          <cell r="K655">
            <v>34</v>
          </cell>
          <cell r="L655">
            <v>45986</v>
          </cell>
          <cell r="M655" t="str">
            <v>0-初始未打印</v>
          </cell>
        </row>
        <row r="655">
          <cell r="O655">
            <v>0</v>
          </cell>
          <cell r="P655" t="str">
            <v>中国人民解放军第五七〇二工厂(国营四达机械制造公司)</v>
          </cell>
          <cell r="Q655" t="str">
            <v>10</v>
          </cell>
        </row>
        <row r="655">
          <cell r="U655" t="str">
            <v>010000712361</v>
          </cell>
          <cell r="V655" t="str">
            <v/>
          </cell>
          <cell r="W655" t="str">
            <v/>
          </cell>
          <cell r="X655" t="str">
            <v>CP-108-A/CP-11-1-7-1/2/3/4</v>
          </cell>
          <cell r="Y655" t="str">
            <v/>
          </cell>
          <cell r="Z655" t="str">
            <v>1915</v>
          </cell>
          <cell r="AA655" t="str">
            <v>1100145684</v>
          </cell>
          <cell r="AB655">
            <v>50</v>
          </cell>
          <cell r="AC655" t="str">
            <v/>
          </cell>
          <cell r="AD655">
            <v>9000</v>
          </cell>
          <cell r="AE655" t="str">
            <v>G-100010426-250418-0014</v>
          </cell>
        </row>
        <row r="656">
          <cell r="B656" t="str">
            <v>7101041523</v>
          </cell>
          <cell r="C656" t="str">
            <v>G2102-1436</v>
          </cell>
          <cell r="D656" t="str">
            <v>000042944239014215</v>
          </cell>
          <cell r="E656" t="str">
            <v>十二角头螺栓</v>
          </cell>
          <cell r="F656" t="str">
            <v>ΦAS13558</v>
          </cell>
          <cell r="G656" t="str">
            <v>-</v>
          </cell>
          <cell r="H656" t="str">
            <v>248-341HB</v>
          </cell>
          <cell r="I656" t="str">
            <v/>
          </cell>
          <cell r="J656" t="str">
            <v>GH2132</v>
          </cell>
          <cell r="K656">
            <v>10</v>
          </cell>
          <cell r="L656">
            <v>45986</v>
          </cell>
          <cell r="M656" t="str">
            <v>3-配货完成</v>
          </cell>
        </row>
        <row r="656">
          <cell r="O656">
            <v>0</v>
          </cell>
          <cell r="P656" t="str">
            <v>中国人民解放军第五七〇二工厂(国营四达机械制造公司)</v>
          </cell>
          <cell r="Q656" t="str">
            <v>200</v>
          </cell>
        </row>
        <row r="656">
          <cell r="U656" t="str">
            <v>010000336471</v>
          </cell>
          <cell r="V656" t="str">
            <v>BIAOQIAN4</v>
          </cell>
          <cell r="W656" t="str">
            <v/>
          </cell>
          <cell r="X656" t="str">
            <v>CP-5-4-1-3</v>
          </cell>
          <cell r="Y656" t="str">
            <v/>
          </cell>
          <cell r="Z656" t="str">
            <v>1915</v>
          </cell>
          <cell r="AA656" t="str">
            <v>1100156289</v>
          </cell>
          <cell r="AB656">
            <v>10</v>
          </cell>
          <cell r="AC656" t="str">
            <v/>
          </cell>
          <cell r="AD656">
            <v>55</v>
          </cell>
          <cell r="AE656" t="str">
            <v>G-100010426-251124-0043XH</v>
          </cell>
        </row>
        <row r="657">
          <cell r="B657" t="str">
            <v>7101041523</v>
          </cell>
          <cell r="C657" t="str">
            <v>G2408-0979</v>
          </cell>
          <cell r="D657" t="str">
            <v>000042944239014218</v>
          </cell>
          <cell r="E657" t="str">
            <v>十二角头螺栓</v>
          </cell>
          <cell r="F657" t="str">
            <v>ΦAS13926</v>
          </cell>
          <cell r="G657" t="str">
            <v>-</v>
          </cell>
          <cell r="H657" t="str">
            <v>≥285HB</v>
          </cell>
          <cell r="I657" t="str">
            <v/>
          </cell>
          <cell r="J657" t="str">
            <v>GH80A</v>
          </cell>
          <cell r="K657">
            <v>15</v>
          </cell>
          <cell r="L657">
            <v>45986</v>
          </cell>
          <cell r="M657" t="str">
            <v>3-配货完成</v>
          </cell>
        </row>
        <row r="657">
          <cell r="O657">
            <v>0</v>
          </cell>
          <cell r="P657" t="str">
            <v>中国人民解放军第五七〇二工厂(国营四达机械制造公司)</v>
          </cell>
          <cell r="Q657" t="str">
            <v>140</v>
          </cell>
        </row>
        <row r="657">
          <cell r="U657" t="str">
            <v>010000727178</v>
          </cell>
          <cell r="V657" t="str">
            <v>BIAOQIAN4</v>
          </cell>
          <cell r="W657" t="str">
            <v/>
          </cell>
          <cell r="X657" t="str">
            <v>CP-108-A</v>
          </cell>
          <cell r="Y657" t="str">
            <v/>
          </cell>
          <cell r="Z657" t="str">
            <v>1915</v>
          </cell>
          <cell r="AA657" t="str">
            <v>1100156289</v>
          </cell>
          <cell r="AB657">
            <v>15</v>
          </cell>
          <cell r="AC657" t="str">
            <v/>
          </cell>
          <cell r="AD657">
            <v>42</v>
          </cell>
          <cell r="AE657" t="str">
            <v>G-100010426-251124-0043XH</v>
          </cell>
        </row>
        <row r="658">
          <cell r="B658" t="str">
            <v>7101041523</v>
          </cell>
          <cell r="C658" t="str">
            <v>G2105-2846</v>
          </cell>
          <cell r="D658" t="str">
            <v>000042944239014274</v>
          </cell>
          <cell r="E658" t="str">
            <v>十二角头螺栓</v>
          </cell>
          <cell r="F658" t="str">
            <v>ΦBLT1741</v>
          </cell>
          <cell r="G658" t="str">
            <v>-</v>
          </cell>
          <cell r="H658" t="str">
            <v>248-341HB</v>
          </cell>
          <cell r="I658" t="str">
            <v/>
          </cell>
          <cell r="J658" t="str">
            <v>GH2132</v>
          </cell>
          <cell r="K658">
            <v>25</v>
          </cell>
          <cell r="L658">
            <v>45986</v>
          </cell>
          <cell r="M658" t="str">
            <v>3-配货完成</v>
          </cell>
        </row>
        <row r="658">
          <cell r="O658">
            <v>0</v>
          </cell>
          <cell r="P658" t="str">
            <v>中国人民解放军第五七〇二工厂(国营四达机械制造公司)</v>
          </cell>
          <cell r="Q658" t="str">
            <v>190</v>
          </cell>
        </row>
        <row r="658">
          <cell r="U658" t="str">
            <v>010000371762</v>
          </cell>
          <cell r="V658" t="str">
            <v>BIAOQIAN4</v>
          </cell>
          <cell r="W658" t="str">
            <v/>
          </cell>
          <cell r="X658" t="str">
            <v>CP-108-A</v>
          </cell>
          <cell r="Y658" t="str">
            <v/>
          </cell>
          <cell r="Z658" t="str">
            <v>1915</v>
          </cell>
          <cell r="AA658" t="str">
            <v>1100156289</v>
          </cell>
          <cell r="AB658">
            <v>25</v>
          </cell>
          <cell r="AC658" t="str">
            <v/>
          </cell>
          <cell r="AD658">
            <v>56</v>
          </cell>
          <cell r="AE658" t="str">
            <v>G-100010426-251124-0043XH</v>
          </cell>
        </row>
        <row r="659">
          <cell r="B659" t="str">
            <v>7101041475</v>
          </cell>
          <cell r="C659" t="str">
            <v>G12511-070</v>
          </cell>
          <cell r="D659" t="str">
            <v>000042944201014138</v>
          </cell>
          <cell r="E659" t="str">
            <v>镍基合金718六角头MJ螺纹螺栓</v>
          </cell>
          <cell r="F659" t="str">
            <v>Q/FAI72.3-18-23</v>
          </cell>
          <cell r="G659" t="str">
            <v/>
          </cell>
          <cell r="H659" t="str">
            <v>σb≥1500MPa</v>
          </cell>
          <cell r="I659" t="str">
            <v>Ct·P</v>
          </cell>
          <cell r="J659" t="str">
            <v>Inconel718</v>
          </cell>
          <cell r="K659">
            <v>18</v>
          </cell>
          <cell r="L659">
            <v>45986</v>
          </cell>
          <cell r="M659" t="str">
            <v>3-配货完成</v>
          </cell>
        </row>
        <row r="659">
          <cell r="O659">
            <v>0</v>
          </cell>
          <cell r="P659" t="str">
            <v>中国人民解放军第五七〇二工厂(国营四达机械制造公司)</v>
          </cell>
          <cell r="Q659" t="str">
            <v>20</v>
          </cell>
        </row>
        <row r="659">
          <cell r="U659" t="str">
            <v/>
          </cell>
          <cell r="V659" t="str">
            <v>BIAOQIAN1</v>
          </cell>
          <cell r="W659" t="str">
            <v/>
          </cell>
          <cell r="X659" t="str">
            <v>XH-000</v>
          </cell>
          <cell r="Y659" t="str">
            <v/>
          </cell>
          <cell r="Z659" t="str">
            <v>1915</v>
          </cell>
          <cell r="AA659" t="str">
            <v>1100155765</v>
          </cell>
          <cell r="AB659">
            <v>18</v>
          </cell>
          <cell r="AC659" t="str">
            <v/>
          </cell>
          <cell r="AD659">
            <v>1190</v>
          </cell>
          <cell r="AE659" t="str">
            <v>G-100010426-251113-0040-1-H-XH</v>
          </cell>
        </row>
        <row r="660">
          <cell r="B660" t="str">
            <v>7101041137</v>
          </cell>
          <cell r="C660" t="str">
            <v>G2511-1197</v>
          </cell>
          <cell r="D660" t="str">
            <v>000042944000003486</v>
          </cell>
          <cell r="E660" t="str">
            <v>带减轻孔的带垫夹紧卡箍</v>
          </cell>
          <cell r="F660" t="str">
            <v>Q/FAI18-2006</v>
          </cell>
          <cell r="G660" t="str">
            <v>CE16B</v>
          </cell>
          <cell r="H660" t="str">
            <v/>
          </cell>
          <cell r="I660" t="str">
            <v/>
          </cell>
          <cell r="J660" t="str">
            <v>组件</v>
          </cell>
          <cell r="K660">
            <v>78</v>
          </cell>
          <cell r="L660">
            <v>45986</v>
          </cell>
          <cell r="M660" t="str">
            <v>3-配货完成</v>
          </cell>
        </row>
        <row r="660">
          <cell r="O660">
            <v>0</v>
          </cell>
          <cell r="P660" t="str">
            <v>中国人民解放军第五七〇二工厂(国营四达机械制造公司)</v>
          </cell>
          <cell r="Q660" t="str">
            <v>20</v>
          </cell>
        </row>
        <row r="660">
          <cell r="U660" t="str">
            <v>010000884409</v>
          </cell>
          <cell r="V660" t="str">
            <v>PANMINGTAO</v>
          </cell>
          <cell r="W660" t="str">
            <v/>
          </cell>
          <cell r="X660" t="str">
            <v>XC-28-1-4-6</v>
          </cell>
          <cell r="Y660" t="str">
            <v/>
          </cell>
          <cell r="Z660" t="str">
            <v>1915</v>
          </cell>
          <cell r="AA660" t="str">
            <v>1100155754</v>
          </cell>
          <cell r="AB660">
            <v>78</v>
          </cell>
          <cell r="AC660" t="str">
            <v/>
          </cell>
          <cell r="AD660">
            <v>53</v>
          </cell>
          <cell r="AE660" t="str">
            <v>G-100010426-251113-0042</v>
          </cell>
        </row>
        <row r="661">
          <cell r="B661" t="str">
            <v>7101041137</v>
          </cell>
          <cell r="C661" t="str">
            <v>G2511-1198</v>
          </cell>
          <cell r="D661" t="str">
            <v>000042944000003487</v>
          </cell>
          <cell r="E661" t="str">
            <v>带减轻孔的带垫夹紧卡箍</v>
          </cell>
          <cell r="F661" t="str">
            <v>Q/FAI18-2006</v>
          </cell>
          <cell r="G661" t="str">
            <v>CE18B</v>
          </cell>
          <cell r="H661" t="str">
            <v/>
          </cell>
          <cell r="I661" t="str">
            <v/>
          </cell>
          <cell r="J661" t="str">
            <v>组件</v>
          </cell>
          <cell r="K661">
            <v>10</v>
          </cell>
          <cell r="L661">
            <v>45986</v>
          </cell>
          <cell r="M661" t="str">
            <v>3-配货完成</v>
          </cell>
        </row>
        <row r="661">
          <cell r="O661">
            <v>0</v>
          </cell>
          <cell r="P661" t="str">
            <v>中国人民解放军第五七〇二工厂(国营四达机械制造公司)</v>
          </cell>
          <cell r="Q661" t="str">
            <v>30</v>
          </cell>
        </row>
        <row r="661">
          <cell r="U661" t="str">
            <v>010000884410</v>
          </cell>
          <cell r="V661" t="str">
            <v>PANMINGTAO</v>
          </cell>
          <cell r="W661" t="str">
            <v/>
          </cell>
          <cell r="X661" t="str">
            <v>XC-31-1-3</v>
          </cell>
          <cell r="Y661" t="str">
            <v/>
          </cell>
          <cell r="Z661" t="str">
            <v>1915</v>
          </cell>
          <cell r="AA661" t="str">
            <v>1100155754</v>
          </cell>
          <cell r="AB661">
            <v>10</v>
          </cell>
          <cell r="AC661" t="str">
            <v/>
          </cell>
          <cell r="AD661">
            <v>56</v>
          </cell>
          <cell r="AE661" t="str">
            <v>G-100010426-251113-0042</v>
          </cell>
        </row>
        <row r="662">
          <cell r="B662" t="str">
            <v>7101041137</v>
          </cell>
          <cell r="C662" t="str">
            <v>G2511-1202</v>
          </cell>
          <cell r="D662" t="str">
            <v>000042944000003502</v>
          </cell>
          <cell r="E662" t="str">
            <v>带减轻孔的带垫夹紧卡箍</v>
          </cell>
          <cell r="F662" t="str">
            <v>Q/FAI18-2006</v>
          </cell>
          <cell r="G662" t="str">
            <v>CG16</v>
          </cell>
          <cell r="H662" t="str">
            <v/>
          </cell>
          <cell r="I662" t="str">
            <v/>
          </cell>
          <cell r="J662" t="str">
            <v>组件</v>
          </cell>
          <cell r="K662">
            <v>60</v>
          </cell>
          <cell r="L662">
            <v>45986</v>
          </cell>
          <cell r="M662" t="str">
            <v>3-配货完成</v>
          </cell>
        </row>
        <row r="662">
          <cell r="O662">
            <v>0</v>
          </cell>
          <cell r="P662" t="str">
            <v>中国人民解放军第五七〇二工厂(国营四达机械制造公司)</v>
          </cell>
          <cell r="Q662" t="str">
            <v>70</v>
          </cell>
        </row>
        <row r="662">
          <cell r="U662" t="str">
            <v>010000884414</v>
          </cell>
          <cell r="V662" t="str">
            <v>PANMINGTAO</v>
          </cell>
          <cell r="W662" t="str">
            <v/>
          </cell>
          <cell r="X662" t="str">
            <v>XC-28-1-4-3</v>
          </cell>
          <cell r="Y662" t="str">
            <v/>
          </cell>
          <cell r="Z662" t="str">
            <v>1915</v>
          </cell>
          <cell r="AA662" t="str">
            <v>1100155754</v>
          </cell>
          <cell r="AB662">
            <v>60</v>
          </cell>
          <cell r="AC662" t="str">
            <v/>
          </cell>
          <cell r="AD662">
            <v>58</v>
          </cell>
          <cell r="AE662" t="str">
            <v>G-100010426-251113-0042</v>
          </cell>
        </row>
        <row r="663">
          <cell r="B663" t="str">
            <v>7101040862</v>
          </cell>
          <cell r="C663" t="str">
            <v>G2403-1930</v>
          </cell>
          <cell r="D663" t="str">
            <v>000042944239014443</v>
          </cell>
          <cell r="E663" t="str">
            <v>圆头螺栓</v>
          </cell>
          <cell r="F663" t="str">
            <v>ΦNU16559</v>
          </cell>
          <cell r="G663" t="str">
            <v>-</v>
          </cell>
          <cell r="H663" t="str">
            <v>269-331HB</v>
          </cell>
          <cell r="I663" t="str">
            <v/>
          </cell>
          <cell r="J663" t="str">
            <v>1Cr12Ni2WMoVNb</v>
          </cell>
          <cell r="K663">
            <v>15</v>
          </cell>
          <cell r="L663">
            <v>45986</v>
          </cell>
          <cell r="M663" t="str">
            <v>3-配货完成</v>
          </cell>
        </row>
        <row r="663">
          <cell r="O663">
            <v>0</v>
          </cell>
          <cell r="P663" t="str">
            <v>中国人民解放军第五七〇二工厂(国营四达机械制造公司)</v>
          </cell>
          <cell r="Q663" t="str">
            <v>160</v>
          </cell>
        </row>
        <row r="663">
          <cell r="U663" t="str">
            <v>010000682764</v>
          </cell>
          <cell r="V663" t="str">
            <v>BIAOQIAN2</v>
          </cell>
          <cell r="W663" t="str">
            <v/>
          </cell>
          <cell r="X663" t="str">
            <v>CP-108-A</v>
          </cell>
          <cell r="Y663" t="str">
            <v/>
          </cell>
          <cell r="Z663" t="str">
            <v>1915</v>
          </cell>
          <cell r="AA663" t="str">
            <v>1100156289</v>
          </cell>
          <cell r="AB663">
            <v>15</v>
          </cell>
          <cell r="AC663" t="str">
            <v/>
          </cell>
          <cell r="AD663">
            <v>41.02</v>
          </cell>
          <cell r="AE663" t="str">
            <v>G-100010426-251124-0043XH</v>
          </cell>
        </row>
        <row r="664">
          <cell r="B664" t="str">
            <v>7101040839</v>
          </cell>
          <cell r="C664" t="str">
            <v>G2509-3131</v>
          </cell>
          <cell r="D664" t="str">
            <v>000042944288002866</v>
          </cell>
          <cell r="E664" t="str">
            <v>双耳托板自锁螺母</v>
          </cell>
          <cell r="F664" t="str">
            <v>ΦU126223</v>
          </cell>
          <cell r="G664" t="str">
            <v>-</v>
          </cell>
          <cell r="H664" t="str">
            <v>32-46HRC</v>
          </cell>
          <cell r="I664" t="str">
            <v>Ep·Ag</v>
          </cell>
          <cell r="J664" t="str">
            <v>GH2132</v>
          </cell>
          <cell r="K664">
            <v>140</v>
          </cell>
          <cell r="L664">
            <v>45986</v>
          </cell>
          <cell r="M664" t="str">
            <v>3-配货完成</v>
          </cell>
        </row>
        <row r="664">
          <cell r="O664">
            <v>0</v>
          </cell>
          <cell r="P664" t="str">
            <v>中国人民解放军第五七〇二工厂(国营四达机械制造公司)</v>
          </cell>
          <cell r="Q664" t="str">
            <v>210</v>
          </cell>
        </row>
        <row r="664">
          <cell r="U664" t="str">
            <v>010000868975</v>
          </cell>
          <cell r="V664" t="str">
            <v>BIAOQIAN3</v>
          </cell>
          <cell r="W664" t="str">
            <v/>
          </cell>
          <cell r="X664" t="str">
            <v>CP-50-4-4-8</v>
          </cell>
          <cell r="Y664" t="str">
            <v/>
          </cell>
          <cell r="Z664" t="str">
            <v>1915</v>
          </cell>
          <cell r="AA664" t="str">
            <v>1100156289</v>
          </cell>
          <cell r="AB664">
            <v>140</v>
          </cell>
          <cell r="AC664" t="str">
            <v/>
          </cell>
          <cell r="AD664">
            <v>55</v>
          </cell>
          <cell r="AE664" t="str">
            <v>G-100010426-251124-0043XH</v>
          </cell>
        </row>
        <row r="665">
          <cell r="B665" t="str">
            <v>7101040839</v>
          </cell>
          <cell r="C665" t="str">
            <v>G2504-0592</v>
          </cell>
          <cell r="D665" t="str">
            <v>000042944288002857</v>
          </cell>
          <cell r="E665" t="str">
            <v>十二角自锁螺母</v>
          </cell>
          <cell r="F665" t="str">
            <v>ΦU125925</v>
          </cell>
          <cell r="G665" t="str">
            <v>-</v>
          </cell>
          <cell r="H665" t="str">
            <v>39-46HRC</v>
          </cell>
          <cell r="I665" t="str">
            <v>Ep·Cd+二硫化钼</v>
          </cell>
          <cell r="J665" t="str">
            <v>40CrNiMoA</v>
          </cell>
          <cell r="K665">
            <v>2000</v>
          </cell>
          <cell r="L665">
            <v>45986</v>
          </cell>
          <cell r="M665" t="str">
            <v>3-配货完成</v>
          </cell>
        </row>
        <row r="665">
          <cell r="O665">
            <v>0</v>
          </cell>
          <cell r="P665" t="str">
            <v>中国人民解放军第五七〇二工厂(国营四达机械制造公司)</v>
          </cell>
          <cell r="Q665" t="str">
            <v>10</v>
          </cell>
        </row>
        <row r="665">
          <cell r="U665" t="str">
            <v>010000806286</v>
          </cell>
          <cell r="V665" t="str">
            <v>BIAOQIAN3</v>
          </cell>
          <cell r="W665" t="str">
            <v/>
          </cell>
          <cell r="X665" t="str">
            <v>CP-40-5-4-7</v>
          </cell>
          <cell r="Y665" t="str">
            <v/>
          </cell>
          <cell r="Z665" t="str">
            <v>1915</v>
          </cell>
          <cell r="AA665" t="str">
            <v>1100156289</v>
          </cell>
          <cell r="AB665">
            <v>2000</v>
          </cell>
          <cell r="AC665" t="str">
            <v/>
          </cell>
          <cell r="AD665">
            <v>10</v>
          </cell>
          <cell r="AE665" t="str">
            <v>G-100010426-251124-0043XH</v>
          </cell>
        </row>
        <row r="666">
          <cell r="B666" t="str">
            <v>7101040839</v>
          </cell>
          <cell r="C666" t="str">
            <v>G2303-3024</v>
          </cell>
          <cell r="D666" t="str">
            <v>000042944288002859</v>
          </cell>
          <cell r="E666" t="str">
            <v>十二角自锁螺母</v>
          </cell>
          <cell r="F666" t="str">
            <v>ΦU125943</v>
          </cell>
          <cell r="G666" t="str">
            <v>-</v>
          </cell>
          <cell r="H666" t="str">
            <v>277-363HB</v>
          </cell>
          <cell r="I666" t="str">
            <v>Ep·Ag</v>
          </cell>
          <cell r="J666" t="str">
            <v>GH2132</v>
          </cell>
          <cell r="K666">
            <v>76</v>
          </cell>
          <cell r="L666">
            <v>45986</v>
          </cell>
          <cell r="M666" t="str">
            <v>3-配货完成</v>
          </cell>
        </row>
        <row r="666">
          <cell r="O666">
            <v>0</v>
          </cell>
          <cell r="P666" t="str">
            <v>中国人民解放军第五七〇二工厂(国营四达机械制造公司)</v>
          </cell>
          <cell r="Q666" t="str">
            <v>130</v>
          </cell>
        </row>
        <row r="666">
          <cell r="U666" t="str">
            <v>010000589043</v>
          </cell>
          <cell r="V666" t="str">
            <v>BIAOQIAN3</v>
          </cell>
          <cell r="W666" t="str">
            <v/>
          </cell>
          <cell r="X666" t="str">
            <v>CP-38-4-3-3</v>
          </cell>
          <cell r="Y666" t="str">
            <v/>
          </cell>
          <cell r="Z666" t="str">
            <v>1915</v>
          </cell>
          <cell r="AA666" t="str">
            <v>1100156289</v>
          </cell>
          <cell r="AB666">
            <v>76</v>
          </cell>
          <cell r="AC666" t="str">
            <v/>
          </cell>
          <cell r="AD666">
            <v>39.5</v>
          </cell>
          <cell r="AE666" t="str">
            <v>G-100010426-251124-0043XH</v>
          </cell>
        </row>
        <row r="667">
          <cell r="B667" t="str">
            <v>7101040835</v>
          </cell>
          <cell r="C667" t="str">
            <v>G2504-1148</v>
          </cell>
          <cell r="D667" t="str">
            <v>000042944239014437</v>
          </cell>
          <cell r="E667" t="str">
            <v>十二角头螺栓</v>
          </cell>
          <cell r="F667" t="str">
            <v>ΦNU14296</v>
          </cell>
          <cell r="G667" t="str">
            <v>-</v>
          </cell>
          <cell r="H667" t="str">
            <v>269-331HB</v>
          </cell>
          <cell r="I667" t="str">
            <v/>
          </cell>
          <cell r="J667" t="str">
            <v>1Cr12Ni2WMoVNb</v>
          </cell>
          <cell r="K667">
            <v>750</v>
          </cell>
          <cell r="L667">
            <v>45986</v>
          </cell>
          <cell r="M667" t="str">
            <v>3-配货完成</v>
          </cell>
        </row>
        <row r="667">
          <cell r="O667">
            <v>0</v>
          </cell>
          <cell r="P667" t="str">
            <v>中国人民解放军第五七〇二工厂(国营四达机械制造公司)</v>
          </cell>
          <cell r="Q667" t="str">
            <v>20</v>
          </cell>
        </row>
        <row r="667">
          <cell r="U667" t="str">
            <v>010000807415</v>
          </cell>
          <cell r="V667" t="str">
            <v>BIAOQIAN4</v>
          </cell>
          <cell r="W667" t="str">
            <v/>
          </cell>
          <cell r="X667" t="str">
            <v>CP-4-5-2-3</v>
          </cell>
          <cell r="Y667" t="str">
            <v/>
          </cell>
          <cell r="Z667" t="str">
            <v>1915</v>
          </cell>
          <cell r="AA667" t="str">
            <v>1100156289</v>
          </cell>
          <cell r="AB667">
            <v>1200</v>
          </cell>
          <cell r="AC667" t="str">
            <v/>
          </cell>
          <cell r="AD667">
            <v>20</v>
          </cell>
          <cell r="AE667" t="str">
            <v>G-100010426-251124-0043XH</v>
          </cell>
        </row>
        <row r="668">
          <cell r="B668" t="str">
            <v>7101040835</v>
          </cell>
          <cell r="C668" t="str">
            <v>G2501-1075</v>
          </cell>
          <cell r="D668" t="str">
            <v>000042944239014437</v>
          </cell>
          <cell r="E668" t="str">
            <v>十二角头螺栓</v>
          </cell>
          <cell r="F668" t="str">
            <v>ΦNU14296</v>
          </cell>
          <cell r="G668" t="str">
            <v>-</v>
          </cell>
          <cell r="H668" t="str">
            <v>269-331HB</v>
          </cell>
          <cell r="I668" t="str">
            <v/>
          </cell>
          <cell r="J668" t="str">
            <v>1Cr12Ni2WMoVNb</v>
          </cell>
          <cell r="K668">
            <v>400</v>
          </cell>
          <cell r="L668">
            <v>45986</v>
          </cell>
          <cell r="M668" t="str">
            <v>3-配货完成</v>
          </cell>
        </row>
        <row r="668">
          <cell r="O668">
            <v>0</v>
          </cell>
          <cell r="P668" t="str">
            <v>中国人民解放军第五七〇二工厂(国营四达机械制造公司)</v>
          </cell>
          <cell r="Q668" t="str">
            <v>20</v>
          </cell>
        </row>
        <row r="668">
          <cell r="U668" t="str">
            <v>010000772446</v>
          </cell>
          <cell r="V668" t="str">
            <v>BIAOQIAN4</v>
          </cell>
          <cell r="W668" t="str">
            <v/>
          </cell>
          <cell r="X668" t="str">
            <v>CP-23-4-2-3</v>
          </cell>
          <cell r="Y668" t="str">
            <v/>
          </cell>
          <cell r="Z668" t="str">
            <v>1915</v>
          </cell>
          <cell r="AA668" t="str">
            <v>1100156289</v>
          </cell>
          <cell r="AB668">
            <v>1200</v>
          </cell>
          <cell r="AC668" t="str">
            <v/>
          </cell>
          <cell r="AD668">
            <v>20</v>
          </cell>
          <cell r="AE668" t="str">
            <v>G-100010426-251124-0043XH</v>
          </cell>
        </row>
        <row r="669">
          <cell r="B669" t="str">
            <v>7101040835</v>
          </cell>
          <cell r="C669" t="str">
            <v>G2409-2330</v>
          </cell>
          <cell r="D669" t="str">
            <v>000042944239014437</v>
          </cell>
          <cell r="E669" t="str">
            <v>十二角头螺栓</v>
          </cell>
          <cell r="F669" t="str">
            <v>ΦNU14296</v>
          </cell>
          <cell r="G669" t="str">
            <v>-</v>
          </cell>
          <cell r="H669" t="str">
            <v>269-331HB</v>
          </cell>
          <cell r="I669" t="str">
            <v/>
          </cell>
          <cell r="J669" t="str">
            <v>1Cr12Ni2WMoVNb</v>
          </cell>
          <cell r="K669">
            <v>50</v>
          </cell>
          <cell r="L669">
            <v>45986</v>
          </cell>
          <cell r="M669" t="str">
            <v>3-配货完成</v>
          </cell>
        </row>
        <row r="669">
          <cell r="O669">
            <v>0</v>
          </cell>
          <cell r="P669" t="str">
            <v>中国人民解放军第五七〇二工厂(国营四达机械制造公司)</v>
          </cell>
          <cell r="Q669" t="str">
            <v>20</v>
          </cell>
        </row>
        <row r="669">
          <cell r="U669" t="str">
            <v>010000737962</v>
          </cell>
          <cell r="V669" t="str">
            <v>BIAOQIAN4</v>
          </cell>
          <cell r="W669" t="str">
            <v/>
          </cell>
          <cell r="X669" t="str">
            <v>CP-108-A</v>
          </cell>
          <cell r="Y669" t="str">
            <v/>
          </cell>
          <cell r="Z669" t="str">
            <v>1915</v>
          </cell>
          <cell r="AA669" t="str">
            <v>1100156289</v>
          </cell>
          <cell r="AB669">
            <v>1200</v>
          </cell>
          <cell r="AC669" t="str">
            <v/>
          </cell>
          <cell r="AD669">
            <v>20</v>
          </cell>
          <cell r="AE669" t="str">
            <v>G-100010426-251124-0043XH</v>
          </cell>
        </row>
        <row r="670">
          <cell r="B670" t="str">
            <v>7101040835</v>
          </cell>
          <cell r="C670" t="str">
            <v>G2408-1593</v>
          </cell>
          <cell r="D670" t="str">
            <v>000042944239014435</v>
          </cell>
          <cell r="E670" t="str">
            <v>十二角头螺栓</v>
          </cell>
          <cell r="F670" t="str">
            <v>ΦNU13739</v>
          </cell>
          <cell r="G670" t="str">
            <v>-</v>
          </cell>
          <cell r="H670" t="str">
            <v>≥285HB</v>
          </cell>
          <cell r="I670" t="str">
            <v/>
          </cell>
          <cell r="J670" t="str">
            <v>GH80A</v>
          </cell>
          <cell r="K670">
            <v>59</v>
          </cell>
          <cell r="L670">
            <v>45986</v>
          </cell>
          <cell r="M670" t="str">
            <v>3-配货完成</v>
          </cell>
        </row>
        <row r="670">
          <cell r="O670">
            <v>0</v>
          </cell>
          <cell r="P670" t="str">
            <v>中国人民解放军第五七〇二工厂(国营四达机械制造公司)</v>
          </cell>
          <cell r="Q670" t="str">
            <v>120</v>
          </cell>
        </row>
        <row r="670">
          <cell r="U670" t="str">
            <v>010000729326</v>
          </cell>
          <cell r="V670" t="str">
            <v>BIAOQIAN4</v>
          </cell>
          <cell r="W670" t="str">
            <v/>
          </cell>
          <cell r="X670" t="str">
            <v>CP-108-A/CP-39-3-4-6</v>
          </cell>
          <cell r="Y670" t="str">
            <v/>
          </cell>
          <cell r="Z670" t="str">
            <v>1915</v>
          </cell>
          <cell r="AA670" t="str">
            <v>1100156289</v>
          </cell>
          <cell r="AB670">
            <v>59</v>
          </cell>
          <cell r="AC670" t="str">
            <v/>
          </cell>
          <cell r="AD670">
            <v>38</v>
          </cell>
          <cell r="AE670" t="str">
            <v>G-100010426-251124-0043XH</v>
          </cell>
        </row>
        <row r="671">
          <cell r="B671" t="str">
            <v>7101040834</v>
          </cell>
          <cell r="C671" t="str">
            <v>G2310-0342</v>
          </cell>
          <cell r="D671" t="str">
            <v>000042944239014433</v>
          </cell>
          <cell r="E671" t="str">
            <v>十二角头螺栓</v>
          </cell>
          <cell r="F671" t="str">
            <v>ΦNU13372</v>
          </cell>
          <cell r="G671" t="str">
            <v>-</v>
          </cell>
          <cell r="H671" t="str">
            <v>≥285HB</v>
          </cell>
          <cell r="I671" t="str">
            <v/>
          </cell>
          <cell r="J671" t="str">
            <v>GH80A</v>
          </cell>
          <cell r="K671">
            <v>50</v>
          </cell>
          <cell r="L671">
            <v>45986</v>
          </cell>
          <cell r="M671" t="str">
            <v>3-配货完成</v>
          </cell>
        </row>
        <row r="671">
          <cell r="O671">
            <v>0</v>
          </cell>
          <cell r="P671" t="str">
            <v>中国人民解放军第五七〇二工厂(国营四达机械制造公司)</v>
          </cell>
          <cell r="Q671" t="str">
            <v>110</v>
          </cell>
        </row>
        <row r="671">
          <cell r="U671" t="str">
            <v>010000640318</v>
          </cell>
          <cell r="V671" t="str">
            <v>BIAOQIAN2</v>
          </cell>
          <cell r="W671" t="str">
            <v/>
          </cell>
          <cell r="X671" t="str">
            <v>CP-108-A/CP-1-3-1-15</v>
          </cell>
          <cell r="Y671" t="str">
            <v/>
          </cell>
          <cell r="Z671" t="str">
            <v>1915</v>
          </cell>
          <cell r="AA671" t="str">
            <v>1100156289</v>
          </cell>
          <cell r="AB671">
            <v>50</v>
          </cell>
          <cell r="AC671" t="str">
            <v/>
          </cell>
          <cell r="AD671">
            <v>37</v>
          </cell>
          <cell r="AE671" t="str">
            <v>G-100010426-251124-0043XH</v>
          </cell>
        </row>
        <row r="672">
          <cell r="B672" t="str">
            <v>7101040834</v>
          </cell>
          <cell r="C672" t="str">
            <v>G2403-1920</v>
          </cell>
          <cell r="D672" t="str">
            <v>000042944239014419</v>
          </cell>
          <cell r="E672" t="str">
            <v>十二角头螺栓</v>
          </cell>
          <cell r="F672" t="str">
            <v>ΦK186134</v>
          </cell>
          <cell r="G672" t="str">
            <v>-</v>
          </cell>
          <cell r="H672" t="str">
            <v>248-341HB</v>
          </cell>
          <cell r="I672" t="str">
            <v/>
          </cell>
          <cell r="J672" t="str">
            <v>GH2132</v>
          </cell>
          <cell r="K672">
            <v>5</v>
          </cell>
          <cell r="L672">
            <v>45986</v>
          </cell>
          <cell r="M672" t="str">
            <v>3-配货完成</v>
          </cell>
        </row>
        <row r="672">
          <cell r="O672">
            <v>0</v>
          </cell>
          <cell r="P672" t="str">
            <v>中国人民解放军第五七〇二工厂(国营四达机械制造公司)</v>
          </cell>
          <cell r="Q672" t="str">
            <v>90</v>
          </cell>
        </row>
        <row r="672">
          <cell r="U672" t="str">
            <v>010000682753</v>
          </cell>
          <cell r="V672" t="str">
            <v>BIAOQIAN2</v>
          </cell>
          <cell r="W672" t="str">
            <v/>
          </cell>
          <cell r="X672" t="str">
            <v>CP-108-A</v>
          </cell>
          <cell r="Y672" t="str">
            <v/>
          </cell>
          <cell r="Z672" t="str">
            <v>1915</v>
          </cell>
          <cell r="AA672" t="str">
            <v>1100156289</v>
          </cell>
          <cell r="AB672">
            <v>5</v>
          </cell>
          <cell r="AC672" t="str">
            <v/>
          </cell>
          <cell r="AD672">
            <v>34</v>
          </cell>
          <cell r="AE672" t="str">
            <v>G-100010426-251124-0043XH</v>
          </cell>
        </row>
        <row r="673">
          <cell r="B673" t="str">
            <v>7101040831</v>
          </cell>
          <cell r="C673" t="str">
            <v>G2310-0324</v>
          </cell>
          <cell r="D673" t="str">
            <v>000042944239014397</v>
          </cell>
          <cell r="E673" t="str">
            <v>十二角头螺栓</v>
          </cell>
          <cell r="F673" t="str">
            <v>ΦK186110</v>
          </cell>
          <cell r="G673" t="str">
            <v>-</v>
          </cell>
          <cell r="H673" t="str">
            <v>248-341HB</v>
          </cell>
          <cell r="I673" t="str">
            <v/>
          </cell>
          <cell r="J673" t="str">
            <v>GH2132</v>
          </cell>
          <cell r="K673">
            <v>100</v>
          </cell>
          <cell r="L673">
            <v>45986</v>
          </cell>
          <cell r="M673" t="str">
            <v>3-配货完成</v>
          </cell>
        </row>
        <row r="673">
          <cell r="O673">
            <v>0</v>
          </cell>
          <cell r="P673" t="str">
            <v>中国人民解放军第五七〇二工厂(国营四达机械制造公司)</v>
          </cell>
          <cell r="Q673" t="str">
            <v>80</v>
          </cell>
        </row>
        <row r="673">
          <cell r="U673" t="str">
            <v>010000640300</v>
          </cell>
          <cell r="V673" t="str">
            <v>BIAOQIAN3</v>
          </cell>
          <cell r="W673" t="str">
            <v/>
          </cell>
          <cell r="X673" t="str">
            <v>CP-79-4-4-3</v>
          </cell>
          <cell r="Y673" t="str">
            <v/>
          </cell>
          <cell r="Z673" t="str">
            <v>1915</v>
          </cell>
          <cell r="AA673" t="str">
            <v>1100156289</v>
          </cell>
          <cell r="AB673">
            <v>100</v>
          </cell>
          <cell r="AC673" t="str">
            <v/>
          </cell>
          <cell r="AD673">
            <v>35</v>
          </cell>
          <cell r="AE673" t="str">
            <v>G-100010426-251124-0043XH</v>
          </cell>
        </row>
        <row r="674">
          <cell r="B674" t="str">
            <v>7101040831</v>
          </cell>
          <cell r="C674" t="str">
            <v>G2409-2329</v>
          </cell>
          <cell r="D674" t="str">
            <v>000042944239014370</v>
          </cell>
          <cell r="E674" t="str">
            <v>十二角头螺栓</v>
          </cell>
          <cell r="F674" t="str">
            <v>ΦK186009</v>
          </cell>
          <cell r="G674" t="str">
            <v>-</v>
          </cell>
          <cell r="H674" t="str">
            <v>248-341HB</v>
          </cell>
          <cell r="I674" t="str">
            <v/>
          </cell>
          <cell r="J674" t="str">
            <v>GH2132</v>
          </cell>
          <cell r="K674">
            <v>800</v>
          </cell>
          <cell r="L674">
            <v>45986</v>
          </cell>
          <cell r="M674" t="str">
            <v>3-配货完成</v>
          </cell>
        </row>
        <row r="674">
          <cell r="O674">
            <v>0</v>
          </cell>
          <cell r="P674" t="str">
            <v>中国人民解放军第五七〇二工厂(国营四达机械制造公司)</v>
          </cell>
          <cell r="Q674" t="str">
            <v>50</v>
          </cell>
        </row>
        <row r="674">
          <cell r="U674" t="str">
            <v>010000737960</v>
          </cell>
          <cell r="V674" t="str">
            <v>BIAOQIAN3</v>
          </cell>
          <cell r="W674" t="str">
            <v/>
          </cell>
          <cell r="X674" t="str">
            <v>CP-59-4-1-1</v>
          </cell>
          <cell r="Y674" t="str">
            <v/>
          </cell>
          <cell r="Z674" t="str">
            <v>1915</v>
          </cell>
          <cell r="AA674" t="str">
            <v>1100156289</v>
          </cell>
          <cell r="AB674">
            <v>800</v>
          </cell>
          <cell r="AC674" t="str">
            <v/>
          </cell>
          <cell r="AD674">
            <v>33</v>
          </cell>
          <cell r="AE674" t="str">
            <v>G-100010426-251124-0043XH</v>
          </cell>
        </row>
        <row r="675">
          <cell r="B675" t="str">
            <v>7101040820</v>
          </cell>
          <cell r="C675" t="str">
            <v>G2310-0297</v>
          </cell>
          <cell r="D675" t="str">
            <v>000042944239014348</v>
          </cell>
          <cell r="E675" t="str">
            <v>D形装配螺栓</v>
          </cell>
          <cell r="F675" t="str">
            <v>ΦDU8064</v>
          </cell>
          <cell r="G675" t="str">
            <v>-</v>
          </cell>
          <cell r="H675" t="str">
            <v>269-331HB</v>
          </cell>
          <cell r="I675" t="str">
            <v/>
          </cell>
          <cell r="J675" t="str">
            <v>1Cr12Ni2WMoVNb</v>
          </cell>
          <cell r="K675">
            <v>20</v>
          </cell>
          <cell r="L675">
            <v>45986</v>
          </cell>
          <cell r="M675" t="str">
            <v>2-调货完成</v>
          </cell>
        </row>
        <row r="675">
          <cell r="O675">
            <v>0</v>
          </cell>
          <cell r="P675" t="str">
            <v>中国人民解放军第五七〇二工厂(国营四达机械制造公司)</v>
          </cell>
          <cell r="Q675" t="str">
            <v>180</v>
          </cell>
        </row>
        <row r="675">
          <cell r="U675" t="str">
            <v>010000640254</v>
          </cell>
          <cell r="V675" t="str">
            <v/>
          </cell>
          <cell r="W675" t="str">
            <v/>
          </cell>
          <cell r="X675" t="str">
            <v>CP-108-A</v>
          </cell>
          <cell r="Y675" t="str">
            <v/>
          </cell>
          <cell r="Z675" t="str">
            <v>1915</v>
          </cell>
          <cell r="AA675" t="str">
            <v>1100156289</v>
          </cell>
          <cell r="AB675">
            <v>20</v>
          </cell>
          <cell r="AC675" t="str">
            <v/>
          </cell>
          <cell r="AD675">
            <v>46</v>
          </cell>
          <cell r="AE675" t="str">
            <v>G-100010426-251124-0043XH</v>
          </cell>
        </row>
        <row r="676">
          <cell r="B676" t="str">
            <v>7101040820</v>
          </cell>
          <cell r="C676" t="str">
            <v>G2411-0720</v>
          </cell>
          <cell r="D676" t="str">
            <v>000042944239014323</v>
          </cell>
          <cell r="E676" t="str">
            <v>D形头螺栓</v>
          </cell>
          <cell r="F676" t="str">
            <v>ΦBLT2509</v>
          </cell>
          <cell r="G676" t="str">
            <v>-</v>
          </cell>
          <cell r="H676" t="str">
            <v>≥285HB</v>
          </cell>
          <cell r="I676" t="str">
            <v>螺纹涂MSRR9052</v>
          </cell>
          <cell r="J676" t="str">
            <v>GH80A</v>
          </cell>
          <cell r="K676">
            <v>166</v>
          </cell>
          <cell r="L676">
            <v>45986</v>
          </cell>
          <cell r="M676" t="str">
            <v>2-调货完成</v>
          </cell>
        </row>
        <row r="676">
          <cell r="O676">
            <v>0</v>
          </cell>
          <cell r="P676" t="str">
            <v>中国人民解放军第五七〇二工厂(国营四达机械制造公司)</v>
          </cell>
          <cell r="Q676" t="str">
            <v>220</v>
          </cell>
        </row>
        <row r="676">
          <cell r="U676" t="str">
            <v>010000749328</v>
          </cell>
          <cell r="V676" t="str">
            <v/>
          </cell>
          <cell r="W676" t="str">
            <v/>
          </cell>
          <cell r="X676" t="str">
            <v>CP-K3-1-5-3</v>
          </cell>
          <cell r="Y676" t="str">
            <v/>
          </cell>
          <cell r="Z676" t="str">
            <v>1915</v>
          </cell>
          <cell r="AA676" t="str">
            <v>1100156289</v>
          </cell>
          <cell r="AB676">
            <v>166</v>
          </cell>
          <cell r="AC676" t="str">
            <v/>
          </cell>
          <cell r="AD676">
            <v>98</v>
          </cell>
          <cell r="AE676" t="str">
            <v>G-100010426-251124-0043XH</v>
          </cell>
        </row>
        <row r="677">
          <cell r="B677" t="str">
            <v>7101040817</v>
          </cell>
          <cell r="C677" t="str">
            <v>G2502-2741</v>
          </cell>
          <cell r="D677" t="str">
            <v>000042944239014219</v>
          </cell>
          <cell r="E677" t="str">
            <v>十二角头螺栓</v>
          </cell>
          <cell r="F677" t="str">
            <v>ΦAS20316</v>
          </cell>
          <cell r="G677" t="str">
            <v>-</v>
          </cell>
          <cell r="H677" t="str">
            <v/>
          </cell>
          <cell r="I677" t="str">
            <v/>
          </cell>
          <cell r="J677" t="str">
            <v>GH80A</v>
          </cell>
          <cell r="K677">
            <v>60</v>
          </cell>
          <cell r="L677">
            <v>45986</v>
          </cell>
          <cell r="M677" t="str">
            <v>3-配货完成</v>
          </cell>
        </row>
        <row r="677">
          <cell r="O677">
            <v>0</v>
          </cell>
          <cell r="P677" t="str">
            <v>中国人民解放军第五七〇二工厂(国营四达机械制造公司)</v>
          </cell>
          <cell r="Q677" t="str">
            <v>150</v>
          </cell>
        </row>
        <row r="677">
          <cell r="U677" t="str">
            <v>010000788227</v>
          </cell>
          <cell r="V677" t="str">
            <v>BIAOQIAN4</v>
          </cell>
          <cell r="W677" t="str">
            <v/>
          </cell>
          <cell r="X677" t="str">
            <v>CP-28-2-3-4</v>
          </cell>
          <cell r="Y677" t="str">
            <v/>
          </cell>
          <cell r="Z677" t="str">
            <v>1915</v>
          </cell>
          <cell r="AA677" t="str">
            <v>1100156289</v>
          </cell>
          <cell r="AB677">
            <v>60</v>
          </cell>
          <cell r="AC677" t="str">
            <v/>
          </cell>
          <cell r="AD677">
            <v>39</v>
          </cell>
          <cell r="AE677" t="str">
            <v>G-100010426-251124-0043XH</v>
          </cell>
        </row>
        <row r="678">
          <cell r="B678" t="str">
            <v>7101040812</v>
          </cell>
          <cell r="C678" t="str">
            <v>G2310-0664</v>
          </cell>
          <cell r="D678" t="str">
            <v>000042944239003779</v>
          </cell>
          <cell r="E678" t="str">
            <v>十二角头螺栓</v>
          </cell>
          <cell r="F678" t="str">
            <v>ΦEU22885</v>
          </cell>
          <cell r="G678" t="str">
            <v>-</v>
          </cell>
          <cell r="H678" t="str">
            <v>≥285HB</v>
          </cell>
          <cell r="I678" t="str">
            <v/>
          </cell>
          <cell r="J678" t="str">
            <v>GH80A</v>
          </cell>
          <cell r="K678">
            <v>465</v>
          </cell>
          <cell r="L678">
            <v>45986</v>
          </cell>
          <cell r="M678" t="str">
            <v>1-已打印</v>
          </cell>
        </row>
        <row r="678">
          <cell r="O678">
            <v>0</v>
          </cell>
          <cell r="P678" t="str">
            <v>中国人民解放军第五七〇二工厂(国营四达机械制造公司)</v>
          </cell>
          <cell r="Q678" t="str">
            <v>100</v>
          </cell>
        </row>
        <row r="678">
          <cell r="U678" t="str">
            <v>010000641171</v>
          </cell>
          <cell r="V678" t="str">
            <v/>
          </cell>
          <cell r="W678" t="str">
            <v/>
          </cell>
          <cell r="X678" t="str">
            <v>CP-108-A/CP-1-3-3-2</v>
          </cell>
          <cell r="Y678" t="str">
            <v/>
          </cell>
          <cell r="Z678" t="str">
            <v>1915</v>
          </cell>
          <cell r="AA678" t="str">
            <v>1100156289</v>
          </cell>
          <cell r="AB678">
            <v>2500</v>
          </cell>
          <cell r="AC678" t="str">
            <v/>
          </cell>
          <cell r="AD678">
            <v>35</v>
          </cell>
          <cell r="AE678" t="str">
            <v>G-100010426-251124-0043XH</v>
          </cell>
        </row>
        <row r="679">
          <cell r="B679" t="str">
            <v>7101040812</v>
          </cell>
          <cell r="C679" t="str">
            <v>G2408-1037</v>
          </cell>
          <cell r="D679" t="str">
            <v>000042944239003779</v>
          </cell>
          <cell r="E679" t="str">
            <v>十二角头螺栓</v>
          </cell>
          <cell r="F679" t="str">
            <v>ΦEU22885</v>
          </cell>
          <cell r="G679" t="str">
            <v>-</v>
          </cell>
          <cell r="H679" t="str">
            <v>≥285HB</v>
          </cell>
          <cell r="I679" t="str">
            <v/>
          </cell>
          <cell r="J679" t="str">
            <v>GH80A</v>
          </cell>
          <cell r="K679">
            <v>1960</v>
          </cell>
          <cell r="L679">
            <v>45986</v>
          </cell>
          <cell r="M679" t="str">
            <v>1-已打印</v>
          </cell>
        </row>
        <row r="679">
          <cell r="O679">
            <v>0</v>
          </cell>
          <cell r="P679" t="str">
            <v>中国人民解放军第五七〇二工厂(国营四达机械制造公司)</v>
          </cell>
          <cell r="Q679" t="str">
            <v>100</v>
          </cell>
        </row>
        <row r="679">
          <cell r="U679" t="str">
            <v>010000727424</v>
          </cell>
          <cell r="V679" t="str">
            <v/>
          </cell>
          <cell r="W679" t="str">
            <v/>
          </cell>
          <cell r="X679" t="str">
            <v>CP-108-A/CP-78-5-1-4</v>
          </cell>
          <cell r="Y679" t="str">
            <v/>
          </cell>
          <cell r="Z679" t="str">
            <v>1915</v>
          </cell>
          <cell r="AA679" t="str">
            <v>1100156289</v>
          </cell>
          <cell r="AB679">
            <v>2500</v>
          </cell>
          <cell r="AC679" t="str">
            <v/>
          </cell>
          <cell r="AD679">
            <v>35</v>
          </cell>
          <cell r="AE679" t="str">
            <v>G-100010426-251124-0043XH</v>
          </cell>
        </row>
        <row r="680">
          <cell r="B680" t="str">
            <v>7101040812</v>
          </cell>
          <cell r="C680" t="str">
            <v>G2501-1822</v>
          </cell>
          <cell r="D680" t="str">
            <v>000042944239003779</v>
          </cell>
          <cell r="E680" t="str">
            <v>十二角头螺栓</v>
          </cell>
          <cell r="F680" t="str">
            <v>ΦEU22885</v>
          </cell>
          <cell r="G680" t="str">
            <v>-</v>
          </cell>
          <cell r="H680" t="str">
            <v>≥285HB</v>
          </cell>
          <cell r="I680" t="str">
            <v/>
          </cell>
          <cell r="J680" t="str">
            <v>GH80A</v>
          </cell>
          <cell r="K680">
            <v>75</v>
          </cell>
          <cell r="L680">
            <v>45986</v>
          </cell>
          <cell r="M680" t="str">
            <v>1-已打印</v>
          </cell>
        </row>
        <row r="680">
          <cell r="O680">
            <v>0</v>
          </cell>
          <cell r="P680" t="str">
            <v>中国人民解放军第五七〇二工厂(国营四达机械制造公司)</v>
          </cell>
          <cell r="Q680" t="str">
            <v>100</v>
          </cell>
        </row>
        <row r="680">
          <cell r="U680" t="str">
            <v>010000774824</v>
          </cell>
          <cell r="V680" t="str">
            <v/>
          </cell>
          <cell r="W680" t="str">
            <v/>
          </cell>
          <cell r="X680" t="str">
            <v>CP-11-4-8-6</v>
          </cell>
          <cell r="Y680" t="str">
            <v/>
          </cell>
          <cell r="Z680" t="str">
            <v>1915</v>
          </cell>
          <cell r="AA680" t="str">
            <v>1100156289</v>
          </cell>
          <cell r="AB680">
            <v>2500</v>
          </cell>
          <cell r="AC680" t="str">
            <v/>
          </cell>
          <cell r="AD680">
            <v>35</v>
          </cell>
          <cell r="AE680" t="str">
            <v>G-100010426-251124-0043XH</v>
          </cell>
        </row>
        <row r="681">
          <cell r="B681" t="str">
            <v>7101040799</v>
          </cell>
          <cell r="C681" t="str">
            <v>G2504-1357</v>
          </cell>
          <cell r="D681" t="str">
            <v>000042944201017699</v>
          </cell>
          <cell r="E681" t="str">
            <v>六角头螺栓</v>
          </cell>
          <cell r="F681" t="str">
            <v>ΦBLT2052</v>
          </cell>
          <cell r="G681" t="str">
            <v>-</v>
          </cell>
          <cell r="H681" t="str">
            <v>≥285HB</v>
          </cell>
          <cell r="I681" t="str">
            <v/>
          </cell>
          <cell r="J681" t="str">
            <v>GH80A</v>
          </cell>
          <cell r="K681">
            <v>557</v>
          </cell>
          <cell r="L681">
            <v>45986</v>
          </cell>
          <cell r="M681" t="str">
            <v>3-配货完成</v>
          </cell>
        </row>
        <row r="681">
          <cell r="O681">
            <v>0</v>
          </cell>
          <cell r="P681" t="str">
            <v>中国人民解放军第五七〇二工厂(国营四达机械制造公司)</v>
          </cell>
          <cell r="Q681" t="str">
            <v>40</v>
          </cell>
        </row>
        <row r="681">
          <cell r="U681" t="str">
            <v>010000808030</v>
          </cell>
          <cell r="V681" t="str">
            <v>BIAOQIAN4</v>
          </cell>
          <cell r="W681" t="str">
            <v/>
          </cell>
          <cell r="X681" t="str">
            <v>CP-38-3-4-2</v>
          </cell>
          <cell r="Y681" t="str">
            <v/>
          </cell>
          <cell r="Z681" t="str">
            <v>1915</v>
          </cell>
          <cell r="AA681" t="str">
            <v>1100156289</v>
          </cell>
          <cell r="AB681">
            <v>895</v>
          </cell>
          <cell r="AC681" t="str">
            <v/>
          </cell>
          <cell r="AD681">
            <v>33.5</v>
          </cell>
          <cell r="AE681" t="str">
            <v>G-100010426-251124-0043XH</v>
          </cell>
        </row>
        <row r="682">
          <cell r="B682" t="str">
            <v>7101040799</v>
          </cell>
          <cell r="C682" t="str">
            <v>G2412-2412</v>
          </cell>
          <cell r="D682" t="str">
            <v>000042944201017699</v>
          </cell>
          <cell r="E682" t="str">
            <v>六角头螺栓</v>
          </cell>
          <cell r="F682" t="str">
            <v>ΦBLT2052</v>
          </cell>
          <cell r="G682" t="str">
            <v>-</v>
          </cell>
          <cell r="H682" t="str">
            <v>≥285HB</v>
          </cell>
          <cell r="I682" t="str">
            <v/>
          </cell>
          <cell r="J682" t="str">
            <v>GH80A</v>
          </cell>
          <cell r="K682">
            <v>338</v>
          </cell>
          <cell r="L682">
            <v>45986</v>
          </cell>
          <cell r="M682" t="str">
            <v>3-配货完成</v>
          </cell>
        </row>
        <row r="682">
          <cell r="O682">
            <v>0</v>
          </cell>
          <cell r="P682" t="str">
            <v>中国人民解放军第五七〇二工厂(国营四达机械制造公司)</v>
          </cell>
          <cell r="Q682" t="str">
            <v>40</v>
          </cell>
        </row>
        <row r="682">
          <cell r="U682" t="str">
            <v>010000764730</v>
          </cell>
          <cell r="V682" t="str">
            <v>BIAOQIAN4</v>
          </cell>
          <cell r="W682" t="str">
            <v/>
          </cell>
          <cell r="X682" t="str">
            <v>CP-79-4-1-1</v>
          </cell>
          <cell r="Y682" t="str">
            <v/>
          </cell>
          <cell r="Z682" t="str">
            <v>1915</v>
          </cell>
          <cell r="AA682" t="str">
            <v>1100156289</v>
          </cell>
          <cell r="AB682">
            <v>895</v>
          </cell>
          <cell r="AC682" t="str">
            <v>GJ2412-02412</v>
          </cell>
          <cell r="AD682">
            <v>33.5</v>
          </cell>
          <cell r="AE682" t="str">
            <v>G-100010426-251124-0043XH</v>
          </cell>
        </row>
        <row r="683">
          <cell r="B683" t="str">
            <v>7101040796</v>
          </cell>
          <cell r="C683" t="str">
            <v>G2310-0198</v>
          </cell>
          <cell r="D683" t="str">
            <v>000042944201017752</v>
          </cell>
          <cell r="E683" t="str">
            <v>六角头螺栓</v>
          </cell>
          <cell r="F683" t="str">
            <v>ΦKU31211</v>
          </cell>
          <cell r="G683" t="str">
            <v>-</v>
          </cell>
          <cell r="H683" t="str">
            <v>≥285HB</v>
          </cell>
          <cell r="I683" t="str">
            <v/>
          </cell>
          <cell r="J683" t="str">
            <v>GH80A</v>
          </cell>
          <cell r="K683">
            <v>25</v>
          </cell>
          <cell r="L683">
            <v>45986</v>
          </cell>
          <cell r="M683" t="str">
            <v>3-配货完成</v>
          </cell>
        </row>
        <row r="683">
          <cell r="O683">
            <v>0</v>
          </cell>
          <cell r="P683" t="str">
            <v>中国人民解放军第五七〇二工厂(国营四达机械制造公司)</v>
          </cell>
          <cell r="Q683" t="str">
            <v>70</v>
          </cell>
        </row>
        <row r="683">
          <cell r="U683" t="str">
            <v>010000640145</v>
          </cell>
          <cell r="V683" t="str">
            <v>BIAOQIAN2</v>
          </cell>
          <cell r="W683" t="str">
            <v/>
          </cell>
          <cell r="X683" t="str">
            <v>CP-108-A</v>
          </cell>
          <cell r="Y683" t="str">
            <v/>
          </cell>
          <cell r="Z683" t="str">
            <v>1915</v>
          </cell>
          <cell r="AA683" t="str">
            <v>1100156289</v>
          </cell>
          <cell r="AB683">
            <v>25</v>
          </cell>
          <cell r="AC683" t="str">
            <v/>
          </cell>
          <cell r="AD683">
            <v>35</v>
          </cell>
          <cell r="AE683" t="str">
            <v>G-100010426-251124-0043XH</v>
          </cell>
        </row>
        <row r="684">
          <cell r="B684" t="str">
            <v>7101040796</v>
          </cell>
          <cell r="C684" t="str">
            <v>G2310-0172</v>
          </cell>
          <cell r="D684" t="str">
            <v>000042944201017702</v>
          </cell>
          <cell r="E684" t="str">
            <v>六角头螺栓</v>
          </cell>
          <cell r="F684" t="str">
            <v>ΦBLT2167</v>
          </cell>
          <cell r="G684" t="str">
            <v>-</v>
          </cell>
          <cell r="H684" t="str">
            <v>269-331HB</v>
          </cell>
          <cell r="I684" t="str">
            <v>Ep·Ag</v>
          </cell>
          <cell r="J684" t="str">
            <v>1Cr12Ni2WMoVNb</v>
          </cell>
          <cell r="K684">
            <v>15</v>
          </cell>
          <cell r="L684">
            <v>45986</v>
          </cell>
          <cell r="M684" t="str">
            <v>3-配货完成</v>
          </cell>
        </row>
        <row r="684">
          <cell r="O684">
            <v>0</v>
          </cell>
          <cell r="P684" t="str">
            <v>中国人民解放军第五七〇二工厂(国营四达机械制造公司)</v>
          </cell>
          <cell r="Q684" t="str">
            <v>60</v>
          </cell>
        </row>
        <row r="684">
          <cell r="U684" t="str">
            <v>010000640117</v>
          </cell>
          <cell r="V684" t="str">
            <v>BIAOQIAN2</v>
          </cell>
          <cell r="W684" t="str">
            <v/>
          </cell>
          <cell r="X684" t="str">
            <v>CP-41-2-4-4</v>
          </cell>
          <cell r="Y684" t="str">
            <v/>
          </cell>
          <cell r="Z684" t="str">
            <v>1915</v>
          </cell>
          <cell r="AA684" t="str">
            <v>1100156289</v>
          </cell>
          <cell r="AB684">
            <v>15</v>
          </cell>
          <cell r="AC684" t="str">
            <v/>
          </cell>
          <cell r="AD684">
            <v>34</v>
          </cell>
          <cell r="AE684" t="str">
            <v>G-100010426-251124-0043XH</v>
          </cell>
        </row>
        <row r="685">
          <cell r="B685" t="str">
            <v>7101040648</v>
          </cell>
          <cell r="C685" t="str">
            <v>G2510-0265</v>
          </cell>
          <cell r="D685" t="str">
            <v>000036200000159183</v>
          </cell>
          <cell r="E685" t="str">
            <v>橡胶型材</v>
          </cell>
          <cell r="F685" t="str">
            <v>HB2-70-1994</v>
          </cell>
          <cell r="G685" t="str">
            <v>JXC302-2×340</v>
          </cell>
          <cell r="H685" t="str">
            <v/>
          </cell>
          <cell r="I685" t="str">
            <v/>
          </cell>
          <cell r="J685" t="str">
            <v>6143</v>
          </cell>
          <cell r="K685">
            <v>18</v>
          </cell>
          <cell r="L685">
            <v>45985</v>
          </cell>
          <cell r="M685" t="str">
            <v>4-检验完成</v>
          </cell>
        </row>
        <row r="685">
          <cell r="O685">
            <v>0</v>
          </cell>
          <cell r="P685" t="str">
            <v>中国人民解放军第五七〇二工厂(国营四达机械制造公司)</v>
          </cell>
          <cell r="Q685" t="str">
            <v>10</v>
          </cell>
          <cell r="R685">
            <v>45986</v>
          </cell>
        </row>
        <row r="685">
          <cell r="U685" t="str">
            <v>010000871806</v>
          </cell>
          <cell r="V685" t="str">
            <v>PANMINGTAO</v>
          </cell>
          <cell r="W685" t="str">
            <v/>
          </cell>
          <cell r="X685" t="str">
            <v>XC-28-1-4-6</v>
          </cell>
          <cell r="Y685" t="str">
            <v/>
          </cell>
          <cell r="Z685" t="str">
            <v>1915</v>
          </cell>
          <cell r="AA685" t="str">
            <v>1100151532</v>
          </cell>
          <cell r="AB685">
            <v>60</v>
          </cell>
          <cell r="AC685" t="str">
            <v/>
          </cell>
          <cell r="AD685">
            <v>65</v>
          </cell>
          <cell r="AE685" t="str">
            <v>G-100010426-250813-0026</v>
          </cell>
        </row>
        <row r="686">
          <cell r="B686" t="str">
            <v>7101040641</v>
          </cell>
          <cell r="C686" t="str">
            <v>G2511-1205</v>
          </cell>
          <cell r="D686" t="str">
            <v>000042944000003527</v>
          </cell>
          <cell r="E686" t="str">
            <v>带减轻孔的带垫夹紧卡箍</v>
          </cell>
          <cell r="F686" t="str">
            <v>Q/FAI18-2006</v>
          </cell>
          <cell r="G686" t="str">
            <v>DE18B</v>
          </cell>
          <cell r="H686" t="str">
            <v/>
          </cell>
          <cell r="I686" t="str">
            <v/>
          </cell>
          <cell r="J686" t="str">
            <v>组件</v>
          </cell>
          <cell r="K686">
            <v>100</v>
          </cell>
          <cell r="L686">
            <v>45985</v>
          </cell>
          <cell r="M686" t="str">
            <v>4-检验完成</v>
          </cell>
        </row>
        <row r="686">
          <cell r="O686">
            <v>0</v>
          </cell>
          <cell r="P686" t="str">
            <v>中国人民解放军第五七〇二工厂(国营四达机械制造公司)</v>
          </cell>
          <cell r="Q686" t="str">
            <v>110</v>
          </cell>
          <cell r="R686">
            <v>45986</v>
          </cell>
        </row>
        <row r="686">
          <cell r="U686" t="str">
            <v>010000884442</v>
          </cell>
          <cell r="V686" t="str">
            <v>PANMINGTAO</v>
          </cell>
          <cell r="W686" t="str">
            <v/>
          </cell>
          <cell r="X686" t="str">
            <v>XC-28-1-4-6</v>
          </cell>
          <cell r="Y686" t="str">
            <v/>
          </cell>
          <cell r="Z686" t="str">
            <v>1915</v>
          </cell>
          <cell r="AA686" t="str">
            <v>1100155754</v>
          </cell>
          <cell r="AB686">
            <v>100</v>
          </cell>
          <cell r="AC686" t="str">
            <v/>
          </cell>
          <cell r="AD686">
            <v>55</v>
          </cell>
          <cell r="AE686" t="str">
            <v>G-100010426-251113-0042</v>
          </cell>
        </row>
        <row r="687">
          <cell r="B687" t="str">
            <v>7101040641</v>
          </cell>
          <cell r="C687" t="str">
            <v>G2511-1206</v>
          </cell>
          <cell r="D687" t="str">
            <v>000042944000003534</v>
          </cell>
          <cell r="E687" t="str">
            <v>带减轻孔的带垫夹紧卡箍</v>
          </cell>
          <cell r="F687" t="str">
            <v>Q/FAI18-2006</v>
          </cell>
          <cell r="G687" t="str">
            <v>DE28B</v>
          </cell>
          <cell r="H687" t="str">
            <v/>
          </cell>
          <cell r="I687" t="str">
            <v/>
          </cell>
          <cell r="J687" t="str">
            <v>组件</v>
          </cell>
          <cell r="K687">
            <v>20</v>
          </cell>
          <cell r="L687">
            <v>45985</v>
          </cell>
          <cell r="M687" t="str">
            <v>4-检验完成</v>
          </cell>
        </row>
        <row r="687">
          <cell r="O687">
            <v>0</v>
          </cell>
          <cell r="P687" t="str">
            <v>中国人民解放军第五七〇二工厂(国营四达机械制造公司)</v>
          </cell>
          <cell r="Q687" t="str">
            <v>140</v>
          </cell>
          <cell r="R687">
            <v>45986</v>
          </cell>
        </row>
        <row r="687">
          <cell r="U687" t="str">
            <v>010000884444</v>
          </cell>
          <cell r="V687" t="str">
            <v>PANMINGTAO</v>
          </cell>
          <cell r="W687" t="str">
            <v/>
          </cell>
          <cell r="X687" t="str">
            <v>XC-28-1-4-6</v>
          </cell>
          <cell r="Y687" t="str">
            <v/>
          </cell>
          <cell r="Z687" t="str">
            <v>1915</v>
          </cell>
          <cell r="AA687" t="str">
            <v>1100155754</v>
          </cell>
          <cell r="AB687">
            <v>20</v>
          </cell>
          <cell r="AC687" t="str">
            <v/>
          </cell>
          <cell r="AD687">
            <v>65</v>
          </cell>
          <cell r="AE687" t="str">
            <v>G-100010426-251113-0042</v>
          </cell>
        </row>
        <row r="688">
          <cell r="B688" t="str">
            <v>7101040641</v>
          </cell>
          <cell r="C688" t="str">
            <v>G2511-1211</v>
          </cell>
          <cell r="D688" t="str">
            <v>000042944000003515</v>
          </cell>
          <cell r="E688" t="str">
            <v>带减轻孔的带垫夹紧卡箍</v>
          </cell>
          <cell r="F688" t="str">
            <v>Q/FAI18-2006</v>
          </cell>
          <cell r="G688" t="str">
            <v>CG40</v>
          </cell>
          <cell r="H688" t="str">
            <v/>
          </cell>
          <cell r="I688" t="str">
            <v/>
          </cell>
          <cell r="J688" t="str">
            <v>组件</v>
          </cell>
          <cell r="K688">
            <v>16</v>
          </cell>
          <cell r="L688">
            <v>45985</v>
          </cell>
          <cell r="M688" t="str">
            <v>4-检验完成</v>
          </cell>
        </row>
        <row r="688">
          <cell r="O688">
            <v>0</v>
          </cell>
          <cell r="P688" t="str">
            <v>中国人民解放军第五七〇二工厂(国营四达机械制造公司)</v>
          </cell>
          <cell r="Q688" t="str">
            <v>90</v>
          </cell>
          <cell r="R688">
            <v>45986</v>
          </cell>
        </row>
        <row r="688">
          <cell r="U688" t="str">
            <v>010000884451</v>
          </cell>
          <cell r="V688" t="str">
            <v>PANMINGTAO</v>
          </cell>
          <cell r="W688" t="str">
            <v/>
          </cell>
          <cell r="X688" t="str">
            <v>XC-28-1-4-6</v>
          </cell>
          <cell r="Y688" t="str">
            <v/>
          </cell>
          <cell r="Z688" t="str">
            <v>1915</v>
          </cell>
          <cell r="AA688" t="str">
            <v>1100155754</v>
          </cell>
          <cell r="AB688">
            <v>16</v>
          </cell>
          <cell r="AC688" t="str">
            <v/>
          </cell>
          <cell r="AD688">
            <v>70</v>
          </cell>
          <cell r="AE688" t="str">
            <v>G-100010426-251113-0042</v>
          </cell>
        </row>
        <row r="689">
          <cell r="B689" t="str">
            <v>7101040641</v>
          </cell>
          <cell r="C689" t="str">
            <v>G2511-1207</v>
          </cell>
          <cell r="D689" t="str">
            <v>000042944000003635</v>
          </cell>
          <cell r="E689" t="str">
            <v>带减轻孔的带垫夹紧卡箍</v>
          </cell>
          <cell r="F689" t="str">
            <v>Q/FAI18-2006</v>
          </cell>
          <cell r="G689" t="str">
            <v>DG6</v>
          </cell>
          <cell r="H689" t="str">
            <v/>
          </cell>
          <cell r="I689" t="str">
            <v/>
          </cell>
          <cell r="J689" t="str">
            <v>组件</v>
          </cell>
          <cell r="K689">
            <v>50</v>
          </cell>
          <cell r="L689">
            <v>45985</v>
          </cell>
          <cell r="M689" t="str">
            <v>4-检验完成</v>
          </cell>
        </row>
        <row r="689">
          <cell r="O689">
            <v>0</v>
          </cell>
          <cell r="P689" t="str">
            <v>中国人民解放军第五七〇二工厂(国营四达机械制造公司)</v>
          </cell>
          <cell r="Q689" t="str">
            <v>150</v>
          </cell>
          <cell r="R689">
            <v>45986</v>
          </cell>
        </row>
        <row r="689">
          <cell r="U689" t="str">
            <v>010000884445</v>
          </cell>
          <cell r="V689" t="str">
            <v>PANMINGTAO</v>
          </cell>
          <cell r="W689" t="str">
            <v/>
          </cell>
          <cell r="X689" t="str">
            <v>XC-28-1-4-6</v>
          </cell>
          <cell r="Y689" t="str">
            <v/>
          </cell>
          <cell r="Z689" t="str">
            <v>1915</v>
          </cell>
          <cell r="AA689" t="str">
            <v>1100155754</v>
          </cell>
          <cell r="AB689">
            <v>50</v>
          </cell>
          <cell r="AC689" t="str">
            <v/>
          </cell>
          <cell r="AD689">
            <v>40</v>
          </cell>
          <cell r="AE689" t="str">
            <v>G-100010426-251113-0042</v>
          </cell>
        </row>
        <row r="690">
          <cell r="B690" t="str">
            <v>7101040637</v>
          </cell>
          <cell r="C690" t="str">
            <v>G2511-1196</v>
          </cell>
          <cell r="D690" t="str">
            <v>000042944000003485</v>
          </cell>
          <cell r="E690" t="str">
            <v>带减轻孔的带垫夹紧卡箍</v>
          </cell>
          <cell r="F690" t="str">
            <v>Q/FAI18-2006</v>
          </cell>
          <cell r="G690" t="str">
            <v>CE14B</v>
          </cell>
          <cell r="H690" t="str">
            <v/>
          </cell>
          <cell r="I690" t="str">
            <v/>
          </cell>
          <cell r="J690" t="str">
            <v>组件</v>
          </cell>
          <cell r="K690">
            <v>16</v>
          </cell>
          <cell r="L690">
            <v>45985</v>
          </cell>
          <cell r="M690" t="str">
            <v>3-配货完成</v>
          </cell>
        </row>
        <row r="690">
          <cell r="O690">
            <v>0</v>
          </cell>
          <cell r="P690" t="str">
            <v>中国人民解放军第五七〇二工厂(国营四达机械制造公司)</v>
          </cell>
          <cell r="Q690" t="str">
            <v>10</v>
          </cell>
        </row>
        <row r="690">
          <cell r="U690" t="str">
            <v>010000884408</v>
          </cell>
          <cell r="V690" t="str">
            <v>PANMINGTAO</v>
          </cell>
          <cell r="W690" t="str">
            <v/>
          </cell>
          <cell r="X690" t="str">
            <v>XC-29-1-4-3</v>
          </cell>
          <cell r="Y690" t="str">
            <v/>
          </cell>
          <cell r="Z690" t="str">
            <v>1915</v>
          </cell>
          <cell r="AA690" t="str">
            <v>1100155754</v>
          </cell>
          <cell r="AB690">
            <v>16</v>
          </cell>
          <cell r="AC690" t="str">
            <v/>
          </cell>
          <cell r="AD690">
            <v>46</v>
          </cell>
          <cell r="AE690" t="str">
            <v>G-100010426-251113-0042</v>
          </cell>
        </row>
        <row r="691">
          <cell r="B691" t="str">
            <v>7101040637</v>
          </cell>
          <cell r="C691" t="str">
            <v>G2511-1201</v>
          </cell>
          <cell r="D691" t="str">
            <v>000042944000003499</v>
          </cell>
          <cell r="E691" t="str">
            <v>带减轻孔的带垫夹紧卡箍</v>
          </cell>
          <cell r="F691" t="str">
            <v>Q/FAI18-2006</v>
          </cell>
          <cell r="G691" t="str">
            <v>CG12</v>
          </cell>
          <cell r="H691" t="str">
            <v/>
          </cell>
          <cell r="I691" t="str">
            <v/>
          </cell>
          <cell r="J691" t="str">
            <v>组件</v>
          </cell>
          <cell r="K691">
            <v>45</v>
          </cell>
          <cell r="L691">
            <v>45985</v>
          </cell>
          <cell r="M691" t="str">
            <v>3-配货完成</v>
          </cell>
        </row>
        <row r="691">
          <cell r="O691">
            <v>0</v>
          </cell>
          <cell r="P691" t="str">
            <v>中国人民解放军第五七〇二工厂(国营四达机械制造公司)</v>
          </cell>
          <cell r="Q691" t="str">
            <v>60</v>
          </cell>
        </row>
        <row r="691">
          <cell r="U691" t="str">
            <v>010000884413</v>
          </cell>
          <cell r="V691" t="str">
            <v>PANMINGTAO</v>
          </cell>
          <cell r="W691" t="str">
            <v/>
          </cell>
          <cell r="X691" t="str">
            <v>XC-28-1-4-6</v>
          </cell>
          <cell r="Y691" t="str">
            <v/>
          </cell>
          <cell r="Z691" t="str">
            <v>1915</v>
          </cell>
          <cell r="AA691" t="str">
            <v>1100155754</v>
          </cell>
          <cell r="AB691">
            <v>45</v>
          </cell>
          <cell r="AC691" t="str">
            <v/>
          </cell>
          <cell r="AD691">
            <v>57</v>
          </cell>
          <cell r="AE691" t="str">
            <v>G-100010426-251113-0042</v>
          </cell>
        </row>
        <row r="692">
          <cell r="B692" t="str">
            <v>7101040637</v>
          </cell>
          <cell r="C692" t="str">
            <v>G2511-1203</v>
          </cell>
          <cell r="D692" t="str">
            <v>000042944000003512</v>
          </cell>
          <cell r="E692" t="str">
            <v>带减轻孔的带垫夹紧卡箍</v>
          </cell>
          <cell r="F692" t="str">
            <v>Q/FAI18-2006</v>
          </cell>
          <cell r="G692" t="str">
            <v>CG30</v>
          </cell>
          <cell r="H692" t="str">
            <v/>
          </cell>
          <cell r="I692" t="str">
            <v/>
          </cell>
          <cell r="J692" t="str">
            <v>组件</v>
          </cell>
          <cell r="K692">
            <v>8</v>
          </cell>
          <cell r="L692">
            <v>45985</v>
          </cell>
          <cell r="M692" t="str">
            <v>3-配货完成</v>
          </cell>
        </row>
        <row r="692">
          <cell r="O692">
            <v>0</v>
          </cell>
          <cell r="P692" t="str">
            <v>中国人民解放军第五七〇二工厂(国营四达机械制造公司)</v>
          </cell>
          <cell r="Q692" t="str">
            <v>80</v>
          </cell>
        </row>
        <row r="692">
          <cell r="U692" t="str">
            <v>010000884417</v>
          </cell>
          <cell r="V692" t="str">
            <v>PANMINGTAO</v>
          </cell>
          <cell r="W692" t="str">
            <v/>
          </cell>
          <cell r="X692" t="str">
            <v>XC-28-1-4-6</v>
          </cell>
          <cell r="Y692" t="str">
            <v/>
          </cell>
          <cell r="Z692" t="str">
            <v>1915</v>
          </cell>
          <cell r="AA692" t="str">
            <v>1100155754</v>
          </cell>
          <cell r="AB692">
            <v>8</v>
          </cell>
          <cell r="AC692" t="str">
            <v/>
          </cell>
          <cell r="AD692">
            <v>60</v>
          </cell>
          <cell r="AE692" t="str">
            <v>G-100010426-251113-0042</v>
          </cell>
        </row>
        <row r="693">
          <cell r="B693" t="str">
            <v>7101040291</v>
          </cell>
          <cell r="C693" t="str">
            <v>G2508-1254</v>
          </cell>
          <cell r="D693" t="str">
            <v>000042944439106828</v>
          </cell>
          <cell r="E693" t="str">
            <v>垫圈</v>
          </cell>
          <cell r="F693" t="str">
            <v>4A1-175-5×10×1.5</v>
          </cell>
          <cell r="G693" t="str">
            <v/>
          </cell>
          <cell r="H693" t="str">
            <v>σb=1175±100MPa</v>
          </cell>
          <cell r="I693" t="str">
            <v>Ep·Cd·c2C</v>
          </cell>
          <cell r="J693" t="str">
            <v>30CrMnSiA</v>
          </cell>
          <cell r="K693">
            <v>450</v>
          </cell>
          <cell r="L693">
            <v>45985</v>
          </cell>
          <cell r="M693" t="str">
            <v>3-配货完成</v>
          </cell>
        </row>
        <row r="693">
          <cell r="O693">
            <v>0</v>
          </cell>
          <cell r="P693" t="str">
            <v>中国人民解放军第五七〇二工厂(国营四达机械制造公司)</v>
          </cell>
          <cell r="Q693" t="str">
            <v>360</v>
          </cell>
        </row>
        <row r="693">
          <cell r="U693" t="str">
            <v>010000855571</v>
          </cell>
          <cell r="V693" t="str">
            <v>BIAOQIAN2</v>
          </cell>
          <cell r="W693" t="str">
            <v/>
          </cell>
          <cell r="X693" t="str">
            <v>CP-108-A</v>
          </cell>
          <cell r="Y693" t="str">
            <v/>
          </cell>
          <cell r="Z693" t="str">
            <v>1915</v>
          </cell>
          <cell r="AA693" t="str">
            <v>1100151484</v>
          </cell>
          <cell r="AB693">
            <v>450</v>
          </cell>
          <cell r="AC693" t="str">
            <v/>
          </cell>
          <cell r="AD693">
            <v>0.7</v>
          </cell>
          <cell r="AE693" t="str">
            <v>G-100010426-250812-0023</v>
          </cell>
        </row>
        <row r="694">
          <cell r="B694" t="str">
            <v>7101039859</v>
          </cell>
          <cell r="C694" t="str">
            <v>G2508-1235</v>
          </cell>
          <cell r="D694" t="str">
            <v>000042944239045441</v>
          </cell>
          <cell r="E694" t="str">
            <v>螺栓</v>
          </cell>
          <cell r="F694" t="str">
            <v>40-04-4119</v>
          </cell>
          <cell r="G694" t="str">
            <v>Ⅳ</v>
          </cell>
          <cell r="H694" t="str">
            <v>d=3.55-3.30</v>
          </cell>
          <cell r="I694" t="str">
            <v/>
          </cell>
          <cell r="J694" t="str">
            <v>GH4698</v>
          </cell>
          <cell r="K694">
            <v>898</v>
          </cell>
          <cell r="L694">
            <v>45984</v>
          </cell>
          <cell r="M694" t="str">
            <v>4-检验完成</v>
          </cell>
        </row>
        <row r="694">
          <cell r="O694">
            <v>0</v>
          </cell>
          <cell r="P694" t="str">
            <v>中国人民解放军第五七〇二工厂(国营四达机械制造公司)</v>
          </cell>
          <cell r="Q694" t="str">
            <v>40</v>
          </cell>
          <cell r="R694">
            <v>45986</v>
          </cell>
        </row>
        <row r="694">
          <cell r="U694" t="str">
            <v>010000855550</v>
          </cell>
          <cell r="V694" t="str">
            <v>BIAOQIAN3</v>
          </cell>
          <cell r="W694" t="str">
            <v/>
          </cell>
          <cell r="X694" t="str">
            <v>CP-108-A</v>
          </cell>
          <cell r="Y694" t="str">
            <v/>
          </cell>
          <cell r="Z694" t="str">
            <v>1915</v>
          </cell>
          <cell r="AA694" t="str">
            <v>1100151484</v>
          </cell>
          <cell r="AB694">
            <v>900</v>
          </cell>
          <cell r="AC694" t="str">
            <v/>
          </cell>
          <cell r="AD694">
            <v>50</v>
          </cell>
          <cell r="AE694" t="str">
            <v>G-100010426-250812-0023</v>
          </cell>
        </row>
        <row r="695">
          <cell r="B695" t="str">
            <v>7101039425</v>
          </cell>
          <cell r="C695" t="str">
            <v>G2510-0585</v>
          </cell>
          <cell r="D695" t="str">
            <v>000042944360006128</v>
          </cell>
          <cell r="E695" t="str">
            <v>螺纹偏心销</v>
          </cell>
          <cell r="F695" t="str">
            <v>ΦEU44161</v>
          </cell>
          <cell r="G695" t="str">
            <v>-</v>
          </cell>
          <cell r="H695" t="str">
            <v>269-331HB</v>
          </cell>
          <cell r="I695" t="str">
            <v/>
          </cell>
          <cell r="J695" t="str">
            <v>1Cr12Ni2WMoVNb</v>
          </cell>
          <cell r="K695">
            <v>18</v>
          </cell>
          <cell r="L695">
            <v>45983</v>
          </cell>
          <cell r="M695" t="str">
            <v>4-检验完成</v>
          </cell>
        </row>
        <row r="695">
          <cell r="O695">
            <v>0</v>
          </cell>
          <cell r="P695" t="str">
            <v>中国人民解放军第五七〇二工厂(国营四达机械制造公司)</v>
          </cell>
          <cell r="Q695" t="str">
            <v>210</v>
          </cell>
          <cell r="R695">
            <v>45986</v>
          </cell>
        </row>
        <row r="695">
          <cell r="U695" t="str">
            <v>010000873378</v>
          </cell>
          <cell r="V695" t="str">
            <v>BIAOQIAN4</v>
          </cell>
          <cell r="W695" t="str">
            <v/>
          </cell>
          <cell r="X695" t="str">
            <v>CP-108-A</v>
          </cell>
          <cell r="Y695" t="str">
            <v/>
          </cell>
          <cell r="Z695" t="str">
            <v>1915</v>
          </cell>
          <cell r="AA695" t="str">
            <v>1100150902</v>
          </cell>
          <cell r="AB695">
            <v>30</v>
          </cell>
          <cell r="AC695" t="str">
            <v/>
          </cell>
          <cell r="AD695">
            <v>55.03</v>
          </cell>
          <cell r="AE695" t="str">
            <v>G-100010426-250730-0022</v>
          </cell>
        </row>
        <row r="696">
          <cell r="B696" t="str">
            <v>7101079883</v>
          </cell>
          <cell r="C696" t="str">
            <v>G2512-2257</v>
          </cell>
          <cell r="D696" t="str">
            <v>000036200000072478</v>
          </cell>
          <cell r="E696" t="str">
            <v>密封圈</v>
          </cell>
          <cell r="F696" t="str">
            <v>5128A-293-2-51-1434</v>
          </cell>
          <cell r="G696" t="str">
            <v>-</v>
          </cell>
          <cell r="H696" t="str">
            <v/>
          </cell>
          <cell r="I696" t="str">
            <v/>
          </cell>
          <cell r="J696" t="str">
            <v>FS6265</v>
          </cell>
          <cell r="K696">
            <v>100</v>
          </cell>
          <cell r="L696">
            <v>46079</v>
          </cell>
          <cell r="M696" t="str">
            <v>4-检验完成</v>
          </cell>
        </row>
        <row r="696">
          <cell r="O696">
            <v>0</v>
          </cell>
          <cell r="P696" t="str">
            <v>中国人民解放军第五七〇二工厂(国营四达机械制造公司)</v>
          </cell>
          <cell r="Q696" t="str">
            <v>170</v>
          </cell>
          <cell r="R696">
            <v>46080</v>
          </cell>
        </row>
        <row r="696">
          <cell r="U696" t="str">
            <v>010000899188</v>
          </cell>
          <cell r="V696" t="str">
            <v>PANMINGTAO</v>
          </cell>
          <cell r="W696" t="str">
            <v/>
          </cell>
          <cell r="X696" t="str">
            <v>XC-29-1-4-6</v>
          </cell>
          <cell r="Y696" t="str">
            <v/>
          </cell>
          <cell r="Z696" t="str">
            <v>1915</v>
          </cell>
          <cell r="AA696" t="str">
            <v>1100157824</v>
          </cell>
          <cell r="AB696">
            <v>100</v>
          </cell>
          <cell r="AC696" t="str">
            <v/>
          </cell>
          <cell r="AD696">
            <v>22</v>
          </cell>
          <cell r="AE696" t="str">
            <v>G-100010426-251225-0049</v>
          </cell>
        </row>
        <row r="697">
          <cell r="B697" t="str">
            <v>7101079883</v>
          </cell>
          <cell r="C697" t="str">
            <v>G2512-2284</v>
          </cell>
          <cell r="D697" t="str">
            <v>000036200000089119</v>
          </cell>
          <cell r="E697" t="str">
            <v>密封圈</v>
          </cell>
          <cell r="F697" t="str">
            <v>2267A-349-2</v>
          </cell>
          <cell r="G697" t="str">
            <v>-</v>
          </cell>
          <cell r="H697" t="str">
            <v/>
          </cell>
          <cell r="I697" t="str">
            <v/>
          </cell>
          <cell r="J697" t="str">
            <v>FX-4</v>
          </cell>
          <cell r="K697">
            <v>40</v>
          </cell>
          <cell r="L697">
            <v>46079</v>
          </cell>
          <cell r="M697" t="str">
            <v>4-检验完成</v>
          </cell>
        </row>
        <row r="697">
          <cell r="O697">
            <v>0</v>
          </cell>
          <cell r="P697" t="str">
            <v>中国人民解放军第五七〇二工厂(国营四达机械制造公司)</v>
          </cell>
          <cell r="Q697" t="str">
            <v>1090</v>
          </cell>
          <cell r="R697">
            <v>46080</v>
          </cell>
        </row>
        <row r="697">
          <cell r="U697" t="str">
            <v>010000899215</v>
          </cell>
          <cell r="V697" t="str">
            <v>PANMINGTAO</v>
          </cell>
          <cell r="W697" t="str">
            <v/>
          </cell>
          <cell r="X697" t="str">
            <v>XC-29-1-4-6</v>
          </cell>
          <cell r="Y697" t="str">
            <v/>
          </cell>
          <cell r="Z697" t="str">
            <v>1915</v>
          </cell>
          <cell r="AA697" t="str">
            <v>1100157824</v>
          </cell>
          <cell r="AB697">
            <v>40</v>
          </cell>
          <cell r="AC697" t="str">
            <v/>
          </cell>
          <cell r="AD697">
            <v>22</v>
          </cell>
          <cell r="AE697" t="str">
            <v>G-100010426-251225-0049</v>
          </cell>
        </row>
        <row r="698">
          <cell r="B698" t="str">
            <v>7101079185</v>
          </cell>
          <cell r="C698" t="str">
            <v>G2512-2223</v>
          </cell>
          <cell r="D698" t="str">
            <v>000036200000072398</v>
          </cell>
          <cell r="E698" t="str">
            <v>密封圈</v>
          </cell>
          <cell r="F698" t="str">
            <v>2267A-21</v>
          </cell>
          <cell r="G698" t="str">
            <v>-</v>
          </cell>
          <cell r="H698" t="str">
            <v/>
          </cell>
          <cell r="I698" t="str">
            <v/>
          </cell>
          <cell r="J698" t="str">
            <v>FX-4</v>
          </cell>
          <cell r="K698">
            <v>600</v>
          </cell>
          <cell r="L698">
            <v>46077</v>
          </cell>
          <cell r="M698" t="str">
            <v>4-检验完成</v>
          </cell>
        </row>
        <row r="698">
          <cell r="O698">
            <v>0</v>
          </cell>
          <cell r="P698" t="str">
            <v>中国人民解放军第五七〇二工厂(国营四达机械制造公司)</v>
          </cell>
          <cell r="Q698" t="str">
            <v>700</v>
          </cell>
          <cell r="R698">
            <v>46078</v>
          </cell>
        </row>
        <row r="698">
          <cell r="U698" t="str">
            <v>010000899153</v>
          </cell>
          <cell r="V698" t="str">
            <v>PANMINGTAO</v>
          </cell>
          <cell r="W698" t="str">
            <v/>
          </cell>
          <cell r="X698" t="str">
            <v>XC-29-1-1-2</v>
          </cell>
          <cell r="Y698" t="str">
            <v/>
          </cell>
          <cell r="Z698" t="str">
            <v>1915</v>
          </cell>
          <cell r="AA698" t="str">
            <v>1100157824</v>
          </cell>
          <cell r="AB698">
            <v>600</v>
          </cell>
          <cell r="AC698" t="str">
            <v/>
          </cell>
          <cell r="AD698">
            <v>13</v>
          </cell>
          <cell r="AE698" t="str">
            <v>G-100010426-251225-0049</v>
          </cell>
        </row>
        <row r="699">
          <cell r="B699" t="str">
            <v>7101079185</v>
          </cell>
          <cell r="C699" t="str">
            <v>G2512-2261</v>
          </cell>
          <cell r="D699" t="str">
            <v>000036200000078163</v>
          </cell>
          <cell r="E699" t="str">
            <v>密封圈</v>
          </cell>
          <cell r="F699" t="str">
            <v>Q/2D120-2009</v>
          </cell>
          <cell r="G699" t="str">
            <v>5.7-1.9-M1-Ⅱ</v>
          </cell>
          <cell r="H699" t="str">
            <v/>
          </cell>
          <cell r="I699" t="str">
            <v/>
          </cell>
          <cell r="J699" t="str">
            <v>FX-17</v>
          </cell>
          <cell r="K699">
            <v>170</v>
          </cell>
          <cell r="L699">
            <v>46077</v>
          </cell>
          <cell r="M699" t="str">
            <v>4-检验完成</v>
          </cell>
        </row>
        <row r="699">
          <cell r="O699">
            <v>0</v>
          </cell>
          <cell r="P699" t="str">
            <v>中国人民解放军第五七〇二工厂(国营四达机械制造公司)</v>
          </cell>
          <cell r="Q699" t="str">
            <v>1470</v>
          </cell>
          <cell r="R699">
            <v>46078</v>
          </cell>
        </row>
        <row r="699">
          <cell r="U699" t="str">
            <v>010000899192</v>
          </cell>
          <cell r="V699" t="str">
            <v>PANMINGTAO</v>
          </cell>
          <cell r="W699" t="str">
            <v/>
          </cell>
          <cell r="X699" t="str">
            <v>XC-29-1-1-2</v>
          </cell>
          <cell r="Y699" t="str">
            <v/>
          </cell>
          <cell r="Z699" t="str">
            <v>1915</v>
          </cell>
          <cell r="AA699" t="str">
            <v>1100157824</v>
          </cell>
          <cell r="AB699">
            <v>170</v>
          </cell>
          <cell r="AC699" t="str">
            <v/>
          </cell>
          <cell r="AD699">
            <v>120</v>
          </cell>
          <cell r="AE699" t="str">
            <v>G-100010426-251225-0049</v>
          </cell>
        </row>
        <row r="700">
          <cell r="B700" t="str">
            <v>7101078515</v>
          </cell>
          <cell r="C700" t="str">
            <v>G2512-2310</v>
          </cell>
          <cell r="D700" t="str">
            <v>000036200000064258</v>
          </cell>
          <cell r="E700" t="str">
            <v>胶垫</v>
          </cell>
          <cell r="F700" t="str">
            <v>(绘)TA12A-25-08-017</v>
          </cell>
          <cell r="G700" t="str">
            <v>-</v>
          </cell>
          <cell r="H700" t="str">
            <v/>
          </cell>
          <cell r="I700" t="str">
            <v/>
          </cell>
          <cell r="J700" t="str">
            <v/>
          </cell>
          <cell r="K700">
            <v>30</v>
          </cell>
          <cell r="L700">
            <v>46075</v>
          </cell>
          <cell r="M700" t="str">
            <v>4-检验完成</v>
          </cell>
        </row>
        <row r="700">
          <cell r="O700">
            <v>0</v>
          </cell>
          <cell r="P700" t="str">
            <v>中国人民解放军第五七〇二工厂(国营四达机械制造公司)</v>
          </cell>
          <cell r="Q700" t="str">
            <v>1310</v>
          </cell>
          <cell r="R700">
            <v>46078</v>
          </cell>
        </row>
        <row r="700">
          <cell r="U700" t="str">
            <v>010000899242</v>
          </cell>
          <cell r="V700" t="str">
            <v>PANMINGTAO</v>
          </cell>
          <cell r="W700" t="str">
            <v/>
          </cell>
          <cell r="X700" t="str">
            <v>XC-1-3-10</v>
          </cell>
          <cell r="Y700" t="str">
            <v/>
          </cell>
          <cell r="Z700" t="str">
            <v>1915</v>
          </cell>
          <cell r="AA700" t="str">
            <v>1100157824</v>
          </cell>
          <cell r="AB700">
            <v>120</v>
          </cell>
          <cell r="AC700" t="str">
            <v/>
          </cell>
          <cell r="AD700">
            <v>95</v>
          </cell>
          <cell r="AE700" t="str">
            <v>G-100010426-251225-0049</v>
          </cell>
        </row>
        <row r="701">
          <cell r="B701" t="str">
            <v>7101078515</v>
          </cell>
          <cell r="C701" t="str">
            <v>G2512-2368</v>
          </cell>
          <cell r="D701" t="str">
            <v>000036200000000254</v>
          </cell>
          <cell r="E701" t="str">
            <v>橡胶镶圈</v>
          </cell>
          <cell r="F701" t="str">
            <v>HB2-6-2002</v>
          </cell>
          <cell r="G701" t="str">
            <v>12×6</v>
          </cell>
          <cell r="H701" t="str">
            <v/>
          </cell>
          <cell r="I701" t="str">
            <v/>
          </cell>
          <cell r="J701" t="str">
            <v>5860</v>
          </cell>
          <cell r="K701">
            <v>160</v>
          </cell>
          <cell r="L701">
            <v>46075</v>
          </cell>
          <cell r="M701" t="str">
            <v>4-检验完成</v>
          </cell>
        </row>
        <row r="701">
          <cell r="O701">
            <v>0</v>
          </cell>
          <cell r="P701" t="str">
            <v>中国人民解放军第五七〇二工厂(国营四达机械制造公司)</v>
          </cell>
          <cell r="Q701" t="str">
            <v>1340</v>
          </cell>
          <cell r="R701">
            <v>46078</v>
          </cell>
        </row>
        <row r="701">
          <cell r="U701" t="str">
            <v>010000899307</v>
          </cell>
          <cell r="V701" t="str">
            <v>PANMINGTAO</v>
          </cell>
          <cell r="W701" t="str">
            <v/>
          </cell>
          <cell r="X701" t="str">
            <v>XC-1-2-3-3</v>
          </cell>
          <cell r="Y701" t="str">
            <v/>
          </cell>
          <cell r="Z701" t="str">
            <v>1915</v>
          </cell>
          <cell r="AA701" t="str">
            <v>1100157824</v>
          </cell>
          <cell r="AB701">
            <v>160</v>
          </cell>
          <cell r="AC701" t="str">
            <v/>
          </cell>
          <cell r="AD701">
            <v>15</v>
          </cell>
          <cell r="AE701" t="str">
            <v>G-100010426-251225-0049</v>
          </cell>
        </row>
        <row r="702">
          <cell r="B702" t="str">
            <v>7101077295</v>
          </cell>
          <cell r="C702" t="str">
            <v>G2512-2312</v>
          </cell>
          <cell r="D702" t="str">
            <v>000036200000072373</v>
          </cell>
          <cell r="E702" t="str">
            <v>密封圈</v>
          </cell>
          <cell r="F702" t="str">
            <v>2267A-11</v>
          </cell>
          <cell r="G702" t="str">
            <v>-</v>
          </cell>
          <cell r="H702" t="str">
            <v/>
          </cell>
          <cell r="I702" t="str">
            <v/>
          </cell>
          <cell r="J702" t="str">
            <v>FX-17</v>
          </cell>
          <cell r="K702">
            <v>924</v>
          </cell>
          <cell r="L702">
            <v>46065</v>
          </cell>
          <cell r="M702" t="str">
            <v>4-检验完成</v>
          </cell>
        </row>
        <row r="702">
          <cell r="O702">
            <v>0</v>
          </cell>
          <cell r="P702" t="str">
            <v>中国人民解放军第五七〇二工厂(国营四达机械制造公司)</v>
          </cell>
          <cell r="Q702" t="str">
            <v>720</v>
          </cell>
          <cell r="R702">
            <v>46066</v>
          </cell>
        </row>
        <row r="702">
          <cell r="U702" t="str">
            <v>010000899244</v>
          </cell>
          <cell r="V702" t="str">
            <v>PANMINGTAO</v>
          </cell>
          <cell r="W702" t="str">
            <v/>
          </cell>
          <cell r="X702" t="str">
            <v>XC-28-1-1-2</v>
          </cell>
          <cell r="Y702" t="str">
            <v/>
          </cell>
          <cell r="Z702" t="str">
            <v>1915</v>
          </cell>
          <cell r="AA702" t="str">
            <v>1100157824</v>
          </cell>
          <cell r="AB702">
            <v>1000</v>
          </cell>
          <cell r="AC702" t="str">
            <v/>
          </cell>
          <cell r="AD702">
            <v>13</v>
          </cell>
          <cell r="AE702" t="str">
            <v>G-100010426-251225-0049</v>
          </cell>
        </row>
        <row r="703">
          <cell r="B703" t="str">
            <v>7101077294</v>
          </cell>
          <cell r="C703" t="str">
            <v>G2512-2207</v>
          </cell>
          <cell r="D703" t="str">
            <v>000036200000072366</v>
          </cell>
          <cell r="E703" t="str">
            <v>密封圈</v>
          </cell>
          <cell r="F703" t="str">
            <v>2262A-284</v>
          </cell>
          <cell r="G703" t="str">
            <v>-</v>
          </cell>
          <cell r="H703" t="str">
            <v/>
          </cell>
          <cell r="I703" t="str">
            <v/>
          </cell>
          <cell r="J703" t="str">
            <v>5080</v>
          </cell>
          <cell r="K703">
            <v>700</v>
          </cell>
          <cell r="L703">
            <v>46065</v>
          </cell>
          <cell r="M703" t="str">
            <v>4-检验完成</v>
          </cell>
        </row>
        <row r="703">
          <cell r="O703">
            <v>0</v>
          </cell>
          <cell r="P703" t="str">
            <v>中国人民解放军第五七〇二工厂(国营四达机械制造公司)</v>
          </cell>
          <cell r="Q703" t="str">
            <v>710</v>
          </cell>
          <cell r="R703">
            <v>46066</v>
          </cell>
        </row>
        <row r="703">
          <cell r="U703" t="str">
            <v>010000899136</v>
          </cell>
          <cell r="V703" t="str">
            <v>PANMINGTAO</v>
          </cell>
          <cell r="W703" t="str">
            <v/>
          </cell>
          <cell r="X703" t="str">
            <v>XC-28-1-1-2</v>
          </cell>
          <cell r="Y703" t="str">
            <v/>
          </cell>
          <cell r="Z703" t="str">
            <v>1915</v>
          </cell>
          <cell r="AA703" t="str">
            <v>1100157824</v>
          </cell>
          <cell r="AB703">
            <v>700</v>
          </cell>
          <cell r="AC703" t="str">
            <v/>
          </cell>
          <cell r="AD703">
            <v>12</v>
          </cell>
          <cell r="AE703" t="str">
            <v>G-100010426-251225-0049</v>
          </cell>
        </row>
        <row r="704">
          <cell r="B704" t="str">
            <v>7101076275</v>
          </cell>
          <cell r="C704" t="str">
            <v>G2512-2196</v>
          </cell>
          <cell r="D704" t="str">
            <v>000036200000072349</v>
          </cell>
          <cell r="E704" t="str">
            <v>密封圈</v>
          </cell>
          <cell r="F704" t="str">
            <v>2262A-178</v>
          </cell>
          <cell r="G704" t="str">
            <v>-</v>
          </cell>
          <cell r="H704" t="str">
            <v/>
          </cell>
          <cell r="I704" t="str">
            <v/>
          </cell>
          <cell r="J704" t="str">
            <v>5080</v>
          </cell>
          <cell r="K704">
            <v>800</v>
          </cell>
          <cell r="L704">
            <v>46063</v>
          </cell>
          <cell r="M704" t="str">
            <v>4-检验完成</v>
          </cell>
        </row>
        <row r="704">
          <cell r="O704">
            <v>0</v>
          </cell>
          <cell r="P704" t="str">
            <v>中国人民解放军第五七〇二工厂(国营四达机械制造公司)</v>
          </cell>
          <cell r="Q704" t="str">
            <v>750</v>
          </cell>
          <cell r="R704">
            <v>46064</v>
          </cell>
        </row>
        <row r="704">
          <cell r="U704" t="str">
            <v>010000899125</v>
          </cell>
          <cell r="V704" t="str">
            <v>PANMINGTAO</v>
          </cell>
          <cell r="W704" t="str">
            <v/>
          </cell>
          <cell r="X704" t="str">
            <v>XC-28-1-1-3</v>
          </cell>
          <cell r="Y704" t="str">
            <v/>
          </cell>
          <cell r="Z704" t="str">
            <v>1915</v>
          </cell>
          <cell r="AA704" t="str">
            <v>1100157824</v>
          </cell>
          <cell r="AB704">
            <v>800</v>
          </cell>
          <cell r="AC704" t="str">
            <v/>
          </cell>
          <cell r="AD704">
            <v>12</v>
          </cell>
          <cell r="AE704" t="str">
            <v>G-100010426-251225-0049</v>
          </cell>
        </row>
        <row r="705">
          <cell r="B705" t="str">
            <v>7101076173</v>
          </cell>
          <cell r="C705" t="str">
            <v>G2512-2335</v>
          </cell>
          <cell r="D705" t="str">
            <v>000042944439002296</v>
          </cell>
          <cell r="E705" t="str">
            <v>垫圈</v>
          </cell>
          <cell r="F705" t="str">
            <v>HB1-521GD-4×7×0.5</v>
          </cell>
          <cell r="G705" t="str">
            <v/>
          </cell>
          <cell r="H705" t="str">
            <v/>
          </cell>
          <cell r="I705" t="str">
            <v>Ep·Zn·c2C</v>
          </cell>
          <cell r="J705" t="str">
            <v>20</v>
          </cell>
          <cell r="K705">
            <v>150</v>
          </cell>
          <cell r="L705">
            <v>46063</v>
          </cell>
          <cell r="M705" t="str">
            <v>0-初始未打印</v>
          </cell>
        </row>
        <row r="705">
          <cell r="O705">
            <v>0</v>
          </cell>
          <cell r="P705" t="str">
            <v>中国人民解放军第五七〇二工厂(国营四达机械制造公司)</v>
          </cell>
          <cell r="Q705" t="str">
            <v>1740</v>
          </cell>
        </row>
        <row r="705">
          <cell r="U705" t="str">
            <v>010000899264</v>
          </cell>
          <cell r="V705" t="str">
            <v/>
          </cell>
          <cell r="W705" t="str">
            <v/>
          </cell>
          <cell r="X705" t="str">
            <v>CP-108-A</v>
          </cell>
          <cell r="Y705" t="str">
            <v/>
          </cell>
          <cell r="Z705" t="str">
            <v>1915</v>
          </cell>
          <cell r="AA705" t="str">
            <v>1100157824</v>
          </cell>
          <cell r="AB705">
            <v>150</v>
          </cell>
          <cell r="AC705" t="str">
            <v/>
          </cell>
          <cell r="AD705">
            <v>0.5</v>
          </cell>
          <cell r="AE705" t="str">
            <v>G-100010426-251225-0049</v>
          </cell>
        </row>
        <row r="706">
          <cell r="B706" t="str">
            <v>7101075955</v>
          </cell>
          <cell r="C706" t="str">
            <v>G2512-2265</v>
          </cell>
          <cell r="D706" t="str">
            <v>000036200000088144</v>
          </cell>
          <cell r="E706" t="str">
            <v>密封圈</v>
          </cell>
          <cell r="F706" t="str">
            <v>070-078-46-2-115 OCT1 00980-80</v>
          </cell>
          <cell r="G706" t="str">
            <v>-</v>
          </cell>
          <cell r="H706" t="str">
            <v/>
          </cell>
          <cell r="I706" t="str">
            <v/>
          </cell>
          <cell r="J706" t="str">
            <v>FX-4</v>
          </cell>
          <cell r="K706">
            <v>100</v>
          </cell>
          <cell r="L706">
            <v>46063</v>
          </cell>
          <cell r="M706" t="str">
            <v>4-检验完成</v>
          </cell>
        </row>
        <row r="706">
          <cell r="O706">
            <v>0</v>
          </cell>
          <cell r="P706" t="str">
            <v>中国人民解放军第五七〇二工厂(国营四达机械制造公司)</v>
          </cell>
          <cell r="Q706" t="str">
            <v>1320</v>
          </cell>
          <cell r="R706">
            <v>46064</v>
          </cell>
        </row>
        <row r="706">
          <cell r="U706" t="str">
            <v>010000899196</v>
          </cell>
          <cell r="V706" t="str">
            <v>PANMINGTAO</v>
          </cell>
          <cell r="W706" t="str">
            <v/>
          </cell>
          <cell r="X706" t="str">
            <v>XC-28-1-3-4</v>
          </cell>
          <cell r="Y706" t="str">
            <v/>
          </cell>
          <cell r="Z706" t="str">
            <v>1915</v>
          </cell>
          <cell r="AA706" t="str">
            <v>1100157824</v>
          </cell>
          <cell r="AB706">
            <v>100</v>
          </cell>
          <cell r="AC706" t="str">
            <v/>
          </cell>
          <cell r="AD706">
            <v>30</v>
          </cell>
          <cell r="AE706" t="str">
            <v>G-100010426-251225-0049</v>
          </cell>
        </row>
        <row r="707">
          <cell r="B707" t="str">
            <v>7101075955</v>
          </cell>
          <cell r="C707" t="str">
            <v>G2512-2176</v>
          </cell>
          <cell r="D707" t="str">
            <v>000036200000000495</v>
          </cell>
          <cell r="E707" t="str">
            <v>圆截面橡胶圈密封结构</v>
          </cell>
          <cell r="F707" t="str">
            <v>HB4-56J1-1987</v>
          </cell>
          <cell r="G707" t="str">
            <v>20H</v>
          </cell>
          <cell r="H707" t="str">
            <v/>
          </cell>
          <cell r="I707" t="str">
            <v/>
          </cell>
          <cell r="J707" t="str">
            <v>试5171</v>
          </cell>
          <cell r="K707">
            <v>125</v>
          </cell>
          <cell r="L707">
            <v>46063</v>
          </cell>
          <cell r="M707" t="str">
            <v>4-检验完成</v>
          </cell>
        </row>
        <row r="707">
          <cell r="O707">
            <v>0</v>
          </cell>
          <cell r="P707" t="str">
            <v>中国人民解放军第五七〇二工厂(国营四达机械制造公司)</v>
          </cell>
          <cell r="Q707" t="str">
            <v>1400</v>
          </cell>
          <cell r="R707">
            <v>46064</v>
          </cell>
        </row>
        <row r="707">
          <cell r="U707" t="str">
            <v>010000899105</v>
          </cell>
          <cell r="V707" t="str">
            <v>PANMINGTAO</v>
          </cell>
          <cell r="W707" t="str">
            <v/>
          </cell>
          <cell r="X707" t="str">
            <v>XC-28-1-3-4</v>
          </cell>
          <cell r="Y707" t="str">
            <v/>
          </cell>
          <cell r="Z707" t="str">
            <v>1915</v>
          </cell>
          <cell r="AA707" t="str">
            <v>1100157824</v>
          </cell>
          <cell r="AB707">
            <v>125</v>
          </cell>
          <cell r="AC707" t="str">
            <v/>
          </cell>
          <cell r="AD707">
            <v>13</v>
          </cell>
          <cell r="AE707" t="str">
            <v>G-100010426-251225-0049</v>
          </cell>
        </row>
        <row r="708">
          <cell r="B708" t="str">
            <v>7101075950</v>
          </cell>
          <cell r="C708" t="str">
            <v>G2512-2222</v>
          </cell>
          <cell r="D708" t="str">
            <v>000036200000072397</v>
          </cell>
          <cell r="E708" t="str">
            <v>密封圈</v>
          </cell>
          <cell r="F708" t="str">
            <v>2267A-206-2</v>
          </cell>
          <cell r="G708" t="str">
            <v>-</v>
          </cell>
          <cell r="H708" t="str">
            <v/>
          </cell>
          <cell r="I708" t="str">
            <v/>
          </cell>
          <cell r="J708" t="str">
            <v>FX-17</v>
          </cell>
          <cell r="K708">
            <v>10</v>
          </cell>
          <cell r="L708">
            <v>46063</v>
          </cell>
          <cell r="M708" t="str">
            <v>4-检验完成</v>
          </cell>
        </row>
        <row r="708">
          <cell r="O708">
            <v>0</v>
          </cell>
          <cell r="P708" t="str">
            <v>中国人民解放军第五七〇二工厂(国营四达机械制造公司)</v>
          </cell>
          <cell r="Q708" t="str">
            <v>900</v>
          </cell>
          <cell r="R708">
            <v>46064</v>
          </cell>
        </row>
        <row r="708">
          <cell r="U708" t="str">
            <v>010000899152</v>
          </cell>
          <cell r="V708" t="str">
            <v>PANMINGTAO</v>
          </cell>
          <cell r="W708" t="str">
            <v/>
          </cell>
          <cell r="X708" t="str">
            <v>XC-28-1-1-4</v>
          </cell>
          <cell r="Y708" t="str">
            <v/>
          </cell>
          <cell r="Z708" t="str">
            <v>1915</v>
          </cell>
          <cell r="AA708" t="str">
            <v>1100157824</v>
          </cell>
          <cell r="AB708">
            <v>10</v>
          </cell>
          <cell r="AC708" t="str">
            <v/>
          </cell>
          <cell r="AD708">
            <v>25</v>
          </cell>
          <cell r="AE708" t="str">
            <v>G-100010426-251225-0049</v>
          </cell>
        </row>
        <row r="709">
          <cell r="B709" t="str">
            <v>7101075950</v>
          </cell>
          <cell r="C709" t="str">
            <v>G2512-2262</v>
          </cell>
          <cell r="D709" t="str">
            <v>000036200000087662</v>
          </cell>
          <cell r="E709" t="str">
            <v>密封圈</v>
          </cell>
          <cell r="F709" t="str">
            <v>013-017-25-2-061 OCT1 00980-80</v>
          </cell>
          <cell r="G709" t="str">
            <v>-</v>
          </cell>
          <cell r="H709" t="str">
            <v/>
          </cell>
          <cell r="I709" t="str">
            <v/>
          </cell>
          <cell r="J709" t="str">
            <v>FS6265</v>
          </cell>
          <cell r="K709">
            <v>50</v>
          </cell>
          <cell r="L709">
            <v>46063</v>
          </cell>
          <cell r="M709" t="str">
            <v>4-检验完成</v>
          </cell>
        </row>
        <row r="709">
          <cell r="O709">
            <v>0</v>
          </cell>
          <cell r="P709" t="str">
            <v>中国人民解放军第五七〇二工厂(国营四达机械制造公司)</v>
          </cell>
          <cell r="Q709" t="str">
            <v>1150</v>
          </cell>
          <cell r="R709">
            <v>46064</v>
          </cell>
        </row>
        <row r="709">
          <cell r="U709" t="str">
            <v>010000899193</v>
          </cell>
          <cell r="V709" t="str">
            <v>PANMINGTAO</v>
          </cell>
          <cell r="W709" t="str">
            <v/>
          </cell>
          <cell r="X709" t="str">
            <v>XC-28-1-1-4</v>
          </cell>
          <cell r="Y709" t="str">
            <v/>
          </cell>
          <cell r="Z709" t="str">
            <v>1915</v>
          </cell>
          <cell r="AA709" t="str">
            <v>1100157824</v>
          </cell>
          <cell r="AB709">
            <v>50</v>
          </cell>
          <cell r="AC709" t="str">
            <v/>
          </cell>
          <cell r="AD709">
            <v>25</v>
          </cell>
          <cell r="AE709" t="str">
            <v>G-100010426-251225-0049</v>
          </cell>
        </row>
        <row r="710">
          <cell r="B710" t="str">
            <v>7101075950</v>
          </cell>
          <cell r="C710" t="str">
            <v>G2512-2302</v>
          </cell>
          <cell r="D710" t="str">
            <v>000036200000125041</v>
          </cell>
          <cell r="E710" t="str">
            <v>密封圈</v>
          </cell>
          <cell r="F710" t="str">
            <v>5128A-231-51-1434</v>
          </cell>
          <cell r="G710" t="str">
            <v>-</v>
          </cell>
          <cell r="H710" t="str">
            <v/>
          </cell>
          <cell r="I710" t="str">
            <v/>
          </cell>
          <cell r="J710" t="str">
            <v>FS6265</v>
          </cell>
          <cell r="K710">
            <v>30</v>
          </cell>
          <cell r="L710">
            <v>46063</v>
          </cell>
          <cell r="M710" t="str">
            <v>4-检验完成</v>
          </cell>
        </row>
        <row r="710">
          <cell r="O710">
            <v>0</v>
          </cell>
          <cell r="P710" t="str">
            <v>中国人民解放军第五七〇二工厂(国营四达机械制造公司)</v>
          </cell>
          <cell r="Q710" t="str">
            <v>1020</v>
          </cell>
          <cell r="R710">
            <v>46064</v>
          </cell>
        </row>
        <row r="710">
          <cell r="U710" t="str">
            <v>010000899233</v>
          </cell>
          <cell r="V710" t="str">
            <v>PANMINGTAO</v>
          </cell>
          <cell r="W710" t="str">
            <v/>
          </cell>
          <cell r="X710" t="str">
            <v>XC-28-1-1-4</v>
          </cell>
          <cell r="Y710" t="str">
            <v/>
          </cell>
          <cell r="Z710" t="str">
            <v>1915</v>
          </cell>
          <cell r="AA710" t="str">
            <v>1100157824</v>
          </cell>
          <cell r="AB710">
            <v>30</v>
          </cell>
          <cell r="AC710" t="str">
            <v/>
          </cell>
          <cell r="AD710">
            <v>25</v>
          </cell>
          <cell r="AE710" t="str">
            <v>G-100010426-251225-0049</v>
          </cell>
        </row>
        <row r="711">
          <cell r="B711" t="str">
            <v>7101075950</v>
          </cell>
          <cell r="C711" t="str">
            <v>G2512-2316</v>
          </cell>
          <cell r="D711" t="str">
            <v>000036200000096902</v>
          </cell>
          <cell r="E711" t="str">
            <v>密封圈</v>
          </cell>
          <cell r="F711" t="str">
            <v>5128A-287-2-ирп-1287M-HTA</v>
          </cell>
          <cell r="G711" t="str">
            <v>-</v>
          </cell>
          <cell r="H711" t="str">
            <v/>
          </cell>
          <cell r="I711" t="str">
            <v/>
          </cell>
          <cell r="J711" t="str">
            <v>FX-17</v>
          </cell>
          <cell r="K711">
            <v>70</v>
          </cell>
          <cell r="L711">
            <v>46063</v>
          </cell>
          <cell r="M711" t="str">
            <v>4-检验完成</v>
          </cell>
        </row>
        <row r="711">
          <cell r="O711">
            <v>0</v>
          </cell>
          <cell r="P711" t="str">
            <v>中国人民解放军第五七〇二工厂(国营四达机械制造公司)</v>
          </cell>
          <cell r="Q711" t="str">
            <v>1220</v>
          </cell>
          <cell r="R711">
            <v>46064</v>
          </cell>
        </row>
        <row r="711">
          <cell r="U711" t="str">
            <v>010000899248</v>
          </cell>
          <cell r="V711" t="str">
            <v>PANMINGTAO</v>
          </cell>
          <cell r="W711" t="str">
            <v/>
          </cell>
          <cell r="X711" t="str">
            <v>XC-28-1-1-4</v>
          </cell>
          <cell r="Y711" t="str">
            <v/>
          </cell>
          <cell r="Z711" t="str">
            <v>1915</v>
          </cell>
          <cell r="AA711" t="str">
            <v>1100157824</v>
          </cell>
          <cell r="AB711">
            <v>70</v>
          </cell>
          <cell r="AC711" t="str">
            <v/>
          </cell>
          <cell r="AD711">
            <v>27</v>
          </cell>
          <cell r="AE711" t="str">
            <v>G-100010426-251225-0049</v>
          </cell>
        </row>
        <row r="712">
          <cell r="B712" t="str">
            <v>7101075949</v>
          </cell>
          <cell r="C712" t="str">
            <v>G2512-2266</v>
          </cell>
          <cell r="D712" t="str">
            <v>000036200000088151</v>
          </cell>
          <cell r="E712" t="str">
            <v>密封圈</v>
          </cell>
          <cell r="F712" t="str">
            <v>2262A-16</v>
          </cell>
          <cell r="G712" t="str">
            <v>-</v>
          </cell>
          <cell r="H712" t="str">
            <v/>
          </cell>
          <cell r="I712" t="str">
            <v/>
          </cell>
          <cell r="J712" t="str">
            <v>5080</v>
          </cell>
          <cell r="K712">
            <v>240</v>
          </cell>
          <cell r="L712">
            <v>46063</v>
          </cell>
          <cell r="M712" t="str">
            <v>4-检验完成</v>
          </cell>
        </row>
        <row r="712">
          <cell r="O712">
            <v>0</v>
          </cell>
          <cell r="P712" t="str">
            <v>中国人民解放军第五七〇二工厂(国营四达机械制造公司)</v>
          </cell>
          <cell r="Q712" t="str">
            <v>290</v>
          </cell>
          <cell r="R712">
            <v>46064</v>
          </cell>
        </row>
        <row r="712">
          <cell r="U712" t="str">
            <v>010000899197</v>
          </cell>
          <cell r="V712" t="str">
            <v>PANMINGTAO</v>
          </cell>
          <cell r="W712" t="str">
            <v/>
          </cell>
          <cell r="X712" t="str">
            <v>XC-28-1-1-4</v>
          </cell>
          <cell r="Y712" t="str">
            <v/>
          </cell>
          <cell r="Z712" t="str">
            <v>1915</v>
          </cell>
          <cell r="AA712" t="str">
            <v>1100157824</v>
          </cell>
          <cell r="AB712">
            <v>240</v>
          </cell>
          <cell r="AC712" t="str">
            <v/>
          </cell>
          <cell r="AD712">
            <v>12</v>
          </cell>
          <cell r="AE712" t="str">
            <v>G-100010426-251225-0049</v>
          </cell>
        </row>
        <row r="713">
          <cell r="B713" t="str">
            <v>7101075949</v>
          </cell>
          <cell r="C713" t="str">
            <v>G2512-2267</v>
          </cell>
          <cell r="D713" t="str">
            <v>000036200000088152</v>
          </cell>
          <cell r="E713" t="str">
            <v>密封圈</v>
          </cell>
          <cell r="F713" t="str">
            <v>2262A-171-2</v>
          </cell>
          <cell r="G713" t="str">
            <v>-</v>
          </cell>
          <cell r="H713" t="str">
            <v/>
          </cell>
          <cell r="I713" t="str">
            <v/>
          </cell>
          <cell r="J713" t="str">
            <v>5080</v>
          </cell>
          <cell r="K713">
            <v>300</v>
          </cell>
          <cell r="L713">
            <v>46063</v>
          </cell>
          <cell r="M713" t="str">
            <v>4-检验完成</v>
          </cell>
        </row>
        <row r="713">
          <cell r="O713">
            <v>0</v>
          </cell>
          <cell r="P713" t="str">
            <v>中国人民解放军第五七〇二工厂(国营四达机械制造公司)</v>
          </cell>
          <cell r="Q713" t="str">
            <v>210</v>
          </cell>
          <cell r="R713">
            <v>46064</v>
          </cell>
        </row>
        <row r="713">
          <cell r="U713" t="str">
            <v>010000899198</v>
          </cell>
          <cell r="V713" t="str">
            <v>PANMINGTAO</v>
          </cell>
          <cell r="W713" t="str">
            <v/>
          </cell>
          <cell r="X713" t="str">
            <v>XC-28-1-1-4</v>
          </cell>
          <cell r="Y713" t="str">
            <v/>
          </cell>
          <cell r="Z713" t="str">
            <v>1915</v>
          </cell>
          <cell r="AA713" t="str">
            <v>1100157824</v>
          </cell>
          <cell r="AB713">
            <v>300</v>
          </cell>
          <cell r="AC713" t="str">
            <v/>
          </cell>
          <cell r="AD713">
            <v>8</v>
          </cell>
          <cell r="AE713" t="str">
            <v>G-100010426-251225-0049</v>
          </cell>
        </row>
        <row r="714">
          <cell r="B714" t="str">
            <v>7101075949</v>
          </cell>
          <cell r="C714" t="str">
            <v>G2512-2264</v>
          </cell>
          <cell r="D714" t="str">
            <v>000036200000087667</v>
          </cell>
          <cell r="E714" t="str">
            <v>密封圈</v>
          </cell>
          <cell r="F714" t="str">
            <v>048-052-25-2-034 OCT1 00980-80</v>
          </cell>
          <cell r="G714" t="str">
            <v>-</v>
          </cell>
          <cell r="H714" t="str">
            <v/>
          </cell>
          <cell r="I714" t="str">
            <v/>
          </cell>
          <cell r="J714" t="str">
            <v>5080</v>
          </cell>
          <cell r="K714">
            <v>30</v>
          </cell>
          <cell r="L714">
            <v>46063</v>
          </cell>
          <cell r="M714" t="str">
            <v>4-检验完成</v>
          </cell>
        </row>
        <row r="714">
          <cell r="O714">
            <v>0</v>
          </cell>
          <cell r="P714" t="str">
            <v>中国人民解放军第五七〇二工厂(国营四达机械制造公司)</v>
          </cell>
          <cell r="Q714" t="str">
            <v>890</v>
          </cell>
          <cell r="R714">
            <v>46064</v>
          </cell>
        </row>
        <row r="714">
          <cell r="U714" t="str">
            <v>010000899195</v>
          </cell>
          <cell r="V714" t="str">
            <v>PANMINGTAO</v>
          </cell>
          <cell r="W714" t="str">
            <v/>
          </cell>
          <cell r="X714" t="str">
            <v>XC-28-1-1-4</v>
          </cell>
          <cell r="Y714" t="str">
            <v/>
          </cell>
          <cell r="Z714" t="str">
            <v>1915</v>
          </cell>
          <cell r="AA714" t="str">
            <v>1100157824</v>
          </cell>
          <cell r="AB714">
            <v>30</v>
          </cell>
          <cell r="AC714" t="str">
            <v/>
          </cell>
          <cell r="AD714">
            <v>20</v>
          </cell>
          <cell r="AE714" t="str">
            <v>G-100010426-251225-0049</v>
          </cell>
        </row>
        <row r="715">
          <cell r="B715" t="str">
            <v>7101074605</v>
          </cell>
          <cell r="C715" t="str">
            <v>G2512-2209</v>
          </cell>
          <cell r="D715" t="str">
            <v>000036200000072369</v>
          </cell>
          <cell r="E715" t="str">
            <v>密封圈</v>
          </cell>
          <cell r="F715" t="str">
            <v>2262A-6</v>
          </cell>
          <cell r="G715" t="str">
            <v>-</v>
          </cell>
          <cell r="H715" t="str">
            <v/>
          </cell>
          <cell r="I715" t="str">
            <v/>
          </cell>
          <cell r="J715" t="str">
            <v>5080</v>
          </cell>
          <cell r="K715">
            <v>600</v>
          </cell>
          <cell r="L715">
            <v>46059</v>
          </cell>
          <cell r="M715" t="str">
            <v>4-检验完成</v>
          </cell>
        </row>
        <row r="715">
          <cell r="O715">
            <v>0</v>
          </cell>
          <cell r="P715" t="str">
            <v>中国人民解放军第五七〇二工厂(国营四达机械制造公司)</v>
          </cell>
          <cell r="Q715" t="str">
            <v>660</v>
          </cell>
          <cell r="R715">
            <v>46064</v>
          </cell>
        </row>
        <row r="715">
          <cell r="U715" t="str">
            <v>010000899138</v>
          </cell>
          <cell r="V715" t="str">
            <v>PANMINGTAO</v>
          </cell>
          <cell r="W715" t="str">
            <v/>
          </cell>
          <cell r="X715" t="str">
            <v>XC-28-1-1-2</v>
          </cell>
          <cell r="Y715" t="str">
            <v/>
          </cell>
          <cell r="Z715" t="str">
            <v>1915</v>
          </cell>
          <cell r="AA715" t="str">
            <v>1100157824</v>
          </cell>
          <cell r="AB715">
            <v>600</v>
          </cell>
          <cell r="AC715" t="str">
            <v/>
          </cell>
          <cell r="AD715">
            <v>12</v>
          </cell>
          <cell r="AE715" t="str">
            <v>G-100010426-251225-0049</v>
          </cell>
        </row>
        <row r="716">
          <cell r="B716" t="str">
            <v>7101074605</v>
          </cell>
          <cell r="C716" t="str">
            <v>G2512-2203</v>
          </cell>
          <cell r="D716" t="str">
            <v>000036200000072360</v>
          </cell>
          <cell r="E716" t="str">
            <v>密封圈</v>
          </cell>
          <cell r="F716" t="str">
            <v>2262A-222</v>
          </cell>
          <cell r="G716" t="str">
            <v>-</v>
          </cell>
          <cell r="H716" t="str">
            <v/>
          </cell>
          <cell r="I716" t="str">
            <v/>
          </cell>
          <cell r="J716" t="str">
            <v>5080</v>
          </cell>
          <cell r="K716">
            <v>1200</v>
          </cell>
          <cell r="L716">
            <v>46059</v>
          </cell>
          <cell r="M716" t="str">
            <v>4-检验完成</v>
          </cell>
        </row>
        <row r="716">
          <cell r="O716">
            <v>0</v>
          </cell>
          <cell r="P716" t="str">
            <v>中国人民解放军第五七〇二工厂(国营四达机械制造公司)</v>
          </cell>
          <cell r="Q716" t="str">
            <v>780</v>
          </cell>
          <cell r="R716">
            <v>46064</v>
          </cell>
        </row>
        <row r="716">
          <cell r="U716" t="str">
            <v>010000899132</v>
          </cell>
          <cell r="V716" t="str">
            <v>PANMINGTAO</v>
          </cell>
          <cell r="W716" t="str">
            <v/>
          </cell>
          <cell r="X716" t="str">
            <v>XC-28-1-1-2</v>
          </cell>
          <cell r="Y716" t="str">
            <v/>
          </cell>
          <cell r="Z716" t="str">
            <v>1915</v>
          </cell>
          <cell r="AA716" t="str">
            <v>1100157824</v>
          </cell>
          <cell r="AB716">
            <v>1200</v>
          </cell>
          <cell r="AC716" t="str">
            <v/>
          </cell>
          <cell r="AD716">
            <v>12</v>
          </cell>
          <cell r="AE716" t="str">
            <v>G-100010426-251225-0049</v>
          </cell>
        </row>
        <row r="717">
          <cell r="B717" t="str">
            <v>7101074604</v>
          </cell>
          <cell r="C717" t="str">
            <v>G2512-2244</v>
          </cell>
          <cell r="D717" t="str">
            <v>000036200000072447</v>
          </cell>
          <cell r="E717" t="str">
            <v>密封圈</v>
          </cell>
          <cell r="F717" t="str">
            <v>5128A-12-51-1434</v>
          </cell>
          <cell r="G717" t="str">
            <v>-</v>
          </cell>
          <cell r="H717" t="str">
            <v/>
          </cell>
          <cell r="I717" t="str">
            <v/>
          </cell>
          <cell r="J717" t="str">
            <v>FS6265</v>
          </cell>
          <cell r="K717">
            <v>400</v>
          </cell>
          <cell r="L717">
            <v>46059</v>
          </cell>
          <cell r="M717" t="str">
            <v>4-检验完成</v>
          </cell>
        </row>
        <row r="717">
          <cell r="O717">
            <v>0</v>
          </cell>
          <cell r="P717" t="str">
            <v>中国人民解放军第五七〇二工厂(国营四达机械制造公司)</v>
          </cell>
          <cell r="Q717" t="str">
            <v>560</v>
          </cell>
          <cell r="R717">
            <v>46064</v>
          </cell>
        </row>
        <row r="717">
          <cell r="U717" t="str">
            <v>010000899175</v>
          </cell>
          <cell r="V717" t="str">
            <v>PANMINGTAO</v>
          </cell>
          <cell r="W717" t="str">
            <v/>
          </cell>
          <cell r="X717" t="str">
            <v>XC-28-1-1-2</v>
          </cell>
          <cell r="Y717" t="str">
            <v/>
          </cell>
          <cell r="Z717" t="str">
            <v>1915</v>
          </cell>
          <cell r="AA717" t="str">
            <v>1100157824</v>
          </cell>
          <cell r="AB717">
            <v>400</v>
          </cell>
          <cell r="AC717" t="str">
            <v/>
          </cell>
          <cell r="AD717">
            <v>16</v>
          </cell>
          <cell r="AE717" t="str">
            <v>G-100010426-251225-0049</v>
          </cell>
        </row>
        <row r="718">
          <cell r="B718" t="str">
            <v>7101074604</v>
          </cell>
          <cell r="C718" t="str">
            <v>G2512-2188</v>
          </cell>
          <cell r="D718" t="str">
            <v>000036200000072337</v>
          </cell>
          <cell r="E718" t="str">
            <v>密封圈</v>
          </cell>
          <cell r="F718" t="str">
            <v>2262A-10</v>
          </cell>
          <cell r="G718" t="str">
            <v>-</v>
          </cell>
          <cell r="H718" t="str">
            <v/>
          </cell>
          <cell r="I718" t="str">
            <v/>
          </cell>
          <cell r="J718" t="str">
            <v>5080</v>
          </cell>
          <cell r="K718">
            <v>600</v>
          </cell>
          <cell r="L718">
            <v>46059</v>
          </cell>
          <cell r="M718" t="str">
            <v>4-检验完成</v>
          </cell>
        </row>
        <row r="718">
          <cell r="O718">
            <v>0</v>
          </cell>
          <cell r="P718" t="str">
            <v>中国人民解放军第五七〇二工厂(国营四达机械制造公司)</v>
          </cell>
          <cell r="Q718" t="str">
            <v>640</v>
          </cell>
          <cell r="R718">
            <v>46064</v>
          </cell>
        </row>
        <row r="718">
          <cell r="U718" t="str">
            <v>010000899117</v>
          </cell>
          <cell r="V718" t="str">
            <v>PANMINGTAO</v>
          </cell>
          <cell r="W718" t="str">
            <v/>
          </cell>
          <cell r="X718" t="str">
            <v>XC-28-1-1-2</v>
          </cell>
          <cell r="Y718" t="str">
            <v/>
          </cell>
          <cell r="Z718" t="str">
            <v>1915</v>
          </cell>
          <cell r="AA718" t="str">
            <v>1100157824</v>
          </cell>
          <cell r="AB718">
            <v>600</v>
          </cell>
          <cell r="AC718" t="str">
            <v/>
          </cell>
          <cell r="AD718">
            <v>12</v>
          </cell>
          <cell r="AE718" t="str">
            <v>G-100010426-251225-0049</v>
          </cell>
        </row>
        <row r="719">
          <cell r="B719" t="str">
            <v>7101074306</v>
          </cell>
          <cell r="C719" t="str">
            <v>G2511-1146</v>
          </cell>
          <cell r="D719" t="str">
            <v>000042944999006163</v>
          </cell>
          <cell r="E719" t="str">
            <v>承力快卸锁</v>
          </cell>
          <cell r="F719" t="str">
            <v>Lb8.939.008-4</v>
          </cell>
          <cell r="G719" t="str">
            <v/>
          </cell>
          <cell r="H719" t="str">
            <v/>
          </cell>
          <cell r="I719" t="str">
            <v/>
          </cell>
          <cell r="J719" t="str">
            <v>组件</v>
          </cell>
          <cell r="K719">
            <v>37</v>
          </cell>
          <cell r="L719">
            <v>46058</v>
          </cell>
          <cell r="M719" t="str">
            <v>4-检验完成</v>
          </cell>
        </row>
        <row r="719">
          <cell r="O719">
            <v>0</v>
          </cell>
          <cell r="P719" t="str">
            <v>中国人民解放军第五七〇二工厂(国营四达机械制造公司)</v>
          </cell>
          <cell r="Q719" t="str">
            <v>10</v>
          </cell>
          <cell r="R719">
            <v>46078</v>
          </cell>
        </row>
        <row r="719">
          <cell r="U719" t="str">
            <v>010000884323</v>
          </cell>
          <cell r="V719" t="str">
            <v>BIAOQIAN8</v>
          </cell>
          <cell r="W719" t="str">
            <v/>
          </cell>
          <cell r="X719" t="str">
            <v>CP-108-A</v>
          </cell>
          <cell r="Y719" t="str">
            <v/>
          </cell>
          <cell r="Z719" t="str">
            <v>1915</v>
          </cell>
          <cell r="AA719" t="str">
            <v>1100154559</v>
          </cell>
          <cell r="AB719">
            <v>150</v>
          </cell>
          <cell r="AC719" t="str">
            <v/>
          </cell>
          <cell r="AD719">
            <v>380</v>
          </cell>
          <cell r="AE719" t="str">
            <v>G-100010426-251020-0033</v>
          </cell>
        </row>
        <row r="720">
          <cell r="B720" t="str">
            <v>7101074007</v>
          </cell>
          <cell r="C720" t="str">
            <v>G2507-2480</v>
          </cell>
          <cell r="D720" t="str">
            <v>000042944288098567</v>
          </cell>
          <cell r="E720" t="str">
            <v>十二角自锁螺母</v>
          </cell>
          <cell r="F720" t="str">
            <v>ΦAS20625</v>
          </cell>
          <cell r="G720" t="str">
            <v>-</v>
          </cell>
          <cell r="H720" t="str">
            <v>HRC31-37</v>
          </cell>
          <cell r="I720" t="str">
            <v>Ep·Ag5-8μm</v>
          </cell>
          <cell r="J720" t="str">
            <v>优质GH2132</v>
          </cell>
          <cell r="K720">
            <v>160</v>
          </cell>
          <cell r="L720">
            <v>46058</v>
          </cell>
          <cell r="M720" t="str">
            <v>4-检验完成</v>
          </cell>
        </row>
        <row r="720">
          <cell r="O720">
            <v>0</v>
          </cell>
          <cell r="P720" t="str">
            <v>中国人民解放军第五七〇二工厂(国营四达机械制造公司)</v>
          </cell>
          <cell r="Q720" t="str">
            <v>380</v>
          </cell>
          <cell r="R720">
            <v>46059</v>
          </cell>
        </row>
        <row r="720">
          <cell r="U720" t="str">
            <v>010000850511</v>
          </cell>
          <cell r="V720" t="str">
            <v>BIAOQIAN4</v>
          </cell>
          <cell r="W720" t="str">
            <v/>
          </cell>
          <cell r="X720" t="str">
            <v>CP-37-1-2-2</v>
          </cell>
          <cell r="Y720" t="str">
            <v/>
          </cell>
          <cell r="Z720" t="str">
            <v>1915</v>
          </cell>
          <cell r="AA720" t="str">
            <v>1100160111</v>
          </cell>
          <cell r="AB720">
            <v>665</v>
          </cell>
          <cell r="AC720" t="str">
            <v/>
          </cell>
          <cell r="AD720">
            <v>35</v>
          </cell>
          <cell r="AE720" t="str">
            <v>G-100010426-260203-0006</v>
          </cell>
        </row>
        <row r="721">
          <cell r="B721" t="str">
            <v>7101074003</v>
          </cell>
          <cell r="C721" t="str">
            <v>G2202-0859</v>
          </cell>
          <cell r="D721" t="str">
            <v>000042944201017704</v>
          </cell>
          <cell r="E721" t="str">
            <v>六角头螺栓</v>
          </cell>
          <cell r="F721" t="str">
            <v>ΦBLT2590</v>
          </cell>
          <cell r="G721" t="str">
            <v>-</v>
          </cell>
          <cell r="H721" t="str">
            <v>248-341HB</v>
          </cell>
          <cell r="I721" t="str">
            <v/>
          </cell>
          <cell r="J721" t="str">
            <v>GH2132</v>
          </cell>
          <cell r="K721">
            <v>11</v>
          </cell>
          <cell r="L721">
            <v>46058</v>
          </cell>
          <cell r="M721" t="str">
            <v>1-已打印</v>
          </cell>
        </row>
        <row r="721">
          <cell r="O721">
            <v>0</v>
          </cell>
          <cell r="P721" t="str">
            <v>中国人民解放军第五七〇二工厂(国营四达机械制造公司)</v>
          </cell>
          <cell r="Q721" t="str">
            <v>10</v>
          </cell>
        </row>
        <row r="721">
          <cell r="U721" t="str">
            <v>010000460126</v>
          </cell>
          <cell r="V721" t="str">
            <v/>
          </cell>
          <cell r="W721" t="str">
            <v/>
          </cell>
          <cell r="X721" t="str">
            <v>CP-5-4-3-1</v>
          </cell>
          <cell r="Y721" t="str">
            <v/>
          </cell>
          <cell r="Z721" t="str">
            <v>1915</v>
          </cell>
          <cell r="AA721" t="str">
            <v>1100160111</v>
          </cell>
          <cell r="AB721">
            <v>94</v>
          </cell>
          <cell r="AC721" t="str">
            <v/>
          </cell>
          <cell r="AD721">
            <v>155.18</v>
          </cell>
          <cell r="AE721" t="str">
            <v>G-100010426-260203-0006</v>
          </cell>
        </row>
        <row r="722">
          <cell r="B722" t="str">
            <v>7101074003</v>
          </cell>
          <cell r="C722" t="str">
            <v>G2408-0976</v>
          </cell>
          <cell r="D722" t="str">
            <v>000042944201017704</v>
          </cell>
          <cell r="E722" t="str">
            <v>六角头螺栓</v>
          </cell>
          <cell r="F722" t="str">
            <v>ΦBLT2590</v>
          </cell>
          <cell r="G722" t="str">
            <v>-</v>
          </cell>
          <cell r="H722" t="str">
            <v>248-341HB</v>
          </cell>
          <cell r="I722" t="str">
            <v/>
          </cell>
          <cell r="J722" t="str">
            <v>GH2132</v>
          </cell>
          <cell r="K722">
            <v>74</v>
          </cell>
          <cell r="L722">
            <v>46058</v>
          </cell>
          <cell r="M722" t="str">
            <v>1-已打印</v>
          </cell>
        </row>
        <row r="722">
          <cell r="O722">
            <v>0</v>
          </cell>
          <cell r="P722" t="str">
            <v>中国人民解放军第五七〇二工厂(国营四达机械制造公司)</v>
          </cell>
          <cell r="Q722" t="str">
            <v>10</v>
          </cell>
        </row>
        <row r="722">
          <cell r="U722" t="str">
            <v>010000727171</v>
          </cell>
          <cell r="V722" t="str">
            <v/>
          </cell>
          <cell r="W722" t="str">
            <v/>
          </cell>
          <cell r="X722" t="str">
            <v>CP-108-A</v>
          </cell>
          <cell r="Y722" t="str">
            <v/>
          </cell>
          <cell r="Z722" t="str">
            <v>1915</v>
          </cell>
          <cell r="AA722" t="str">
            <v>1100160111</v>
          </cell>
          <cell r="AB722">
            <v>94</v>
          </cell>
          <cell r="AC722" t="str">
            <v/>
          </cell>
          <cell r="AD722">
            <v>155.18</v>
          </cell>
          <cell r="AE722" t="str">
            <v>G-100010426-260203-0006</v>
          </cell>
        </row>
        <row r="723">
          <cell r="B723" t="str">
            <v>7101073949</v>
          </cell>
          <cell r="C723" t="str">
            <v>G2507-1950</v>
          </cell>
          <cell r="D723" t="str">
            <v>000042944288002859</v>
          </cell>
          <cell r="E723" t="str">
            <v>十二角自锁螺母</v>
          </cell>
          <cell r="F723" t="str">
            <v>ΦU125943</v>
          </cell>
          <cell r="G723" t="str">
            <v>-</v>
          </cell>
          <cell r="H723" t="str">
            <v>277-363HB</v>
          </cell>
          <cell r="I723" t="str">
            <v>Ep·Ag</v>
          </cell>
          <cell r="J723" t="str">
            <v>GH2132</v>
          </cell>
          <cell r="K723">
            <v>250</v>
          </cell>
          <cell r="L723">
            <v>46058</v>
          </cell>
          <cell r="M723" t="str">
            <v>4-检验完成</v>
          </cell>
        </row>
        <row r="723">
          <cell r="O723">
            <v>0</v>
          </cell>
          <cell r="P723" t="str">
            <v>中国人民解放军第五七〇二工厂(国营四达机械制造公司)</v>
          </cell>
          <cell r="Q723" t="str">
            <v>290</v>
          </cell>
          <cell r="R723">
            <v>46059</v>
          </cell>
        </row>
        <row r="723">
          <cell r="U723" t="str">
            <v>010000848460</v>
          </cell>
          <cell r="V723" t="str">
            <v>BIAOQIAN3</v>
          </cell>
          <cell r="W723" t="str">
            <v/>
          </cell>
          <cell r="X723" t="str">
            <v>CP-65-3-2-14</v>
          </cell>
          <cell r="Y723" t="str">
            <v/>
          </cell>
          <cell r="Z723" t="str">
            <v>1915</v>
          </cell>
          <cell r="AA723" t="str">
            <v>1100160111</v>
          </cell>
          <cell r="AB723">
            <v>700</v>
          </cell>
          <cell r="AC723" t="str">
            <v/>
          </cell>
          <cell r="AD723">
            <v>39.5</v>
          </cell>
          <cell r="AE723" t="str">
            <v>G-100010426-260203-0006</v>
          </cell>
        </row>
        <row r="724">
          <cell r="B724" t="str">
            <v>71010739491</v>
          </cell>
          <cell r="C724" t="str">
            <v>G2509-2750</v>
          </cell>
          <cell r="D724" t="str">
            <v>000042944288002863</v>
          </cell>
          <cell r="E724" t="str">
            <v>十二角自锁螺母</v>
          </cell>
          <cell r="F724" t="str">
            <v>ΦU125947</v>
          </cell>
          <cell r="G724" t="str">
            <v>-</v>
          </cell>
          <cell r="H724" t="str">
            <v>277-363HB</v>
          </cell>
          <cell r="I724" t="str">
            <v>Ep·Ag</v>
          </cell>
          <cell r="J724" t="str">
            <v>GH2132</v>
          </cell>
          <cell r="K724">
            <v>143</v>
          </cell>
          <cell r="L724">
            <v>46058</v>
          </cell>
          <cell r="M724" t="str">
            <v>4-检验完成</v>
          </cell>
        </row>
        <row r="724">
          <cell r="O724">
            <v>0</v>
          </cell>
          <cell r="P724" t="str">
            <v>中国人民解放军第五七〇二工厂(国营四达机械制造公司)</v>
          </cell>
          <cell r="Q724" t="str">
            <v>320</v>
          </cell>
          <cell r="R724">
            <v>46059</v>
          </cell>
        </row>
        <row r="724">
          <cell r="U724" t="str">
            <v>010000868002</v>
          </cell>
          <cell r="V724" t="str">
            <v>BIAOQIAN3</v>
          </cell>
          <cell r="W724" t="str">
            <v/>
          </cell>
          <cell r="X724" t="str">
            <v>CP-28-4-4-6</v>
          </cell>
          <cell r="Y724" t="str">
            <v/>
          </cell>
          <cell r="Z724" t="str">
            <v>1915</v>
          </cell>
          <cell r="AA724" t="str">
            <v>1100160111</v>
          </cell>
          <cell r="AB724">
            <v>750</v>
          </cell>
          <cell r="AC724" t="str">
            <v/>
          </cell>
          <cell r="AD724">
            <v>63</v>
          </cell>
          <cell r="AE724" t="str">
            <v>G-100010426-260203-0006</v>
          </cell>
        </row>
        <row r="725">
          <cell r="B725" t="str">
            <v>71010739492</v>
          </cell>
          <cell r="C725" t="str">
            <v>G2310-0274</v>
          </cell>
          <cell r="D725" t="str">
            <v>000042944239014313</v>
          </cell>
          <cell r="E725" t="str">
            <v>十二角头螺栓</v>
          </cell>
          <cell r="F725" t="str">
            <v>ΦBLT2126</v>
          </cell>
          <cell r="G725" t="str">
            <v>-</v>
          </cell>
          <cell r="H725" t="str">
            <v>341-388HB</v>
          </cell>
          <cell r="I725" t="str">
            <v/>
          </cell>
          <cell r="J725" t="str">
            <v>1Cr12Ni3MoVN</v>
          </cell>
          <cell r="K725">
            <v>31</v>
          </cell>
          <cell r="L725">
            <v>46058</v>
          </cell>
          <cell r="M725" t="str">
            <v>4-检验完成</v>
          </cell>
        </row>
        <row r="725">
          <cell r="O725">
            <v>0</v>
          </cell>
          <cell r="P725" t="str">
            <v>中国人民解放军第五七〇二工厂(国营四达机械制造公司)</v>
          </cell>
          <cell r="Q725" t="str">
            <v>390</v>
          </cell>
          <cell r="R725">
            <v>46059</v>
          </cell>
        </row>
        <row r="725">
          <cell r="U725" t="str">
            <v>010000640231</v>
          </cell>
          <cell r="V725" t="str">
            <v>BIAOQIAN3</v>
          </cell>
          <cell r="W725" t="str">
            <v/>
          </cell>
          <cell r="X725" t="str">
            <v>CP-108-A/CP-66-2-4-8</v>
          </cell>
          <cell r="Y725" t="str">
            <v/>
          </cell>
          <cell r="Z725" t="str">
            <v>1915</v>
          </cell>
          <cell r="AA725" t="str">
            <v>1100160111</v>
          </cell>
          <cell r="AB725">
            <v>120</v>
          </cell>
          <cell r="AC725" t="str">
            <v/>
          </cell>
          <cell r="AD725">
            <v>21.4</v>
          </cell>
          <cell r="AE725" t="str">
            <v>G-100010426-260203-0006</v>
          </cell>
        </row>
        <row r="726">
          <cell r="B726" t="str">
            <v>71010739493</v>
          </cell>
          <cell r="C726" t="str">
            <v>G2403-1884</v>
          </cell>
          <cell r="D726" t="str">
            <v>000042944239014313</v>
          </cell>
          <cell r="E726" t="str">
            <v>十二角头螺栓</v>
          </cell>
          <cell r="F726" t="str">
            <v>ΦBLT2126</v>
          </cell>
          <cell r="G726" t="str">
            <v>-</v>
          </cell>
          <cell r="H726" t="str">
            <v>341-388HB</v>
          </cell>
          <cell r="I726" t="str">
            <v/>
          </cell>
          <cell r="J726" t="str">
            <v>1Cr12Ni3MoVN</v>
          </cell>
          <cell r="K726">
            <v>69</v>
          </cell>
          <cell r="L726">
            <v>46058</v>
          </cell>
          <cell r="M726" t="str">
            <v>4-检验完成</v>
          </cell>
        </row>
        <row r="726">
          <cell r="O726">
            <v>0</v>
          </cell>
          <cell r="P726" t="str">
            <v>中国人民解放军第五七〇二工厂(国营四达机械制造公司)</v>
          </cell>
          <cell r="Q726" t="str">
            <v>390</v>
          </cell>
          <cell r="R726">
            <v>46059</v>
          </cell>
        </row>
        <row r="726">
          <cell r="U726" t="str">
            <v>010000682714</v>
          </cell>
          <cell r="V726" t="str">
            <v>BIAOQIAN3</v>
          </cell>
          <cell r="W726" t="str">
            <v/>
          </cell>
          <cell r="X726" t="str">
            <v>CP-108-A</v>
          </cell>
          <cell r="Y726" t="str">
            <v/>
          </cell>
          <cell r="Z726" t="str">
            <v>1915</v>
          </cell>
          <cell r="AA726" t="str">
            <v>1100160111</v>
          </cell>
          <cell r="AB726">
            <v>120</v>
          </cell>
          <cell r="AC726" t="str">
            <v/>
          </cell>
          <cell r="AD726">
            <v>21.4</v>
          </cell>
          <cell r="AE726" t="str">
            <v>G-100010426-260203-0006</v>
          </cell>
        </row>
        <row r="727">
          <cell r="B727" t="str">
            <v>7101073947</v>
          </cell>
          <cell r="C727" t="str">
            <v>G2409-2329</v>
          </cell>
          <cell r="D727" t="str">
            <v>000042944239014370</v>
          </cell>
          <cell r="E727" t="str">
            <v>十二角头螺栓</v>
          </cell>
          <cell r="F727" t="str">
            <v>ΦK186009</v>
          </cell>
          <cell r="G727" t="str">
            <v>-</v>
          </cell>
          <cell r="H727" t="str">
            <v>248-341HB</v>
          </cell>
          <cell r="I727" t="str">
            <v/>
          </cell>
          <cell r="J727" t="str">
            <v>GH2132</v>
          </cell>
          <cell r="K727">
            <v>309</v>
          </cell>
          <cell r="L727">
            <v>46058</v>
          </cell>
          <cell r="M727" t="str">
            <v>4-检验完成</v>
          </cell>
        </row>
        <row r="727">
          <cell r="O727">
            <v>0</v>
          </cell>
          <cell r="P727" t="str">
            <v>中国人民解放军第五七〇二工厂(国营四达机械制造公司)</v>
          </cell>
          <cell r="Q727" t="str">
            <v>230</v>
          </cell>
          <cell r="R727">
            <v>46059</v>
          </cell>
        </row>
        <row r="727">
          <cell r="U727" t="str">
            <v>010000737960</v>
          </cell>
          <cell r="V727" t="str">
            <v>BIAOQIAN3</v>
          </cell>
          <cell r="W727" t="str">
            <v/>
          </cell>
          <cell r="X727" t="str">
            <v>CP-59-4-1-1</v>
          </cell>
          <cell r="Y727" t="str">
            <v/>
          </cell>
          <cell r="Z727" t="str">
            <v>1915</v>
          </cell>
          <cell r="AA727" t="str">
            <v>1100160111</v>
          </cell>
          <cell r="AB727">
            <v>700</v>
          </cell>
          <cell r="AC727" t="str">
            <v/>
          </cell>
          <cell r="AD727">
            <v>33</v>
          </cell>
          <cell r="AE727" t="str">
            <v>G-100010426-260203-0006</v>
          </cell>
        </row>
        <row r="728">
          <cell r="B728" t="str">
            <v>71010739471</v>
          </cell>
          <cell r="C728" t="str">
            <v>G2501-0403</v>
          </cell>
          <cell r="D728" t="str">
            <v>000042944239014370</v>
          </cell>
          <cell r="E728" t="str">
            <v>十二角头螺栓</v>
          </cell>
          <cell r="F728" t="str">
            <v>ΦK186009</v>
          </cell>
          <cell r="G728" t="str">
            <v>-</v>
          </cell>
          <cell r="H728" t="str">
            <v>248-341HB</v>
          </cell>
          <cell r="I728" t="str">
            <v/>
          </cell>
          <cell r="J728" t="str">
            <v>GH2132</v>
          </cell>
          <cell r="K728">
            <v>77</v>
          </cell>
          <cell r="L728">
            <v>46058</v>
          </cell>
          <cell r="M728" t="str">
            <v>4-检验完成</v>
          </cell>
        </row>
        <row r="728">
          <cell r="O728">
            <v>0</v>
          </cell>
          <cell r="P728" t="str">
            <v>中国人民解放军第五七〇二工厂(国营四达机械制造公司)</v>
          </cell>
          <cell r="Q728" t="str">
            <v>230</v>
          </cell>
          <cell r="R728">
            <v>46059</v>
          </cell>
        </row>
        <row r="728">
          <cell r="U728" t="str">
            <v>010000769414</v>
          </cell>
          <cell r="V728" t="str">
            <v>BIAOQIAN3</v>
          </cell>
          <cell r="W728" t="str">
            <v/>
          </cell>
          <cell r="X728" t="str">
            <v>CP-46-2-3-6</v>
          </cell>
          <cell r="Y728" t="str">
            <v/>
          </cell>
          <cell r="Z728" t="str">
            <v>1915</v>
          </cell>
          <cell r="AA728" t="str">
            <v>1100160111</v>
          </cell>
          <cell r="AB728">
            <v>700</v>
          </cell>
          <cell r="AC728" t="str">
            <v/>
          </cell>
          <cell r="AD728">
            <v>33</v>
          </cell>
          <cell r="AE728" t="str">
            <v>G-100010426-260203-0006</v>
          </cell>
        </row>
        <row r="729">
          <cell r="B729" t="str">
            <v>71010739472</v>
          </cell>
          <cell r="C729" t="str">
            <v>G2504-0592</v>
          </cell>
          <cell r="D729" t="str">
            <v>000042944288002857</v>
          </cell>
          <cell r="E729" t="str">
            <v>十二角自锁螺母</v>
          </cell>
          <cell r="F729" t="str">
            <v>ΦU125925</v>
          </cell>
          <cell r="G729" t="str">
            <v>-</v>
          </cell>
          <cell r="H729" t="str">
            <v>39-46HRC</v>
          </cell>
          <cell r="I729" t="str">
            <v>Ep·Cd+二硫化钼</v>
          </cell>
          <cell r="J729" t="str">
            <v>40CrNiMoA</v>
          </cell>
          <cell r="K729">
            <v>1209</v>
          </cell>
          <cell r="L729">
            <v>46058</v>
          </cell>
          <cell r="M729" t="str">
            <v>4-检验完成</v>
          </cell>
        </row>
        <row r="729">
          <cell r="O729">
            <v>0</v>
          </cell>
          <cell r="P729" t="str">
            <v>中国人民解放军第五七〇二工厂(国营四达机械制造公司)</v>
          </cell>
          <cell r="Q729" t="str">
            <v>280</v>
          </cell>
          <cell r="R729">
            <v>46059</v>
          </cell>
        </row>
        <row r="729">
          <cell r="U729" t="str">
            <v>010000806286</v>
          </cell>
          <cell r="V729" t="str">
            <v>BIAOQIAN3</v>
          </cell>
          <cell r="W729" t="str">
            <v/>
          </cell>
          <cell r="X729" t="str">
            <v>CP-40-5-4-7</v>
          </cell>
          <cell r="Y729" t="str">
            <v/>
          </cell>
          <cell r="Z729" t="str">
            <v>1915</v>
          </cell>
          <cell r="AA729" t="str">
            <v>1100160111</v>
          </cell>
          <cell r="AB729">
            <v>6000</v>
          </cell>
          <cell r="AC729" t="str">
            <v/>
          </cell>
          <cell r="AD729">
            <v>10</v>
          </cell>
          <cell r="AE729" t="str">
            <v>G-100010426-260203-0006</v>
          </cell>
        </row>
        <row r="730">
          <cell r="B730" t="str">
            <v>7101073473</v>
          </cell>
          <cell r="C730" t="str">
            <v>G2209-0797</v>
          </cell>
          <cell r="D730" t="str">
            <v>000042944239014431</v>
          </cell>
          <cell r="E730" t="str">
            <v>十二角头螺栓</v>
          </cell>
          <cell r="F730" t="str">
            <v>ΦNU12458</v>
          </cell>
          <cell r="G730" t="str">
            <v>-</v>
          </cell>
          <cell r="H730" t="str">
            <v>≥285HB</v>
          </cell>
          <cell r="I730" t="str">
            <v/>
          </cell>
          <cell r="J730" t="str">
            <v>GH80A</v>
          </cell>
          <cell r="K730">
            <v>20</v>
          </cell>
          <cell r="L730">
            <v>46057</v>
          </cell>
          <cell r="M730" t="str">
            <v>4-检验完成</v>
          </cell>
        </row>
        <row r="730">
          <cell r="O730">
            <v>0</v>
          </cell>
          <cell r="P730" t="str">
            <v>中国人民解放军第五七〇二工厂(国营四达机械制造公司)</v>
          </cell>
          <cell r="Q730" t="str">
            <v>80</v>
          </cell>
          <cell r="R730">
            <v>46058</v>
          </cell>
        </row>
        <row r="730">
          <cell r="U730" t="str">
            <v>010000526091</v>
          </cell>
          <cell r="V730" t="str">
            <v>BIAOQIAN3</v>
          </cell>
          <cell r="W730" t="str">
            <v/>
          </cell>
          <cell r="X730" t="str">
            <v>CP-12-5-2-1</v>
          </cell>
          <cell r="Y730" t="str">
            <v/>
          </cell>
          <cell r="Z730" t="str">
            <v>1915</v>
          </cell>
          <cell r="AA730" t="str">
            <v>1100160080</v>
          </cell>
          <cell r="AB730">
            <v>40</v>
          </cell>
          <cell r="AC730" t="str">
            <v/>
          </cell>
          <cell r="AD730">
            <v>37</v>
          </cell>
          <cell r="AE730" t="str">
            <v>G-100010426-260203-0005XH</v>
          </cell>
        </row>
        <row r="731">
          <cell r="B731" t="str">
            <v>71010734731</v>
          </cell>
          <cell r="C731" t="str">
            <v>G2302-1110</v>
          </cell>
          <cell r="D731" t="str">
            <v>000042944239014431</v>
          </cell>
          <cell r="E731" t="str">
            <v>十二角头螺栓</v>
          </cell>
          <cell r="F731" t="str">
            <v>ΦNU12458</v>
          </cell>
          <cell r="G731" t="str">
            <v>-</v>
          </cell>
          <cell r="H731" t="str">
            <v>≥285HB</v>
          </cell>
          <cell r="I731" t="str">
            <v/>
          </cell>
          <cell r="J731" t="str">
            <v>GH80A</v>
          </cell>
          <cell r="K731">
            <v>20</v>
          </cell>
          <cell r="L731">
            <v>46057</v>
          </cell>
          <cell r="M731" t="str">
            <v>4-检验完成</v>
          </cell>
        </row>
        <row r="731">
          <cell r="O731">
            <v>0</v>
          </cell>
          <cell r="P731" t="str">
            <v>中国人民解放军第五七〇二工厂(国营四达机械制造公司)</v>
          </cell>
          <cell r="Q731" t="str">
            <v>80</v>
          </cell>
          <cell r="R731">
            <v>46058</v>
          </cell>
        </row>
        <row r="731">
          <cell r="U731" t="str">
            <v>010000574005</v>
          </cell>
          <cell r="V731" t="str">
            <v>BIAOQIAN3</v>
          </cell>
          <cell r="W731" t="str">
            <v/>
          </cell>
          <cell r="X731" t="str">
            <v>CP-42-2-4-1</v>
          </cell>
          <cell r="Y731" t="str">
            <v/>
          </cell>
          <cell r="Z731" t="str">
            <v>1915</v>
          </cell>
          <cell r="AA731" t="str">
            <v>1100160080</v>
          </cell>
          <cell r="AB731">
            <v>40</v>
          </cell>
          <cell r="AC731" t="str">
            <v/>
          </cell>
          <cell r="AD731">
            <v>37</v>
          </cell>
          <cell r="AE731" t="str">
            <v>G-100010426-260203-0005XH</v>
          </cell>
        </row>
        <row r="732">
          <cell r="B732" t="str">
            <v>7101073349</v>
          </cell>
          <cell r="C732" t="str">
            <v>G2512-2174</v>
          </cell>
          <cell r="D732" t="str">
            <v>000036200000000442</v>
          </cell>
          <cell r="E732" t="str">
            <v>圆截面橡胶圈密封结构</v>
          </cell>
          <cell r="F732" t="str">
            <v>HB4-56J1-1987</v>
          </cell>
          <cell r="G732" t="str">
            <v>13H</v>
          </cell>
          <cell r="H732" t="str">
            <v/>
          </cell>
          <cell r="I732" t="str">
            <v/>
          </cell>
          <cell r="J732" t="str">
            <v>试5171</v>
          </cell>
          <cell r="K732">
            <v>530</v>
          </cell>
          <cell r="L732">
            <v>46057</v>
          </cell>
          <cell r="M732" t="str">
            <v>4-检验完成</v>
          </cell>
        </row>
        <row r="732">
          <cell r="O732">
            <v>0</v>
          </cell>
          <cell r="P732" t="str">
            <v>中国人民解放军第五七〇二工厂(国营四达机械制造公司)</v>
          </cell>
          <cell r="Q732" t="str">
            <v>1380</v>
          </cell>
          <cell r="R732">
            <v>46062</v>
          </cell>
        </row>
        <row r="732">
          <cell r="U732" t="str">
            <v>010000899103</v>
          </cell>
          <cell r="V732" t="str">
            <v>PANMINGTAO</v>
          </cell>
          <cell r="W732" t="str">
            <v/>
          </cell>
          <cell r="X732" t="str">
            <v>XC-28-1-3-2</v>
          </cell>
          <cell r="Y732" t="str">
            <v/>
          </cell>
          <cell r="Z732" t="str">
            <v>1915</v>
          </cell>
          <cell r="AA732" t="str">
            <v>1100157824</v>
          </cell>
          <cell r="AB732">
            <v>530</v>
          </cell>
          <cell r="AC732" t="str">
            <v/>
          </cell>
          <cell r="AD732">
            <v>12</v>
          </cell>
          <cell r="AE732" t="str">
            <v>G-100010426-251225-0049</v>
          </cell>
        </row>
        <row r="733">
          <cell r="B733" t="str">
            <v>7101073349</v>
          </cell>
          <cell r="C733" t="str">
            <v>G2512-2296</v>
          </cell>
          <cell r="D733" t="str">
            <v>000036200000120282</v>
          </cell>
          <cell r="E733" t="str">
            <v>密封圈</v>
          </cell>
          <cell r="F733" t="str">
            <v>Q/2D105-8-2-P</v>
          </cell>
          <cell r="G733" t="str">
            <v>-</v>
          </cell>
          <cell r="H733" t="str">
            <v/>
          </cell>
          <cell r="I733" t="str">
            <v/>
          </cell>
          <cell r="J733" t="str">
            <v>5080</v>
          </cell>
          <cell r="K733">
            <v>120</v>
          </cell>
          <cell r="L733">
            <v>46057</v>
          </cell>
          <cell r="M733" t="str">
            <v>4-检验完成</v>
          </cell>
        </row>
        <row r="733">
          <cell r="O733">
            <v>0</v>
          </cell>
          <cell r="P733" t="str">
            <v>中国人民解放军第五七〇二工厂(国营四达机械制造公司)</v>
          </cell>
          <cell r="Q733" t="str">
            <v>1460</v>
          </cell>
          <cell r="R733">
            <v>46062</v>
          </cell>
        </row>
        <row r="733">
          <cell r="U733" t="str">
            <v>010000899227</v>
          </cell>
          <cell r="V733" t="str">
            <v>PANMINGTAO</v>
          </cell>
          <cell r="W733" t="str">
            <v/>
          </cell>
          <cell r="X733" t="str">
            <v>XC-28-1-3-2</v>
          </cell>
          <cell r="Y733" t="str">
            <v/>
          </cell>
          <cell r="Z733" t="str">
            <v>1915</v>
          </cell>
          <cell r="AA733" t="str">
            <v>1100157824</v>
          </cell>
          <cell r="AB733">
            <v>120</v>
          </cell>
          <cell r="AC733" t="str">
            <v/>
          </cell>
          <cell r="AD733">
            <v>120</v>
          </cell>
          <cell r="AE733" t="str">
            <v>G-100010426-251225-0049</v>
          </cell>
        </row>
        <row r="734">
          <cell r="B734" t="str">
            <v>7101073348</v>
          </cell>
          <cell r="C734" t="str">
            <v>G2512-2204</v>
          </cell>
          <cell r="D734" t="str">
            <v>000036200000072362</v>
          </cell>
          <cell r="E734" t="str">
            <v>密封圈</v>
          </cell>
          <cell r="F734" t="str">
            <v>2262A-23</v>
          </cell>
          <cell r="G734" t="str">
            <v>-</v>
          </cell>
          <cell r="H734" t="str">
            <v/>
          </cell>
          <cell r="I734" t="str">
            <v/>
          </cell>
          <cell r="J734" t="str">
            <v>5080</v>
          </cell>
          <cell r="K734">
            <v>300</v>
          </cell>
          <cell r="L734">
            <v>46057</v>
          </cell>
          <cell r="M734" t="str">
            <v>4-检验完成</v>
          </cell>
        </row>
        <row r="734">
          <cell r="O734">
            <v>0</v>
          </cell>
          <cell r="P734" t="str">
            <v>中国人民解放军第五七〇二工厂(国营四达机械制造公司)</v>
          </cell>
          <cell r="Q734" t="str">
            <v>360</v>
          </cell>
          <cell r="R734">
            <v>46062</v>
          </cell>
        </row>
        <row r="734">
          <cell r="U734" t="str">
            <v>010000899133</v>
          </cell>
          <cell r="V734" t="str">
            <v>PANMINGTAO</v>
          </cell>
          <cell r="W734" t="str">
            <v/>
          </cell>
          <cell r="X734" t="str">
            <v>XC-28-1-3-2</v>
          </cell>
          <cell r="Y734" t="str">
            <v/>
          </cell>
          <cell r="Z734" t="str">
            <v>1915</v>
          </cell>
          <cell r="AA734" t="str">
            <v>1100157824</v>
          </cell>
          <cell r="AB734">
            <v>300</v>
          </cell>
          <cell r="AC734" t="str">
            <v/>
          </cell>
          <cell r="AD734">
            <v>12</v>
          </cell>
          <cell r="AE734" t="str">
            <v>G-100010426-251225-0049</v>
          </cell>
        </row>
        <row r="735">
          <cell r="B735" t="str">
            <v>7101073348</v>
          </cell>
          <cell r="C735" t="str">
            <v>G2512-2235</v>
          </cell>
          <cell r="D735" t="str">
            <v>000036200000072424</v>
          </cell>
          <cell r="E735" t="str">
            <v>密封圈</v>
          </cell>
          <cell r="F735" t="str">
            <v>2267A-361-2</v>
          </cell>
          <cell r="G735" t="str">
            <v>-</v>
          </cell>
          <cell r="H735" t="str">
            <v/>
          </cell>
          <cell r="I735" t="str">
            <v/>
          </cell>
          <cell r="J735" t="str">
            <v>FX-17</v>
          </cell>
          <cell r="K735">
            <v>110</v>
          </cell>
          <cell r="L735">
            <v>46057</v>
          </cell>
          <cell r="M735" t="str">
            <v>4-检验完成</v>
          </cell>
        </row>
        <row r="735">
          <cell r="O735">
            <v>0</v>
          </cell>
          <cell r="P735" t="str">
            <v>中国人民解放军第五七〇二工厂(国营四达机械制造公司)</v>
          </cell>
          <cell r="Q735" t="str">
            <v>1280</v>
          </cell>
          <cell r="R735">
            <v>46062</v>
          </cell>
        </row>
        <row r="735">
          <cell r="U735" t="str">
            <v>010000899166</v>
          </cell>
          <cell r="V735" t="str">
            <v>PANMINGTAO</v>
          </cell>
          <cell r="W735" t="str">
            <v/>
          </cell>
          <cell r="X735" t="str">
            <v>XC-28-1-3-2</v>
          </cell>
          <cell r="Y735" t="str">
            <v/>
          </cell>
          <cell r="Z735" t="str">
            <v>1915</v>
          </cell>
          <cell r="AA735" t="str">
            <v>1100157824</v>
          </cell>
          <cell r="AB735">
            <v>110</v>
          </cell>
          <cell r="AC735" t="str">
            <v/>
          </cell>
          <cell r="AD735">
            <v>27</v>
          </cell>
          <cell r="AE735" t="str">
            <v>G-100010426-251225-0049</v>
          </cell>
        </row>
        <row r="736">
          <cell r="B736" t="str">
            <v>7101073287</v>
          </cell>
          <cell r="C736" t="str">
            <v>G2401-0423</v>
          </cell>
          <cell r="D736" t="str">
            <v>000042944201017732</v>
          </cell>
          <cell r="E736" t="str">
            <v>六角头螺栓</v>
          </cell>
          <cell r="F736" t="str">
            <v>ΦEU22583</v>
          </cell>
          <cell r="G736" t="str">
            <v>-</v>
          </cell>
          <cell r="H736" t="str">
            <v>≥285HB</v>
          </cell>
          <cell r="I736" t="str">
            <v>Ep·Ag</v>
          </cell>
          <cell r="J736" t="str">
            <v>GH80A</v>
          </cell>
          <cell r="K736">
            <v>60</v>
          </cell>
          <cell r="L736">
            <v>46057</v>
          </cell>
          <cell r="M736" t="str">
            <v>4-检验完成</v>
          </cell>
        </row>
        <row r="736">
          <cell r="O736">
            <v>0</v>
          </cell>
          <cell r="P736" t="str">
            <v>中国人民解放军第五七〇二工厂(国营四达机械制造公司)</v>
          </cell>
          <cell r="Q736" t="str">
            <v>50</v>
          </cell>
          <cell r="R736">
            <v>46058</v>
          </cell>
        </row>
        <row r="736">
          <cell r="U736" t="str">
            <v>010000665483</v>
          </cell>
          <cell r="V736" t="str">
            <v>BIAOQIAN4</v>
          </cell>
          <cell r="W736" t="str">
            <v/>
          </cell>
          <cell r="X736" t="str">
            <v>CP-78-2-3-2</v>
          </cell>
          <cell r="Y736" t="str">
            <v/>
          </cell>
          <cell r="Z736" t="str">
            <v>1915</v>
          </cell>
          <cell r="AA736" t="str">
            <v>1100160080</v>
          </cell>
          <cell r="AB736">
            <v>60</v>
          </cell>
          <cell r="AC736" t="str">
            <v/>
          </cell>
          <cell r="AD736">
            <v>35</v>
          </cell>
          <cell r="AE736" t="str">
            <v>G-100010426-260203-0005XH</v>
          </cell>
        </row>
        <row r="737">
          <cell r="B737" t="str">
            <v>71010732871</v>
          </cell>
          <cell r="C737" t="str">
            <v>G2408-1586</v>
          </cell>
          <cell r="D737" t="str">
            <v>000042944201017690</v>
          </cell>
          <cell r="E737" t="str">
            <v>六角头螺栓</v>
          </cell>
          <cell r="F737" t="str">
            <v>ΦBLT1630</v>
          </cell>
          <cell r="G737" t="str">
            <v>-</v>
          </cell>
          <cell r="H737" t="str">
            <v>≥285HB</v>
          </cell>
          <cell r="I737" t="str">
            <v/>
          </cell>
          <cell r="J737" t="str">
            <v>GH80A</v>
          </cell>
          <cell r="K737">
            <v>50</v>
          </cell>
          <cell r="L737">
            <v>46057</v>
          </cell>
          <cell r="M737" t="str">
            <v>4-检验完成</v>
          </cell>
        </row>
        <row r="737">
          <cell r="O737">
            <v>0</v>
          </cell>
          <cell r="P737" t="str">
            <v>中国人民解放军第五七〇二工厂(国营四达机械制造公司)</v>
          </cell>
          <cell r="Q737" t="str">
            <v>60</v>
          </cell>
          <cell r="R737">
            <v>46058</v>
          </cell>
        </row>
        <row r="737">
          <cell r="U737" t="str">
            <v>010000729313</v>
          </cell>
          <cell r="V737" t="str">
            <v>BIAOQIAN4</v>
          </cell>
          <cell r="W737" t="str">
            <v/>
          </cell>
          <cell r="X737" t="str">
            <v>CP-108-A</v>
          </cell>
          <cell r="Y737" t="str">
            <v/>
          </cell>
          <cell r="Z737" t="str">
            <v>1915</v>
          </cell>
          <cell r="AA737" t="str">
            <v>1100160080</v>
          </cell>
          <cell r="AB737">
            <v>50</v>
          </cell>
          <cell r="AC737" t="str">
            <v/>
          </cell>
          <cell r="AD737">
            <v>79</v>
          </cell>
          <cell r="AE737" t="str">
            <v>G-100010426-260203-0005XH</v>
          </cell>
        </row>
        <row r="738">
          <cell r="B738" t="str">
            <v>7101073284</v>
          </cell>
          <cell r="C738" t="str">
            <v>G2406-2589</v>
          </cell>
          <cell r="D738" t="str">
            <v>000042944201017713</v>
          </cell>
          <cell r="E738" t="str">
            <v>六角头螺栓</v>
          </cell>
          <cell r="F738" t="str">
            <v>ΦDU5045</v>
          </cell>
          <cell r="G738" t="str">
            <v>-</v>
          </cell>
          <cell r="H738" t="str">
            <v>≥285HB</v>
          </cell>
          <cell r="I738" t="str">
            <v>Ep·Ag</v>
          </cell>
          <cell r="J738" t="str">
            <v>GH80A</v>
          </cell>
          <cell r="K738">
            <v>70</v>
          </cell>
          <cell r="L738">
            <v>46057</v>
          </cell>
          <cell r="M738" t="str">
            <v>4-检验完成</v>
          </cell>
        </row>
        <row r="738">
          <cell r="O738">
            <v>0</v>
          </cell>
          <cell r="P738" t="str">
            <v>中国人民解放军第五七〇二工厂(国营四达机械制造公司)</v>
          </cell>
          <cell r="Q738" t="str">
            <v>10</v>
          </cell>
          <cell r="R738">
            <v>46059</v>
          </cell>
        </row>
        <row r="738">
          <cell r="U738" t="str">
            <v>010000714448</v>
          </cell>
          <cell r="V738" t="str">
            <v>BIAOQIAN1</v>
          </cell>
          <cell r="W738" t="str">
            <v/>
          </cell>
          <cell r="X738" t="str">
            <v>CP-43-4-3-5</v>
          </cell>
          <cell r="Y738" t="str">
            <v/>
          </cell>
          <cell r="Z738" t="str">
            <v>1915</v>
          </cell>
          <cell r="AA738" t="str">
            <v>1100160080</v>
          </cell>
          <cell r="AB738">
            <v>70</v>
          </cell>
          <cell r="AC738" t="str">
            <v/>
          </cell>
          <cell r="AD738">
            <v>32</v>
          </cell>
          <cell r="AE738" t="str">
            <v>G-100010426-260203-0005XH</v>
          </cell>
        </row>
        <row r="739">
          <cell r="B739" t="str">
            <v>71010732841</v>
          </cell>
          <cell r="C739" t="str">
            <v>G2501-1033</v>
          </cell>
          <cell r="D739" t="str">
            <v>000042944201017720</v>
          </cell>
          <cell r="E739" t="str">
            <v>六角头螺栓</v>
          </cell>
          <cell r="F739" t="str">
            <v>ΦEU10089</v>
          </cell>
          <cell r="G739" t="str">
            <v>-</v>
          </cell>
          <cell r="H739" t="str">
            <v>≥285HB</v>
          </cell>
          <cell r="I739" t="str">
            <v/>
          </cell>
          <cell r="J739" t="str">
            <v>GH80A</v>
          </cell>
          <cell r="K739">
            <v>60</v>
          </cell>
          <cell r="L739">
            <v>46057</v>
          </cell>
          <cell r="M739" t="str">
            <v>4-检验完成</v>
          </cell>
        </row>
        <row r="739">
          <cell r="O739">
            <v>0</v>
          </cell>
          <cell r="P739" t="str">
            <v>中国人民解放军第五七〇二工厂(国营四达机械制造公司)</v>
          </cell>
          <cell r="Q739" t="str">
            <v>40</v>
          </cell>
          <cell r="R739">
            <v>46059</v>
          </cell>
        </row>
        <row r="739">
          <cell r="U739" t="str">
            <v>010000772398</v>
          </cell>
          <cell r="V739" t="str">
            <v>BIAOQIAN1</v>
          </cell>
          <cell r="W739" t="str">
            <v/>
          </cell>
          <cell r="X739" t="str">
            <v>CP-20-1-1-3</v>
          </cell>
          <cell r="Y739" t="str">
            <v/>
          </cell>
          <cell r="Z739" t="str">
            <v>1915</v>
          </cell>
          <cell r="AA739" t="str">
            <v>1100160080</v>
          </cell>
          <cell r="AB739">
            <v>60</v>
          </cell>
          <cell r="AC739" t="str">
            <v/>
          </cell>
          <cell r="AD739">
            <v>35</v>
          </cell>
          <cell r="AE739" t="str">
            <v>G-100010426-260203-0005XH</v>
          </cell>
        </row>
        <row r="740">
          <cell r="B740" t="str">
            <v>7101073283</v>
          </cell>
          <cell r="C740" t="str">
            <v>G2310-0196</v>
          </cell>
          <cell r="D740" t="str">
            <v>000042944201017749</v>
          </cell>
          <cell r="E740" t="str">
            <v>六角头螺栓</v>
          </cell>
          <cell r="F740" t="str">
            <v>ΦK189127</v>
          </cell>
          <cell r="G740" t="str">
            <v>-</v>
          </cell>
          <cell r="H740" t="str">
            <v>248-341HB</v>
          </cell>
          <cell r="I740" t="str">
            <v/>
          </cell>
          <cell r="J740" t="str">
            <v>GH2132</v>
          </cell>
          <cell r="K740">
            <v>15</v>
          </cell>
          <cell r="L740">
            <v>46057</v>
          </cell>
          <cell r="M740" t="str">
            <v>4-检验完成</v>
          </cell>
        </row>
        <row r="740">
          <cell r="O740">
            <v>0</v>
          </cell>
          <cell r="P740" t="str">
            <v>中国人民解放军第五七〇二工厂(国营四达机械制造公司)</v>
          </cell>
          <cell r="Q740" t="str">
            <v>210</v>
          </cell>
          <cell r="R740">
            <v>46058</v>
          </cell>
        </row>
        <row r="740">
          <cell r="U740" t="str">
            <v>010000640143</v>
          </cell>
          <cell r="V740" t="str">
            <v>BIAOQIAN4</v>
          </cell>
          <cell r="W740" t="str">
            <v/>
          </cell>
          <cell r="X740" t="str">
            <v>CP-38-2-3-3/CP-90-3-1-14</v>
          </cell>
          <cell r="Y740" t="str">
            <v/>
          </cell>
          <cell r="Z740" t="str">
            <v>1915</v>
          </cell>
          <cell r="AA740" t="str">
            <v>1100160080</v>
          </cell>
          <cell r="AB740">
            <v>15</v>
          </cell>
          <cell r="AC740" t="str">
            <v/>
          </cell>
          <cell r="AD740">
            <v>33</v>
          </cell>
          <cell r="AE740" t="str">
            <v>G-100010426-260203-0005XH</v>
          </cell>
        </row>
        <row r="741">
          <cell r="B741" t="str">
            <v>71010732831</v>
          </cell>
          <cell r="C741" t="str">
            <v>G2310-0195</v>
          </cell>
          <cell r="D741" t="str">
            <v>000042944201017745</v>
          </cell>
          <cell r="E741" t="str">
            <v>六角头螺栓</v>
          </cell>
          <cell r="F741" t="str">
            <v>ΦK189017</v>
          </cell>
          <cell r="G741" t="str">
            <v>-</v>
          </cell>
          <cell r="H741" t="str">
            <v>248-341HB</v>
          </cell>
          <cell r="I741" t="str">
            <v/>
          </cell>
          <cell r="J741" t="str">
            <v>GH2132</v>
          </cell>
          <cell r="K741">
            <v>15</v>
          </cell>
          <cell r="L741">
            <v>46057</v>
          </cell>
          <cell r="M741" t="str">
            <v>4-检验完成</v>
          </cell>
        </row>
        <row r="741">
          <cell r="O741">
            <v>0</v>
          </cell>
          <cell r="P741" t="str">
            <v>中国人民解放军第五七〇二工厂(国营四达机械制造公司)</v>
          </cell>
          <cell r="Q741" t="str">
            <v>240</v>
          </cell>
          <cell r="R741">
            <v>46058</v>
          </cell>
        </row>
        <row r="741">
          <cell r="U741" t="str">
            <v>010000640142</v>
          </cell>
          <cell r="V741" t="str">
            <v>BIAOQIAN4</v>
          </cell>
          <cell r="W741" t="str">
            <v/>
          </cell>
          <cell r="X741" t="str">
            <v>CP-70-3-1-6/CP-26-2-3-3</v>
          </cell>
          <cell r="Y741" t="str">
            <v/>
          </cell>
          <cell r="Z741" t="str">
            <v>1915</v>
          </cell>
          <cell r="AA741" t="str">
            <v>1100160080</v>
          </cell>
          <cell r="AB741">
            <v>15</v>
          </cell>
          <cell r="AC741" t="str">
            <v/>
          </cell>
          <cell r="AD741">
            <v>24</v>
          </cell>
          <cell r="AE741" t="str">
            <v>G-100010426-260203-0005XH</v>
          </cell>
        </row>
        <row r="742">
          <cell r="B742" t="str">
            <v>7101073282</v>
          </cell>
          <cell r="C742" t="str">
            <v>G2501-1822</v>
          </cell>
          <cell r="D742" t="str">
            <v>000042944239003779</v>
          </cell>
          <cell r="E742" t="str">
            <v>十二角头螺栓</v>
          </cell>
          <cell r="F742" t="str">
            <v>ΦEU22885</v>
          </cell>
          <cell r="G742" t="str">
            <v>-</v>
          </cell>
          <cell r="H742" t="str">
            <v>≥285HB</v>
          </cell>
          <cell r="I742" t="str">
            <v/>
          </cell>
          <cell r="J742" t="str">
            <v>GH80A</v>
          </cell>
          <cell r="K742">
            <v>500</v>
          </cell>
          <cell r="L742">
            <v>46057</v>
          </cell>
          <cell r="M742" t="str">
            <v>4-检验完成</v>
          </cell>
        </row>
        <row r="742">
          <cell r="O742">
            <v>0</v>
          </cell>
          <cell r="P742" t="str">
            <v>中国人民解放军第五七〇二工厂(国营四达机械制造公司)</v>
          </cell>
          <cell r="Q742" t="str">
            <v>270</v>
          </cell>
          <cell r="R742">
            <v>46059</v>
          </cell>
        </row>
        <row r="742">
          <cell r="U742" t="str">
            <v>010000774824</v>
          </cell>
          <cell r="V742" t="str">
            <v>BIAOQIAN1</v>
          </cell>
          <cell r="W742" t="str">
            <v/>
          </cell>
          <cell r="X742" t="str">
            <v>CP-11-4-8-6</v>
          </cell>
          <cell r="Y742" t="str">
            <v/>
          </cell>
          <cell r="Z742" t="str">
            <v>1915</v>
          </cell>
          <cell r="AA742" t="str">
            <v>1100160080</v>
          </cell>
          <cell r="AB742">
            <v>500</v>
          </cell>
          <cell r="AC742" t="str">
            <v/>
          </cell>
          <cell r="AD742">
            <v>35</v>
          </cell>
          <cell r="AE742" t="str">
            <v>G-100010426-260203-0005XH</v>
          </cell>
        </row>
        <row r="743">
          <cell r="B743" t="str">
            <v>71010732821</v>
          </cell>
          <cell r="C743" t="str">
            <v>G2302-2836</v>
          </cell>
          <cell r="D743" t="str">
            <v>000042944201017752</v>
          </cell>
          <cell r="E743" t="str">
            <v>六角头螺栓</v>
          </cell>
          <cell r="F743" t="str">
            <v>ΦKU31211</v>
          </cell>
          <cell r="G743" t="str">
            <v>-</v>
          </cell>
          <cell r="H743" t="str">
            <v>≥285HB</v>
          </cell>
          <cell r="I743" t="str">
            <v/>
          </cell>
          <cell r="J743" t="str">
            <v>GH80A</v>
          </cell>
          <cell r="K743">
            <v>11</v>
          </cell>
          <cell r="L743">
            <v>46057</v>
          </cell>
          <cell r="M743" t="str">
            <v>4-检验完成</v>
          </cell>
        </row>
        <row r="743">
          <cell r="O743">
            <v>0</v>
          </cell>
          <cell r="P743" t="str">
            <v>中国人民解放军第五七〇二工厂(国营四达机械制造公司)</v>
          </cell>
          <cell r="Q743" t="str">
            <v>280</v>
          </cell>
          <cell r="R743">
            <v>46059</v>
          </cell>
        </row>
        <row r="743">
          <cell r="U743" t="str">
            <v>010000577769</v>
          </cell>
          <cell r="V743" t="str">
            <v>BIAOQIAN1</v>
          </cell>
          <cell r="W743" t="str">
            <v/>
          </cell>
          <cell r="X743" t="str">
            <v>CP-42-3-3-2</v>
          </cell>
          <cell r="Y743" t="str">
            <v/>
          </cell>
          <cell r="Z743" t="str">
            <v>1915</v>
          </cell>
          <cell r="AA743" t="str">
            <v>1100160080</v>
          </cell>
          <cell r="AB743">
            <v>30</v>
          </cell>
          <cell r="AC743" t="str">
            <v/>
          </cell>
          <cell r="AD743">
            <v>35</v>
          </cell>
          <cell r="AE743" t="str">
            <v>G-100010426-260203-0005XH</v>
          </cell>
        </row>
        <row r="744">
          <cell r="B744" t="str">
            <v>71010732822</v>
          </cell>
          <cell r="C744" t="str">
            <v>G2310-0198</v>
          </cell>
          <cell r="D744" t="str">
            <v>000042944201017752</v>
          </cell>
          <cell r="E744" t="str">
            <v>六角头螺栓</v>
          </cell>
          <cell r="F744" t="str">
            <v>ΦKU31211</v>
          </cell>
          <cell r="G744" t="str">
            <v>-</v>
          </cell>
          <cell r="H744" t="str">
            <v>≥285HB</v>
          </cell>
          <cell r="I744" t="str">
            <v/>
          </cell>
          <cell r="J744" t="str">
            <v>GH80A</v>
          </cell>
          <cell r="K744">
            <v>19</v>
          </cell>
          <cell r="L744">
            <v>46057</v>
          </cell>
          <cell r="M744" t="str">
            <v>4-检验完成</v>
          </cell>
        </row>
        <row r="744">
          <cell r="O744">
            <v>0</v>
          </cell>
          <cell r="P744" t="str">
            <v>中国人民解放军第五七〇二工厂(国营四达机械制造公司)</v>
          </cell>
          <cell r="Q744" t="str">
            <v>280</v>
          </cell>
          <cell r="R744">
            <v>46059</v>
          </cell>
        </row>
        <row r="744">
          <cell r="U744" t="str">
            <v>010000640145</v>
          </cell>
          <cell r="V744" t="str">
            <v>BIAOQIAN1</v>
          </cell>
          <cell r="W744" t="str">
            <v/>
          </cell>
          <cell r="X744" t="str">
            <v>CP-108-A</v>
          </cell>
          <cell r="Y744" t="str">
            <v/>
          </cell>
          <cell r="Z744" t="str">
            <v>1915</v>
          </cell>
          <cell r="AA744" t="str">
            <v>1100160080</v>
          </cell>
          <cell r="AB744">
            <v>30</v>
          </cell>
          <cell r="AC744" t="str">
            <v/>
          </cell>
          <cell r="AD744">
            <v>35</v>
          </cell>
          <cell r="AE744" t="str">
            <v>G-100010426-260203-0005XH</v>
          </cell>
        </row>
        <row r="745">
          <cell r="B745" t="str">
            <v>7101073277</v>
          </cell>
          <cell r="C745" t="str">
            <v>G2302-0862</v>
          </cell>
          <cell r="D745" t="str">
            <v>000042944239014248</v>
          </cell>
          <cell r="E745" t="str">
            <v>十二角头螺栓</v>
          </cell>
          <cell r="F745" t="str">
            <v>ΦBLT1635</v>
          </cell>
          <cell r="G745" t="str">
            <v>-</v>
          </cell>
          <cell r="H745" t="str">
            <v>248-341HB</v>
          </cell>
          <cell r="I745" t="str">
            <v/>
          </cell>
          <cell r="J745" t="str">
            <v>GH2132</v>
          </cell>
          <cell r="K745">
            <v>25</v>
          </cell>
          <cell r="L745">
            <v>46057</v>
          </cell>
          <cell r="M745" t="str">
            <v>4-检验完成</v>
          </cell>
        </row>
        <row r="745">
          <cell r="O745">
            <v>0</v>
          </cell>
          <cell r="P745" t="str">
            <v>中国人民解放军第五七〇二工厂(国营四达机械制造公司)</v>
          </cell>
          <cell r="Q745" t="str">
            <v>140</v>
          </cell>
          <cell r="R745">
            <v>46058</v>
          </cell>
        </row>
        <row r="745">
          <cell r="U745" t="str">
            <v>010000573530</v>
          </cell>
          <cell r="V745" t="str">
            <v>BIAOQIAN4</v>
          </cell>
          <cell r="W745" t="str">
            <v/>
          </cell>
          <cell r="X745" t="str">
            <v>CP-42-4-3-3</v>
          </cell>
          <cell r="Y745" t="str">
            <v/>
          </cell>
          <cell r="Z745" t="str">
            <v>1915</v>
          </cell>
          <cell r="AA745" t="str">
            <v>1100160080</v>
          </cell>
          <cell r="AB745">
            <v>25</v>
          </cell>
          <cell r="AC745" t="str">
            <v/>
          </cell>
          <cell r="AD745">
            <v>50</v>
          </cell>
          <cell r="AE745" t="str">
            <v>G-100010426-260203-0005XH</v>
          </cell>
        </row>
        <row r="746">
          <cell r="B746" t="str">
            <v>71010732771</v>
          </cell>
          <cell r="C746" t="str">
            <v>G2310-0237</v>
          </cell>
          <cell r="D746" t="str">
            <v>000042944239014256</v>
          </cell>
          <cell r="E746" t="str">
            <v>十二角头螺栓</v>
          </cell>
          <cell r="F746" t="str">
            <v>ΦBLT1690</v>
          </cell>
          <cell r="G746" t="str">
            <v>-</v>
          </cell>
          <cell r="H746" t="str">
            <v>248-341HB</v>
          </cell>
          <cell r="I746" t="str">
            <v/>
          </cell>
          <cell r="J746" t="str">
            <v>GH2132</v>
          </cell>
          <cell r="K746">
            <v>20</v>
          </cell>
          <cell r="L746">
            <v>46057</v>
          </cell>
          <cell r="M746" t="str">
            <v>4-检验完成</v>
          </cell>
        </row>
        <row r="746">
          <cell r="O746">
            <v>0</v>
          </cell>
          <cell r="P746" t="str">
            <v>中国人民解放军第五七〇二工厂(国营四达机械制造公司)</v>
          </cell>
          <cell r="Q746" t="str">
            <v>170</v>
          </cell>
          <cell r="R746">
            <v>46058</v>
          </cell>
        </row>
        <row r="746">
          <cell r="U746" t="str">
            <v>010000640196</v>
          </cell>
          <cell r="V746" t="str">
            <v>BIAOQIAN4</v>
          </cell>
          <cell r="W746" t="str">
            <v/>
          </cell>
          <cell r="X746" t="str">
            <v>CP-90-4-1-2</v>
          </cell>
          <cell r="Y746" t="str">
            <v/>
          </cell>
          <cell r="Z746" t="str">
            <v>1915</v>
          </cell>
          <cell r="AA746" t="str">
            <v>1100160080</v>
          </cell>
          <cell r="AB746">
            <v>20</v>
          </cell>
          <cell r="AC746" t="str">
            <v/>
          </cell>
          <cell r="AD746">
            <v>35</v>
          </cell>
          <cell r="AE746" t="str">
            <v>G-100010426-260203-0005XH</v>
          </cell>
        </row>
        <row r="747">
          <cell r="B747" t="str">
            <v>71010732772</v>
          </cell>
          <cell r="C747" t="str">
            <v>G2408-1685</v>
          </cell>
          <cell r="D747" t="str">
            <v>000042944239014221</v>
          </cell>
          <cell r="E747" t="str">
            <v>十二角头螺栓</v>
          </cell>
          <cell r="F747" t="str">
            <v>ΦBLT1000</v>
          </cell>
          <cell r="G747" t="str">
            <v>-</v>
          </cell>
          <cell r="H747" t="str">
            <v>248-341HB</v>
          </cell>
          <cell r="I747" t="str">
            <v/>
          </cell>
          <cell r="J747" t="str">
            <v>GH2132</v>
          </cell>
          <cell r="K747">
            <v>40</v>
          </cell>
          <cell r="L747">
            <v>46057</v>
          </cell>
          <cell r="M747" t="str">
            <v>4-检验完成</v>
          </cell>
        </row>
        <row r="747">
          <cell r="O747">
            <v>0</v>
          </cell>
          <cell r="P747" t="str">
            <v>中国人民解放军第五七〇二工厂(国营四达机械制造公司)</v>
          </cell>
          <cell r="Q747" t="str">
            <v>70</v>
          </cell>
          <cell r="R747">
            <v>46058</v>
          </cell>
        </row>
        <row r="747">
          <cell r="U747" t="str">
            <v>010000729817</v>
          </cell>
          <cell r="V747" t="str">
            <v>BIAOQIAN4</v>
          </cell>
          <cell r="W747" t="str">
            <v/>
          </cell>
          <cell r="X747" t="str">
            <v>CP-108-A</v>
          </cell>
          <cell r="Y747" t="str">
            <v/>
          </cell>
          <cell r="Z747" t="str">
            <v>1915</v>
          </cell>
          <cell r="AA747" t="str">
            <v>1100160080</v>
          </cell>
          <cell r="AB747">
            <v>40</v>
          </cell>
          <cell r="AC747" t="str">
            <v/>
          </cell>
          <cell r="AD747">
            <v>48</v>
          </cell>
          <cell r="AE747" t="str">
            <v>G-100010426-260203-0005XH</v>
          </cell>
        </row>
        <row r="748">
          <cell r="B748" t="str">
            <v>71010732773</v>
          </cell>
          <cell r="C748" t="str">
            <v>G2310-0214</v>
          </cell>
          <cell r="D748" t="str">
            <v>000042944239014215</v>
          </cell>
          <cell r="E748" t="str">
            <v>十二角头螺栓</v>
          </cell>
          <cell r="F748" t="str">
            <v>ΦAS13558</v>
          </cell>
          <cell r="G748" t="str">
            <v>-</v>
          </cell>
          <cell r="H748" t="str">
            <v>248-341HB</v>
          </cell>
          <cell r="I748" t="str">
            <v/>
          </cell>
          <cell r="J748" t="str">
            <v>GH2132</v>
          </cell>
          <cell r="K748">
            <v>15</v>
          </cell>
          <cell r="L748">
            <v>46057</v>
          </cell>
          <cell r="M748" t="str">
            <v>4-检验完成</v>
          </cell>
        </row>
        <row r="748">
          <cell r="O748">
            <v>0</v>
          </cell>
          <cell r="P748" t="str">
            <v>中国人民解放军第五七〇二工厂(国营四达机械制造公司)</v>
          </cell>
          <cell r="Q748" t="str">
            <v>250</v>
          </cell>
          <cell r="R748">
            <v>46058</v>
          </cell>
        </row>
        <row r="748">
          <cell r="U748" t="str">
            <v>010000640165</v>
          </cell>
          <cell r="V748" t="str">
            <v>BIAOQIAN4</v>
          </cell>
          <cell r="W748" t="str">
            <v/>
          </cell>
          <cell r="X748" t="str">
            <v>CP-39-3-3-3</v>
          </cell>
          <cell r="Y748" t="str">
            <v/>
          </cell>
          <cell r="Z748" t="str">
            <v>1915</v>
          </cell>
          <cell r="AA748" t="str">
            <v>1100160080</v>
          </cell>
          <cell r="AB748">
            <v>15</v>
          </cell>
          <cell r="AC748" t="str">
            <v/>
          </cell>
          <cell r="AD748">
            <v>55</v>
          </cell>
          <cell r="AE748" t="str">
            <v>G-100010426-260203-0005XH</v>
          </cell>
        </row>
        <row r="749">
          <cell r="B749" t="str">
            <v>7101073267</v>
          </cell>
          <cell r="C749" t="str">
            <v>G2310-0555</v>
          </cell>
          <cell r="D749" t="str">
            <v>000042944239014334</v>
          </cell>
          <cell r="E749" t="str">
            <v>十二角头螺栓</v>
          </cell>
          <cell r="F749" t="str">
            <v>ΦCU34885</v>
          </cell>
          <cell r="G749" t="str">
            <v>-</v>
          </cell>
          <cell r="H749" t="str">
            <v>269-331HB</v>
          </cell>
          <cell r="I749" t="str">
            <v/>
          </cell>
          <cell r="J749" t="str">
            <v>1Cr12Ni2WMoVNb</v>
          </cell>
          <cell r="K749">
            <v>60</v>
          </cell>
          <cell r="L749">
            <v>46057</v>
          </cell>
          <cell r="M749" t="str">
            <v>4-检验完成</v>
          </cell>
        </row>
        <row r="749">
          <cell r="O749">
            <v>0</v>
          </cell>
          <cell r="P749" t="str">
            <v>中国人民解放军第五七〇二工厂(国营四达机械制造公司)</v>
          </cell>
          <cell r="Q749" t="str">
            <v>20</v>
          </cell>
          <cell r="R749">
            <v>46058</v>
          </cell>
        </row>
        <row r="749">
          <cell r="U749" t="str">
            <v>010000640872</v>
          </cell>
          <cell r="V749" t="str">
            <v>BIAOQIAN3</v>
          </cell>
          <cell r="W749" t="str">
            <v/>
          </cell>
          <cell r="X749" t="str">
            <v>CP-42-4-3-7</v>
          </cell>
          <cell r="Y749" t="str">
            <v/>
          </cell>
          <cell r="Z749" t="str">
            <v>1915</v>
          </cell>
          <cell r="AA749" t="str">
            <v>1100160080</v>
          </cell>
          <cell r="AB749">
            <v>60</v>
          </cell>
          <cell r="AC749" t="str">
            <v/>
          </cell>
          <cell r="AD749">
            <v>20</v>
          </cell>
          <cell r="AE749" t="str">
            <v>G-100010426-260203-0005XH</v>
          </cell>
        </row>
        <row r="750">
          <cell r="B750" t="str">
            <v>71010732671</v>
          </cell>
          <cell r="C750" t="str">
            <v>G2311-0078</v>
          </cell>
          <cell r="D750" t="str">
            <v>000042944239014317</v>
          </cell>
          <cell r="E750" t="str">
            <v>十二角头螺栓</v>
          </cell>
          <cell r="F750" t="str">
            <v>ΦBLT2157</v>
          </cell>
          <cell r="G750" t="str">
            <v>-</v>
          </cell>
          <cell r="H750" t="str">
            <v>269-331HB</v>
          </cell>
          <cell r="I750" t="str">
            <v/>
          </cell>
          <cell r="J750" t="str">
            <v>1Cr12Ni2WMoVNb</v>
          </cell>
          <cell r="K750">
            <v>15</v>
          </cell>
          <cell r="L750">
            <v>46057</v>
          </cell>
          <cell r="M750" t="str">
            <v>4-检验完成</v>
          </cell>
        </row>
        <row r="750">
          <cell r="O750">
            <v>0</v>
          </cell>
          <cell r="P750" t="str">
            <v>中国人民解放军第五七〇二工厂(国营四达机械制造公司)</v>
          </cell>
          <cell r="Q750" t="str">
            <v>100</v>
          </cell>
          <cell r="R750">
            <v>46058</v>
          </cell>
        </row>
        <row r="750">
          <cell r="U750" t="str">
            <v>010000647810</v>
          </cell>
          <cell r="V750" t="str">
            <v>BIAOQIAN3</v>
          </cell>
          <cell r="W750" t="str">
            <v/>
          </cell>
          <cell r="X750" t="str">
            <v>CP-42-3-4-5</v>
          </cell>
          <cell r="Y750" t="str">
            <v/>
          </cell>
          <cell r="Z750" t="str">
            <v>1915</v>
          </cell>
          <cell r="AA750" t="str">
            <v>1100160080</v>
          </cell>
          <cell r="AB750">
            <v>30</v>
          </cell>
          <cell r="AC750" t="str">
            <v/>
          </cell>
          <cell r="AD750">
            <v>20.6</v>
          </cell>
          <cell r="AE750" t="str">
            <v>G-100010426-260203-0005XH</v>
          </cell>
        </row>
        <row r="751">
          <cell r="B751" t="str">
            <v>71010732672</v>
          </cell>
          <cell r="C751" t="str">
            <v>G2410-1555</v>
          </cell>
          <cell r="D751" t="str">
            <v>000042944239014317</v>
          </cell>
          <cell r="E751" t="str">
            <v>十二角头螺栓</v>
          </cell>
          <cell r="F751" t="str">
            <v>ΦBLT2157</v>
          </cell>
          <cell r="G751" t="str">
            <v>-</v>
          </cell>
          <cell r="H751" t="str">
            <v>269-331HB</v>
          </cell>
          <cell r="I751" t="str">
            <v/>
          </cell>
          <cell r="J751" t="str">
            <v>1Cr12Ni2WMoVNb</v>
          </cell>
          <cell r="K751">
            <v>15</v>
          </cell>
          <cell r="L751">
            <v>46057</v>
          </cell>
          <cell r="M751" t="str">
            <v>4-检验完成</v>
          </cell>
        </row>
        <row r="751">
          <cell r="O751">
            <v>0</v>
          </cell>
          <cell r="P751" t="str">
            <v>中国人民解放军第五七〇二工厂(国营四达机械制造公司)</v>
          </cell>
          <cell r="Q751" t="str">
            <v>100</v>
          </cell>
          <cell r="R751">
            <v>46058</v>
          </cell>
        </row>
        <row r="751">
          <cell r="U751" t="str">
            <v>010000743505</v>
          </cell>
          <cell r="V751" t="str">
            <v>BIAOQIAN3</v>
          </cell>
          <cell r="W751" t="str">
            <v/>
          </cell>
          <cell r="X751" t="str">
            <v>CP-108-A</v>
          </cell>
          <cell r="Y751" t="str">
            <v/>
          </cell>
          <cell r="Z751" t="str">
            <v>1915</v>
          </cell>
          <cell r="AA751" t="str">
            <v>1100160080</v>
          </cell>
          <cell r="AB751">
            <v>30</v>
          </cell>
          <cell r="AC751" t="str">
            <v/>
          </cell>
          <cell r="AD751">
            <v>20.6</v>
          </cell>
          <cell r="AE751" t="str">
            <v>G-100010426-260203-0005XH</v>
          </cell>
        </row>
        <row r="752">
          <cell r="B752" t="str">
            <v>7101073265</v>
          </cell>
          <cell r="C752" t="str">
            <v>G2310-0287</v>
          </cell>
          <cell r="D752" t="str">
            <v>000042944239014335</v>
          </cell>
          <cell r="E752" t="str">
            <v>十二角头螺栓</v>
          </cell>
          <cell r="F752" t="str">
            <v>ΦCU35377</v>
          </cell>
          <cell r="G752" t="str">
            <v>-</v>
          </cell>
          <cell r="H752" t="str">
            <v>269-331HB</v>
          </cell>
          <cell r="I752" t="str">
            <v/>
          </cell>
          <cell r="J752" t="str">
            <v>1Cr12Ni2WMoVNb</v>
          </cell>
          <cell r="K752">
            <v>30</v>
          </cell>
          <cell r="L752">
            <v>46057</v>
          </cell>
          <cell r="M752" t="str">
            <v>4-检验完成</v>
          </cell>
        </row>
        <row r="752">
          <cell r="O752">
            <v>0</v>
          </cell>
          <cell r="P752" t="str">
            <v>中国人民解放军第五七〇二工厂(国营四达机械制造公司)</v>
          </cell>
          <cell r="Q752" t="str">
            <v>110</v>
          </cell>
          <cell r="R752">
            <v>46058</v>
          </cell>
        </row>
        <row r="752">
          <cell r="U752" t="str">
            <v>010000640244</v>
          </cell>
          <cell r="V752" t="str">
            <v>BIAOQIAN3</v>
          </cell>
          <cell r="W752" t="str">
            <v/>
          </cell>
          <cell r="X752" t="str">
            <v>CP-42-3-3-1</v>
          </cell>
          <cell r="Y752" t="str">
            <v/>
          </cell>
          <cell r="Z752" t="str">
            <v>1915</v>
          </cell>
          <cell r="AA752" t="str">
            <v>1100160080</v>
          </cell>
          <cell r="AB752">
            <v>30</v>
          </cell>
          <cell r="AC752" t="str">
            <v/>
          </cell>
          <cell r="AD752">
            <v>20</v>
          </cell>
          <cell r="AE752" t="str">
            <v>G-100010426-260203-0005XH</v>
          </cell>
        </row>
        <row r="753">
          <cell r="B753" t="str">
            <v>71010732651</v>
          </cell>
          <cell r="C753" t="str">
            <v>G2310-0295</v>
          </cell>
          <cell r="D753" t="str">
            <v>000042944239014343</v>
          </cell>
          <cell r="E753" t="str">
            <v>十二角头螺栓</v>
          </cell>
          <cell r="F753" t="str">
            <v>ΦDU3511</v>
          </cell>
          <cell r="G753" t="str">
            <v>-</v>
          </cell>
          <cell r="H753" t="str">
            <v/>
          </cell>
          <cell r="I753" t="str">
            <v/>
          </cell>
          <cell r="J753" t="str">
            <v>GH2132</v>
          </cell>
          <cell r="K753">
            <v>20</v>
          </cell>
          <cell r="L753">
            <v>46057</v>
          </cell>
          <cell r="M753" t="str">
            <v>4-检验完成</v>
          </cell>
        </row>
        <row r="753">
          <cell r="O753">
            <v>0</v>
          </cell>
          <cell r="P753" t="str">
            <v>中国人民解放军第五七〇二工厂(国营四达机械制造公司)</v>
          </cell>
          <cell r="Q753" t="str">
            <v>150</v>
          </cell>
          <cell r="R753">
            <v>46058</v>
          </cell>
        </row>
        <row r="753">
          <cell r="U753" t="str">
            <v>010000640252</v>
          </cell>
          <cell r="V753" t="str">
            <v>BIAOQIAN3</v>
          </cell>
          <cell r="W753" t="str">
            <v/>
          </cell>
          <cell r="X753" t="str">
            <v>CP-66-4-3-7</v>
          </cell>
          <cell r="Y753" t="str">
            <v/>
          </cell>
          <cell r="Z753" t="str">
            <v>1915</v>
          </cell>
          <cell r="AA753" t="str">
            <v>1100160080</v>
          </cell>
          <cell r="AB753">
            <v>20</v>
          </cell>
          <cell r="AC753" t="str">
            <v/>
          </cell>
          <cell r="AD753">
            <v>55</v>
          </cell>
          <cell r="AE753" t="str">
            <v>G-100010426-260203-0005XH</v>
          </cell>
        </row>
        <row r="754">
          <cell r="B754" t="str">
            <v>7101073263</v>
          </cell>
          <cell r="C754" t="str">
            <v>G2410-1351</v>
          </cell>
          <cell r="D754" t="str">
            <v>000042944239014344</v>
          </cell>
          <cell r="E754" t="str">
            <v>十二角螺栓</v>
          </cell>
          <cell r="F754" t="str">
            <v>ΦDU3948</v>
          </cell>
          <cell r="G754" t="str">
            <v>-</v>
          </cell>
          <cell r="H754" t="str">
            <v>≥285HB</v>
          </cell>
          <cell r="I754" t="str">
            <v/>
          </cell>
          <cell r="J754" t="str">
            <v>GH80A</v>
          </cell>
          <cell r="K754">
            <v>60</v>
          </cell>
          <cell r="L754">
            <v>46057</v>
          </cell>
          <cell r="M754" t="str">
            <v>4-检验完成</v>
          </cell>
        </row>
        <row r="754">
          <cell r="O754">
            <v>0</v>
          </cell>
          <cell r="P754" t="str">
            <v>中国人民解放军第五七〇二工厂(国营四达机械制造公司)</v>
          </cell>
          <cell r="Q754" t="str">
            <v>30</v>
          </cell>
          <cell r="R754">
            <v>46058</v>
          </cell>
        </row>
        <row r="754">
          <cell r="U754" t="str">
            <v>010000742694</v>
          </cell>
          <cell r="V754" t="str">
            <v>BIAOQIAN3</v>
          </cell>
          <cell r="W754" t="str">
            <v/>
          </cell>
          <cell r="X754" t="str">
            <v>CP-64-4-4-4</v>
          </cell>
          <cell r="Y754" t="str">
            <v/>
          </cell>
          <cell r="Z754" t="str">
            <v>1915</v>
          </cell>
          <cell r="AA754" t="str">
            <v>1100160080</v>
          </cell>
          <cell r="AB754">
            <v>60</v>
          </cell>
          <cell r="AC754" t="str">
            <v/>
          </cell>
          <cell r="AD754">
            <v>39</v>
          </cell>
          <cell r="AE754" t="str">
            <v>G-100010426-260203-0005XH</v>
          </cell>
        </row>
        <row r="755">
          <cell r="B755" t="str">
            <v>71010732631</v>
          </cell>
          <cell r="C755" t="str">
            <v>G2201-0901</v>
          </cell>
          <cell r="D755" t="str">
            <v>000042944239014376</v>
          </cell>
          <cell r="E755" t="str">
            <v>十二角头螺栓</v>
          </cell>
          <cell r="F755" t="str">
            <v>ΦK186015</v>
          </cell>
          <cell r="G755" t="str">
            <v>-</v>
          </cell>
          <cell r="H755" t="str">
            <v>248-341HB</v>
          </cell>
          <cell r="I755" t="str">
            <v/>
          </cell>
          <cell r="J755" t="str">
            <v>GH2132</v>
          </cell>
          <cell r="K755">
            <v>20</v>
          </cell>
          <cell r="L755">
            <v>46057</v>
          </cell>
          <cell r="M755" t="str">
            <v>4-检验完成</v>
          </cell>
        </row>
        <row r="755">
          <cell r="O755">
            <v>0</v>
          </cell>
          <cell r="P755" t="str">
            <v>中国人民解放军第五七〇二工厂(国营四达机械制造公司)</v>
          </cell>
          <cell r="Q755" t="str">
            <v>160</v>
          </cell>
          <cell r="R755">
            <v>46058</v>
          </cell>
        </row>
        <row r="755">
          <cell r="U755" t="str">
            <v>010000452534</v>
          </cell>
          <cell r="V755" t="str">
            <v>BIAOQIAN3</v>
          </cell>
          <cell r="W755" t="str">
            <v/>
          </cell>
          <cell r="X755" t="str">
            <v>CP-12-3-1-5</v>
          </cell>
          <cell r="Y755" t="str">
            <v/>
          </cell>
          <cell r="Z755" t="str">
            <v>1915</v>
          </cell>
          <cell r="AA755" t="str">
            <v>1100160080</v>
          </cell>
          <cell r="AB755">
            <v>20</v>
          </cell>
          <cell r="AC755" t="str">
            <v/>
          </cell>
          <cell r="AD755">
            <v>34</v>
          </cell>
          <cell r="AE755" t="str">
            <v>G-100010426-260203-0005XH</v>
          </cell>
        </row>
        <row r="756">
          <cell r="B756" t="str">
            <v>7101073262</v>
          </cell>
          <cell r="C756" t="str">
            <v>G2302-2849</v>
          </cell>
          <cell r="D756" t="str">
            <v>000042944239014387</v>
          </cell>
          <cell r="E756" t="str">
            <v>十二角头螺栓</v>
          </cell>
          <cell r="F756" t="str">
            <v>ΦK186026</v>
          </cell>
          <cell r="G756" t="str">
            <v>-</v>
          </cell>
          <cell r="H756" t="str">
            <v>248-341HB</v>
          </cell>
          <cell r="I756" t="str">
            <v/>
          </cell>
          <cell r="J756" t="str">
            <v>GH2132</v>
          </cell>
          <cell r="K756">
            <v>15</v>
          </cell>
          <cell r="L756">
            <v>46057</v>
          </cell>
          <cell r="M756" t="str">
            <v>4-检验完成</v>
          </cell>
        </row>
        <row r="756">
          <cell r="O756">
            <v>0</v>
          </cell>
          <cell r="P756" t="str">
            <v>中国人民解放军第五七〇二工厂(国营四达机械制造公司)</v>
          </cell>
          <cell r="Q756" t="str">
            <v>190</v>
          </cell>
          <cell r="R756">
            <v>46059</v>
          </cell>
        </row>
        <row r="756">
          <cell r="U756" t="str">
            <v>010000577783</v>
          </cell>
          <cell r="V756" t="str">
            <v>BIAOQIAN1</v>
          </cell>
          <cell r="W756" t="str">
            <v/>
          </cell>
          <cell r="X756" t="str">
            <v>CP-40-2-3-5</v>
          </cell>
          <cell r="Y756" t="str">
            <v/>
          </cell>
          <cell r="Z756" t="str">
            <v>1915</v>
          </cell>
          <cell r="AA756" t="str">
            <v>1100160080</v>
          </cell>
          <cell r="AB756">
            <v>15</v>
          </cell>
          <cell r="AC756" t="str">
            <v/>
          </cell>
          <cell r="AD756">
            <v>32</v>
          </cell>
          <cell r="AE756" t="str">
            <v>G-100010426-260203-0005XH</v>
          </cell>
        </row>
        <row r="757">
          <cell r="B757" t="str">
            <v>71010732621</v>
          </cell>
          <cell r="C757" t="str">
            <v>G2408-1615</v>
          </cell>
          <cell r="D757" t="str">
            <v>000042944239014379</v>
          </cell>
          <cell r="E757" t="str">
            <v>十二角头螺栓</v>
          </cell>
          <cell r="F757" t="str">
            <v>ΦK186018</v>
          </cell>
          <cell r="G757" t="str">
            <v>-</v>
          </cell>
          <cell r="H757" t="str">
            <v>248-341HB</v>
          </cell>
          <cell r="I757" t="str">
            <v/>
          </cell>
          <cell r="J757" t="str">
            <v>GH2132</v>
          </cell>
          <cell r="K757">
            <v>100</v>
          </cell>
          <cell r="L757">
            <v>46057</v>
          </cell>
          <cell r="M757" t="str">
            <v>4-检验完成</v>
          </cell>
        </row>
        <row r="757">
          <cell r="O757">
            <v>0</v>
          </cell>
          <cell r="P757" t="str">
            <v>中国人民解放军第五七〇二工厂(国营四达机械制造公司)</v>
          </cell>
          <cell r="Q757" t="str">
            <v>360</v>
          </cell>
          <cell r="R757">
            <v>46059</v>
          </cell>
        </row>
        <row r="757">
          <cell r="U757" t="str">
            <v>010000729353</v>
          </cell>
          <cell r="V757" t="str">
            <v>BIAOQIAN1</v>
          </cell>
          <cell r="W757" t="str">
            <v/>
          </cell>
          <cell r="X757" t="str">
            <v>CP-C7-1-4-6</v>
          </cell>
          <cell r="Y757" t="str">
            <v/>
          </cell>
          <cell r="Z757" t="str">
            <v>1915</v>
          </cell>
          <cell r="AA757" t="str">
            <v>1100160080</v>
          </cell>
          <cell r="AB757">
            <v>100</v>
          </cell>
          <cell r="AC757" t="str">
            <v/>
          </cell>
          <cell r="AD757">
            <v>33</v>
          </cell>
          <cell r="AE757" t="str">
            <v>G-100010426-260203-0005XH</v>
          </cell>
        </row>
        <row r="758">
          <cell r="B758" t="str">
            <v>7101073260</v>
          </cell>
          <cell r="C758" t="str">
            <v>G2403-1913</v>
          </cell>
          <cell r="D758" t="str">
            <v>000042944239014398</v>
          </cell>
          <cell r="E758" t="str">
            <v>十二角头螺栓</v>
          </cell>
          <cell r="F758" t="str">
            <v>ΦK186111</v>
          </cell>
          <cell r="G758" t="str">
            <v>-</v>
          </cell>
          <cell r="H758" t="str">
            <v>248-341HB</v>
          </cell>
          <cell r="I758" t="str">
            <v/>
          </cell>
          <cell r="J758" t="str">
            <v>GH2132</v>
          </cell>
          <cell r="K758">
            <v>100</v>
          </cell>
          <cell r="L758">
            <v>46057</v>
          </cell>
          <cell r="M758" t="str">
            <v>4-检验完成</v>
          </cell>
        </row>
        <row r="758">
          <cell r="O758">
            <v>0</v>
          </cell>
          <cell r="P758" t="str">
            <v>中国人民解放军第五七〇二工厂(国营四达机械制造公司)</v>
          </cell>
          <cell r="Q758" t="str">
            <v>310</v>
          </cell>
          <cell r="R758">
            <v>46058</v>
          </cell>
        </row>
        <row r="758">
          <cell r="U758" t="str">
            <v>010000682744</v>
          </cell>
          <cell r="V758" t="str">
            <v>BIAOQIAN2</v>
          </cell>
          <cell r="W758" t="str">
            <v/>
          </cell>
          <cell r="X758" t="str">
            <v>CP-108-A</v>
          </cell>
          <cell r="Y758" t="str">
            <v/>
          </cell>
          <cell r="Z758" t="str">
            <v>1915</v>
          </cell>
          <cell r="AA758" t="str">
            <v>1100160080</v>
          </cell>
          <cell r="AB758">
            <v>300</v>
          </cell>
          <cell r="AC758" t="str">
            <v/>
          </cell>
          <cell r="AD758">
            <v>33.5</v>
          </cell>
          <cell r="AE758" t="str">
            <v>G-100010426-260203-0005XH</v>
          </cell>
        </row>
        <row r="759">
          <cell r="B759" t="str">
            <v>71010732601</v>
          </cell>
          <cell r="C759" t="str">
            <v>G2501-1038</v>
          </cell>
          <cell r="D759" t="str">
            <v>000042944239014398</v>
          </cell>
          <cell r="E759" t="str">
            <v>十二角头螺栓</v>
          </cell>
          <cell r="F759" t="str">
            <v>ΦK186111</v>
          </cell>
          <cell r="G759" t="str">
            <v>-</v>
          </cell>
          <cell r="H759" t="str">
            <v>248-341HB</v>
          </cell>
          <cell r="I759" t="str">
            <v/>
          </cell>
          <cell r="J759" t="str">
            <v>GH2132</v>
          </cell>
          <cell r="K759">
            <v>200</v>
          </cell>
          <cell r="L759">
            <v>46057</v>
          </cell>
          <cell r="M759" t="str">
            <v>4-检验完成</v>
          </cell>
        </row>
        <row r="759">
          <cell r="O759">
            <v>0</v>
          </cell>
          <cell r="P759" t="str">
            <v>中国人民解放军第五七〇二工厂(国营四达机械制造公司)</v>
          </cell>
          <cell r="Q759" t="str">
            <v>310</v>
          </cell>
          <cell r="R759">
            <v>46058</v>
          </cell>
        </row>
        <row r="759">
          <cell r="U759" t="str">
            <v>010000772403</v>
          </cell>
          <cell r="V759" t="str">
            <v>BIAOQIAN2</v>
          </cell>
          <cell r="W759" t="str">
            <v/>
          </cell>
          <cell r="X759" t="str">
            <v>CP-2-5-1-6</v>
          </cell>
          <cell r="Y759" t="str">
            <v/>
          </cell>
          <cell r="Z759" t="str">
            <v>1915</v>
          </cell>
          <cell r="AA759" t="str">
            <v>1100160080</v>
          </cell>
          <cell r="AB759">
            <v>300</v>
          </cell>
          <cell r="AC759" t="str">
            <v/>
          </cell>
          <cell r="AD759">
            <v>33.5</v>
          </cell>
          <cell r="AE759" t="str">
            <v>G-100010426-260203-0005XH</v>
          </cell>
        </row>
        <row r="760">
          <cell r="B760" t="str">
            <v>7101073258</v>
          </cell>
          <cell r="C760" t="str">
            <v>G2310-0332</v>
          </cell>
          <cell r="D760" t="str">
            <v>000042944239014413</v>
          </cell>
          <cell r="E760" t="str">
            <v>十二角头螺栓</v>
          </cell>
          <cell r="F760" t="str">
            <v>ΦK186127</v>
          </cell>
          <cell r="G760" t="str">
            <v>-</v>
          </cell>
          <cell r="H760" t="str">
            <v>248-341HB</v>
          </cell>
          <cell r="I760" t="str">
            <v/>
          </cell>
          <cell r="J760" t="str">
            <v>GH2132</v>
          </cell>
          <cell r="K760">
            <v>120</v>
          </cell>
          <cell r="L760">
            <v>46057</v>
          </cell>
          <cell r="M760" t="str">
            <v>4-检验完成</v>
          </cell>
        </row>
        <row r="760">
          <cell r="O760">
            <v>0</v>
          </cell>
          <cell r="P760" t="str">
            <v>中国人民解放军第五七〇二工厂(国营四达机械制造公司)</v>
          </cell>
          <cell r="Q760" t="str">
            <v>350</v>
          </cell>
          <cell r="R760">
            <v>46058</v>
          </cell>
        </row>
        <row r="760">
          <cell r="U760" t="str">
            <v>010000640308</v>
          </cell>
          <cell r="V760" t="str">
            <v>BIAOQIAN2</v>
          </cell>
          <cell r="W760" t="str">
            <v/>
          </cell>
          <cell r="X760" t="str">
            <v>CP-41-2-4-4</v>
          </cell>
          <cell r="Y760" t="str">
            <v/>
          </cell>
          <cell r="Z760" t="str">
            <v>1915</v>
          </cell>
          <cell r="AA760" t="str">
            <v>1100160080</v>
          </cell>
          <cell r="AB760">
            <v>120</v>
          </cell>
          <cell r="AC760" t="str">
            <v/>
          </cell>
          <cell r="AD760">
            <v>33.5</v>
          </cell>
          <cell r="AE760" t="str">
            <v>G-100010426-260203-0005XH</v>
          </cell>
        </row>
        <row r="761">
          <cell r="B761" t="str">
            <v>7101073256</v>
          </cell>
          <cell r="C761" t="str">
            <v>G2311-0079</v>
          </cell>
          <cell r="D761" t="str">
            <v>000042944239014422</v>
          </cell>
          <cell r="E761" t="str">
            <v>十二角头螺栓</v>
          </cell>
          <cell r="F761" t="str">
            <v>ΦK186146</v>
          </cell>
          <cell r="G761" t="str">
            <v>-</v>
          </cell>
          <cell r="H761" t="str">
            <v>248-341HB</v>
          </cell>
          <cell r="I761" t="str">
            <v/>
          </cell>
          <cell r="J761" t="str">
            <v>GH2132</v>
          </cell>
          <cell r="K761">
            <v>15</v>
          </cell>
          <cell r="L761">
            <v>46057</v>
          </cell>
          <cell r="M761" t="str">
            <v>4-检验完成</v>
          </cell>
        </row>
        <row r="761">
          <cell r="O761">
            <v>0</v>
          </cell>
          <cell r="P761" t="str">
            <v>中国人民解放军第五七〇二工厂(国营四达机械制造公司)</v>
          </cell>
          <cell r="Q761" t="str">
            <v>200</v>
          </cell>
          <cell r="R761">
            <v>46058</v>
          </cell>
        </row>
        <row r="761">
          <cell r="U761" t="str">
            <v>010000647811</v>
          </cell>
          <cell r="V761" t="str">
            <v>BIAOQIAN1</v>
          </cell>
          <cell r="W761" t="str">
            <v/>
          </cell>
          <cell r="X761" t="str">
            <v>CP-42-3-4-6</v>
          </cell>
          <cell r="Y761" t="str">
            <v/>
          </cell>
          <cell r="Z761" t="str">
            <v>1915</v>
          </cell>
          <cell r="AA761" t="str">
            <v>1100160080</v>
          </cell>
          <cell r="AB761">
            <v>15</v>
          </cell>
          <cell r="AC761" t="str">
            <v/>
          </cell>
          <cell r="AD761">
            <v>49</v>
          </cell>
          <cell r="AE761" t="str">
            <v>G-100010426-260203-0005XH</v>
          </cell>
        </row>
        <row r="762">
          <cell r="B762" t="str">
            <v>7101073234</v>
          </cell>
          <cell r="C762" t="str">
            <v>G2310-0342</v>
          </cell>
          <cell r="D762" t="str">
            <v>000042944239014433</v>
          </cell>
          <cell r="E762" t="str">
            <v>十二角头螺栓</v>
          </cell>
          <cell r="F762" t="str">
            <v>ΦNU13372</v>
          </cell>
          <cell r="G762" t="str">
            <v>-</v>
          </cell>
          <cell r="H762" t="str">
            <v>≥285HB</v>
          </cell>
          <cell r="I762" t="str">
            <v/>
          </cell>
          <cell r="J762" t="str">
            <v>GH80A</v>
          </cell>
          <cell r="K762">
            <v>16</v>
          </cell>
          <cell r="L762">
            <v>46057</v>
          </cell>
          <cell r="M762" t="str">
            <v>4-检验完成</v>
          </cell>
        </row>
        <row r="762">
          <cell r="O762">
            <v>0</v>
          </cell>
          <cell r="P762" t="str">
            <v>中国人民解放军第五七〇二工厂(国营四达机械制造公司)</v>
          </cell>
          <cell r="Q762" t="str">
            <v>290</v>
          </cell>
          <cell r="R762">
            <v>46059</v>
          </cell>
        </row>
        <row r="762">
          <cell r="U762" t="str">
            <v>010000640318</v>
          </cell>
          <cell r="V762" t="str">
            <v>BIAOQIAN1</v>
          </cell>
          <cell r="W762" t="str">
            <v/>
          </cell>
          <cell r="X762" t="str">
            <v>CP-108-A/CP-1-3-1-15</v>
          </cell>
          <cell r="Y762" t="str">
            <v/>
          </cell>
          <cell r="Z762" t="str">
            <v>1915</v>
          </cell>
          <cell r="AA762" t="str">
            <v>1100160080</v>
          </cell>
          <cell r="AB762">
            <v>20</v>
          </cell>
          <cell r="AC762" t="str">
            <v/>
          </cell>
          <cell r="AD762">
            <v>37</v>
          </cell>
          <cell r="AE762" t="str">
            <v>G-100010426-260203-0005XH</v>
          </cell>
        </row>
        <row r="763">
          <cell r="B763" t="str">
            <v>71010732341</v>
          </cell>
          <cell r="C763" t="str">
            <v>G2504-2381</v>
          </cell>
          <cell r="D763" t="str">
            <v>000042944239014433</v>
          </cell>
          <cell r="E763" t="str">
            <v>十二角头螺栓</v>
          </cell>
          <cell r="F763" t="str">
            <v>ΦNU13372</v>
          </cell>
          <cell r="G763" t="str">
            <v>-</v>
          </cell>
          <cell r="H763" t="str">
            <v>≥285HB</v>
          </cell>
          <cell r="I763" t="str">
            <v/>
          </cell>
          <cell r="J763" t="str">
            <v>GH80A</v>
          </cell>
          <cell r="K763">
            <v>4</v>
          </cell>
          <cell r="L763">
            <v>46057</v>
          </cell>
          <cell r="M763" t="str">
            <v>4-检验完成</v>
          </cell>
        </row>
        <row r="763">
          <cell r="O763">
            <v>0</v>
          </cell>
          <cell r="P763" t="str">
            <v>中国人民解放军第五七〇二工厂(国营四达机械制造公司)</v>
          </cell>
          <cell r="Q763" t="str">
            <v>290</v>
          </cell>
          <cell r="R763">
            <v>46059</v>
          </cell>
        </row>
        <row r="763">
          <cell r="U763" t="str">
            <v>010000810186</v>
          </cell>
          <cell r="V763" t="str">
            <v>BIAOQIAN1</v>
          </cell>
          <cell r="W763" t="str">
            <v/>
          </cell>
          <cell r="X763" t="str">
            <v>CP-8-2-4-5</v>
          </cell>
          <cell r="Y763" t="str">
            <v/>
          </cell>
          <cell r="Z763" t="str">
            <v>1915</v>
          </cell>
          <cell r="AA763" t="str">
            <v>1100160080</v>
          </cell>
          <cell r="AB763">
            <v>20</v>
          </cell>
          <cell r="AC763" t="str">
            <v/>
          </cell>
          <cell r="AD763">
            <v>37</v>
          </cell>
          <cell r="AE763" t="str">
            <v>G-100010426-260203-0005XH</v>
          </cell>
        </row>
        <row r="764">
          <cell r="B764" t="str">
            <v>71010732342</v>
          </cell>
          <cell r="C764" t="str">
            <v>G2310-0343</v>
          </cell>
          <cell r="D764" t="str">
            <v>000042944239014436</v>
          </cell>
          <cell r="E764" t="str">
            <v>十二角头螺栓</v>
          </cell>
          <cell r="F764" t="str">
            <v>ΦNU14116</v>
          </cell>
          <cell r="G764" t="str">
            <v>-</v>
          </cell>
          <cell r="H764" t="str">
            <v>269-331HB</v>
          </cell>
          <cell r="I764" t="str">
            <v/>
          </cell>
          <cell r="J764" t="str">
            <v>1Cr12Ni2WMoVNb</v>
          </cell>
          <cell r="K764">
            <v>60</v>
          </cell>
          <cell r="L764">
            <v>46057</v>
          </cell>
          <cell r="M764" t="str">
            <v>4-检验完成</v>
          </cell>
        </row>
        <row r="764">
          <cell r="O764">
            <v>0</v>
          </cell>
          <cell r="P764" t="str">
            <v>中国人民解放军第五七〇二工厂(国营四达机械制造公司)</v>
          </cell>
          <cell r="Q764" t="str">
            <v>340</v>
          </cell>
          <cell r="R764">
            <v>46059</v>
          </cell>
        </row>
        <row r="764">
          <cell r="U764" t="str">
            <v>010000640319</v>
          </cell>
          <cell r="V764" t="str">
            <v>BIAOQIAN1</v>
          </cell>
          <cell r="W764" t="str">
            <v/>
          </cell>
          <cell r="X764" t="str">
            <v>CP-108-A/CP-26-2-3-2</v>
          </cell>
          <cell r="Y764" t="str">
            <v/>
          </cell>
          <cell r="Z764" t="str">
            <v>1915</v>
          </cell>
          <cell r="AA764" t="str">
            <v>1100160080</v>
          </cell>
          <cell r="AB764">
            <v>140</v>
          </cell>
          <cell r="AC764" t="str">
            <v/>
          </cell>
          <cell r="AD764">
            <v>19.3</v>
          </cell>
          <cell r="AE764" t="str">
            <v>G-100010426-260203-0005XH</v>
          </cell>
        </row>
        <row r="765">
          <cell r="B765" t="str">
            <v>71010732343</v>
          </cell>
          <cell r="C765" t="str">
            <v>G2503-2643</v>
          </cell>
          <cell r="D765" t="str">
            <v>000042944239014436</v>
          </cell>
          <cell r="E765" t="str">
            <v>十二角头螺栓</v>
          </cell>
          <cell r="F765" t="str">
            <v>ΦNU14116</v>
          </cell>
          <cell r="G765" t="str">
            <v>-</v>
          </cell>
          <cell r="H765" t="str">
            <v>269-331HB</v>
          </cell>
          <cell r="I765" t="str">
            <v/>
          </cell>
          <cell r="J765" t="str">
            <v>1Cr12Ni2WMoVNb</v>
          </cell>
          <cell r="K765">
            <v>80</v>
          </cell>
          <cell r="L765">
            <v>46057</v>
          </cell>
          <cell r="M765" t="str">
            <v>4-检验完成</v>
          </cell>
        </row>
        <row r="765">
          <cell r="O765">
            <v>0</v>
          </cell>
          <cell r="P765" t="str">
            <v>中国人民解放军第五七〇二工厂(国营四达机械制造公司)</v>
          </cell>
          <cell r="Q765" t="str">
            <v>340</v>
          </cell>
          <cell r="R765">
            <v>46059</v>
          </cell>
        </row>
        <row r="765">
          <cell r="U765" t="str">
            <v>010000801380</v>
          </cell>
          <cell r="V765" t="str">
            <v>BIAOQIAN1</v>
          </cell>
          <cell r="W765" t="str">
            <v/>
          </cell>
          <cell r="X765" t="str">
            <v>CP-46-3-2-9</v>
          </cell>
          <cell r="Y765" t="str">
            <v/>
          </cell>
          <cell r="Z765" t="str">
            <v>1915</v>
          </cell>
          <cell r="AA765" t="str">
            <v>1100160080</v>
          </cell>
          <cell r="AB765">
            <v>140</v>
          </cell>
          <cell r="AC765" t="str">
            <v/>
          </cell>
          <cell r="AD765">
            <v>19.3</v>
          </cell>
          <cell r="AE765" t="str">
            <v>G-100010426-260203-0005XH</v>
          </cell>
        </row>
        <row r="766">
          <cell r="B766" t="str">
            <v>7101073233</v>
          </cell>
          <cell r="C766" t="str">
            <v>G2310-0352</v>
          </cell>
          <cell r="D766" t="str">
            <v>000042944239014436</v>
          </cell>
          <cell r="E766" t="str">
            <v>十二角头螺栓</v>
          </cell>
          <cell r="F766" t="str">
            <v>ΦYU10843</v>
          </cell>
          <cell r="G766" t="str">
            <v>-</v>
          </cell>
          <cell r="H766" t="str">
            <v>269-331HB</v>
          </cell>
          <cell r="I766" t="str">
            <v/>
          </cell>
          <cell r="J766" t="str">
            <v>1Cr12Ni2WMoVNb</v>
          </cell>
          <cell r="K766">
            <v>250</v>
          </cell>
          <cell r="L766">
            <v>46057</v>
          </cell>
          <cell r="M766" t="str">
            <v>4-检验完成</v>
          </cell>
        </row>
        <row r="766">
          <cell r="O766">
            <v>0</v>
          </cell>
          <cell r="P766" t="str">
            <v>中国人民解放军第五七〇二工厂(国营四达机械制造公司)</v>
          </cell>
          <cell r="Q766" t="str">
            <v>320</v>
          </cell>
          <cell r="R766">
            <v>46059</v>
          </cell>
        </row>
        <row r="766">
          <cell r="U766" t="str">
            <v>010000640328</v>
          </cell>
          <cell r="V766" t="str">
            <v>BIAOQIAN4</v>
          </cell>
          <cell r="W766" t="str">
            <v/>
          </cell>
          <cell r="X766" t="str">
            <v>CP-42-2-4-5</v>
          </cell>
          <cell r="Y766" t="str">
            <v/>
          </cell>
          <cell r="Z766" t="str">
            <v>1915</v>
          </cell>
          <cell r="AA766" t="str">
            <v>1100160080</v>
          </cell>
          <cell r="AB766">
            <v>250</v>
          </cell>
          <cell r="AC766" t="str">
            <v/>
          </cell>
          <cell r="AD766">
            <v>19.5</v>
          </cell>
          <cell r="AE766" t="str">
            <v>G-100010426-260203-0005XH</v>
          </cell>
        </row>
        <row r="767">
          <cell r="B767" t="str">
            <v>71010732331</v>
          </cell>
          <cell r="C767" t="str">
            <v>G2501-1076</v>
          </cell>
          <cell r="D767" t="str">
            <v>000042944239014445</v>
          </cell>
          <cell r="E767" t="str">
            <v>十二角头螺栓</v>
          </cell>
          <cell r="F767" t="str">
            <v>ΦPU11237</v>
          </cell>
          <cell r="G767" t="str">
            <v>-</v>
          </cell>
          <cell r="H767" t="str">
            <v>269-331HB</v>
          </cell>
          <cell r="I767" t="str">
            <v/>
          </cell>
          <cell r="J767" t="str">
            <v>1Cr12Ni2WMoVNb</v>
          </cell>
          <cell r="K767">
            <v>500</v>
          </cell>
          <cell r="L767">
            <v>46057</v>
          </cell>
          <cell r="M767" t="str">
            <v>4-检验完成</v>
          </cell>
        </row>
        <row r="767">
          <cell r="O767">
            <v>0</v>
          </cell>
          <cell r="P767" t="str">
            <v>中国人民解放军第五七〇二工厂(国营四达机械制造公司)</v>
          </cell>
          <cell r="Q767" t="str">
            <v>300</v>
          </cell>
          <cell r="R767">
            <v>46059</v>
          </cell>
        </row>
        <row r="767">
          <cell r="U767" t="str">
            <v>010000772447</v>
          </cell>
          <cell r="V767" t="str">
            <v>BIAOQIAN4</v>
          </cell>
          <cell r="W767" t="str">
            <v/>
          </cell>
          <cell r="X767" t="str">
            <v>CP-16-5-3-2</v>
          </cell>
          <cell r="Y767" t="str">
            <v/>
          </cell>
          <cell r="Z767" t="str">
            <v>1915</v>
          </cell>
          <cell r="AA767" t="str">
            <v>1100160080</v>
          </cell>
          <cell r="AB767">
            <v>500</v>
          </cell>
          <cell r="AC767" t="str">
            <v/>
          </cell>
          <cell r="AD767">
            <v>27</v>
          </cell>
          <cell r="AE767" t="str">
            <v>G-100010426-260203-0005XH</v>
          </cell>
        </row>
        <row r="768">
          <cell r="B768" t="str">
            <v>71010732332</v>
          </cell>
          <cell r="C768" t="str">
            <v>G2404-1115</v>
          </cell>
          <cell r="D768" t="str">
            <v>000042944239014441</v>
          </cell>
          <cell r="E768" t="str">
            <v>十二角头螺栓</v>
          </cell>
          <cell r="F768" t="str">
            <v>ΦNU14389</v>
          </cell>
          <cell r="G768" t="str">
            <v>-</v>
          </cell>
          <cell r="H768" t="str">
            <v>269-331HB</v>
          </cell>
          <cell r="I768" t="str">
            <v/>
          </cell>
          <cell r="J768" t="str">
            <v>1Cr12Ni2WMoVNb</v>
          </cell>
          <cell r="K768">
            <v>100</v>
          </cell>
          <cell r="L768">
            <v>46057</v>
          </cell>
          <cell r="M768" t="str">
            <v>4-检验完成</v>
          </cell>
        </row>
        <row r="768">
          <cell r="O768">
            <v>0</v>
          </cell>
          <cell r="P768" t="str">
            <v>中国人民解放军第五七〇二工厂(国营四达机械制造公司)</v>
          </cell>
          <cell r="Q768" t="str">
            <v>330</v>
          </cell>
          <cell r="R768">
            <v>46059</v>
          </cell>
        </row>
        <row r="768">
          <cell r="U768" t="str">
            <v>010000691012</v>
          </cell>
          <cell r="V768" t="str">
            <v>BIAOQIAN4</v>
          </cell>
          <cell r="W768" t="str">
            <v/>
          </cell>
          <cell r="X768" t="str">
            <v>CP-71-4-3-1</v>
          </cell>
          <cell r="Y768" t="str">
            <v/>
          </cell>
          <cell r="Z768" t="str">
            <v>1915</v>
          </cell>
          <cell r="AA768" t="str">
            <v>1100160080</v>
          </cell>
          <cell r="AB768">
            <v>220</v>
          </cell>
          <cell r="AC768" t="str">
            <v/>
          </cell>
          <cell r="AD768">
            <v>20</v>
          </cell>
          <cell r="AE768" t="str">
            <v>G-100010426-260203-0005XH</v>
          </cell>
        </row>
        <row r="769">
          <cell r="B769" t="str">
            <v>71010732333</v>
          </cell>
          <cell r="C769" t="str">
            <v>G2409-2534</v>
          </cell>
          <cell r="D769" t="str">
            <v>000042944239014441</v>
          </cell>
          <cell r="E769" t="str">
            <v>十二角头螺栓</v>
          </cell>
          <cell r="F769" t="str">
            <v>ΦNU14389</v>
          </cell>
          <cell r="G769" t="str">
            <v>-</v>
          </cell>
          <cell r="H769" t="str">
            <v>269-331HB</v>
          </cell>
          <cell r="I769" t="str">
            <v/>
          </cell>
          <cell r="J769" t="str">
            <v>1Cr12Ni2WMoVNb</v>
          </cell>
          <cell r="K769">
            <v>120</v>
          </cell>
          <cell r="L769">
            <v>46057</v>
          </cell>
          <cell r="M769" t="str">
            <v>4-检验完成</v>
          </cell>
        </row>
        <row r="769">
          <cell r="O769">
            <v>0</v>
          </cell>
          <cell r="P769" t="str">
            <v>中国人民解放军第五七〇二工厂(国营四达机械制造公司)</v>
          </cell>
          <cell r="Q769" t="str">
            <v>330</v>
          </cell>
          <cell r="R769">
            <v>46059</v>
          </cell>
        </row>
        <row r="769">
          <cell r="U769" t="str">
            <v>010000738756</v>
          </cell>
          <cell r="V769" t="str">
            <v>BIAOQIAN4</v>
          </cell>
          <cell r="W769" t="str">
            <v/>
          </cell>
          <cell r="X769" t="str">
            <v>CP-58-3-4-5</v>
          </cell>
          <cell r="Y769" t="str">
            <v/>
          </cell>
          <cell r="Z769" t="str">
            <v>1915</v>
          </cell>
          <cell r="AA769" t="str">
            <v>1100160080</v>
          </cell>
          <cell r="AB769">
            <v>220</v>
          </cell>
          <cell r="AC769" t="str">
            <v/>
          </cell>
          <cell r="AD769">
            <v>20</v>
          </cell>
          <cell r="AE769" t="str">
            <v>G-100010426-260203-0005XH</v>
          </cell>
        </row>
        <row r="770">
          <cell r="B770" t="str">
            <v>7101073227</v>
          </cell>
          <cell r="C770" t="str">
            <v>G2305-1585</v>
          </cell>
          <cell r="D770" t="str">
            <v>000042944320014396</v>
          </cell>
          <cell r="E770" t="str">
            <v>圆头铆钉</v>
          </cell>
          <cell r="F770" t="str">
            <v>ΦEU59052</v>
          </cell>
          <cell r="G770" t="str">
            <v>-</v>
          </cell>
          <cell r="H770" t="str">
            <v/>
          </cell>
          <cell r="I770" t="str">
            <v/>
          </cell>
          <cell r="J770" t="str">
            <v>ML1Cr18Ni9Ti</v>
          </cell>
          <cell r="K770">
            <v>25</v>
          </cell>
          <cell r="L770">
            <v>46057</v>
          </cell>
          <cell r="M770" t="str">
            <v>4-检验完成</v>
          </cell>
        </row>
        <row r="770">
          <cell r="O770">
            <v>0</v>
          </cell>
          <cell r="P770" t="str">
            <v>中国人民解放军第五七〇二工厂(国营四达机械制造公司)</v>
          </cell>
          <cell r="Q770" t="str">
            <v>130</v>
          </cell>
          <cell r="R770">
            <v>46058</v>
          </cell>
        </row>
        <row r="770">
          <cell r="U770" t="str">
            <v>010000602687</v>
          </cell>
          <cell r="V770" t="str">
            <v>BIAOQIAN3</v>
          </cell>
          <cell r="W770" t="str">
            <v/>
          </cell>
          <cell r="X770" t="str">
            <v>CP-42-2-3-4</v>
          </cell>
          <cell r="Y770" t="str">
            <v/>
          </cell>
          <cell r="Z770" t="str">
            <v>1915</v>
          </cell>
          <cell r="AA770" t="str">
            <v>1100160080</v>
          </cell>
          <cell r="AB770">
            <v>25</v>
          </cell>
          <cell r="AC770" t="str">
            <v/>
          </cell>
          <cell r="AD770">
            <v>11</v>
          </cell>
          <cell r="AE770" t="str">
            <v>G-100010426-260203-0005XH</v>
          </cell>
        </row>
        <row r="771">
          <cell r="B771" t="str">
            <v>7101072610</v>
          </cell>
          <cell r="C771" t="str">
            <v>G2508-1217</v>
          </cell>
          <cell r="D771" t="str">
            <v>000042944000079605</v>
          </cell>
          <cell r="E771" t="str">
            <v>止动垫圈</v>
          </cell>
          <cell r="F771" t="str">
            <v>51-04-4021</v>
          </cell>
          <cell r="G771" t="str">
            <v>-</v>
          </cell>
          <cell r="H771" t="str">
            <v>固溶处理</v>
          </cell>
          <cell r="I771" t="str">
            <v/>
          </cell>
          <cell r="J771" t="str">
            <v>GH3044</v>
          </cell>
          <cell r="K771">
            <v>713</v>
          </cell>
          <cell r="L771">
            <v>46056</v>
          </cell>
          <cell r="M771" t="str">
            <v>3-配货完成</v>
          </cell>
        </row>
        <row r="771">
          <cell r="O771">
            <v>0</v>
          </cell>
          <cell r="P771" t="str">
            <v>中国人民解放军第五七〇二工厂(国营四达机械制造公司)</v>
          </cell>
          <cell r="Q771" t="str">
            <v>50</v>
          </cell>
        </row>
        <row r="771">
          <cell r="U771" t="str">
            <v>010000855450</v>
          </cell>
          <cell r="V771" t="str">
            <v>BIAOQIAN2</v>
          </cell>
          <cell r="W771" t="str">
            <v/>
          </cell>
          <cell r="X771" t="str">
            <v>CP-108-A</v>
          </cell>
          <cell r="Y771" t="str">
            <v/>
          </cell>
          <cell r="Z771" t="str">
            <v>1915</v>
          </cell>
          <cell r="AA771" t="str">
            <v>1100139094</v>
          </cell>
          <cell r="AB771">
            <v>7200</v>
          </cell>
          <cell r="AC771" t="str">
            <v/>
          </cell>
          <cell r="AD771">
            <v>15</v>
          </cell>
          <cell r="AE771" t="str">
            <v>G-100010426-241221-0094</v>
          </cell>
        </row>
        <row r="772">
          <cell r="B772" t="str">
            <v>7101072487</v>
          </cell>
          <cell r="C772" t="str">
            <v>G2512-2197</v>
          </cell>
          <cell r="D772" t="str">
            <v>000036200000072350</v>
          </cell>
          <cell r="E772" t="str">
            <v>密封圈</v>
          </cell>
          <cell r="F772" t="str">
            <v>2262A-179-2</v>
          </cell>
          <cell r="G772" t="str">
            <v>-</v>
          </cell>
          <cell r="H772" t="str">
            <v/>
          </cell>
          <cell r="I772" t="str">
            <v/>
          </cell>
          <cell r="J772" t="str">
            <v>5080</v>
          </cell>
          <cell r="K772">
            <v>1000</v>
          </cell>
          <cell r="L772">
            <v>46056</v>
          </cell>
          <cell r="M772" t="str">
            <v>4-检验完成</v>
          </cell>
        </row>
        <row r="772">
          <cell r="O772">
            <v>0</v>
          </cell>
          <cell r="P772" t="str">
            <v>中国人民解放军第五七〇二工厂(国营四达机械制造公司)</v>
          </cell>
          <cell r="Q772" t="str">
            <v>790</v>
          </cell>
          <cell r="R772">
            <v>46057</v>
          </cell>
        </row>
        <row r="772">
          <cell r="U772" t="str">
            <v>010000899126</v>
          </cell>
          <cell r="V772" t="str">
            <v>PANMINGTAO</v>
          </cell>
          <cell r="W772" t="str">
            <v/>
          </cell>
          <cell r="X772" t="str">
            <v>XC-29-1-3-1</v>
          </cell>
          <cell r="Y772" t="str">
            <v/>
          </cell>
          <cell r="Z772" t="str">
            <v>1915</v>
          </cell>
          <cell r="AA772" t="str">
            <v>1100157824</v>
          </cell>
          <cell r="AB772">
            <v>1000</v>
          </cell>
          <cell r="AC772" t="str">
            <v/>
          </cell>
          <cell r="AD772">
            <v>12</v>
          </cell>
          <cell r="AE772" t="str">
            <v>G-100010426-251225-0049</v>
          </cell>
        </row>
        <row r="773">
          <cell r="B773" t="str">
            <v>7101072487</v>
          </cell>
          <cell r="C773" t="str">
            <v>G2512-2211</v>
          </cell>
          <cell r="D773" t="str">
            <v>000036200000072371</v>
          </cell>
          <cell r="E773" t="str">
            <v>密封圈</v>
          </cell>
          <cell r="F773" t="str">
            <v>2262A-9</v>
          </cell>
          <cell r="G773" t="str">
            <v>-</v>
          </cell>
          <cell r="H773" t="str">
            <v/>
          </cell>
          <cell r="I773" t="str">
            <v/>
          </cell>
          <cell r="J773" t="str">
            <v>5080</v>
          </cell>
          <cell r="K773">
            <v>1400</v>
          </cell>
          <cell r="L773">
            <v>46056</v>
          </cell>
          <cell r="M773" t="str">
            <v>4-检验完成</v>
          </cell>
        </row>
        <row r="773">
          <cell r="O773">
            <v>0</v>
          </cell>
          <cell r="P773" t="str">
            <v>中国人民解放军第五七〇二工厂(国营四达机械制造公司)</v>
          </cell>
          <cell r="Q773" t="str">
            <v>810</v>
          </cell>
          <cell r="R773">
            <v>46057</v>
          </cell>
        </row>
        <row r="773">
          <cell r="U773" t="str">
            <v>010000899140</v>
          </cell>
          <cell r="V773" t="str">
            <v>PANMINGTAO</v>
          </cell>
          <cell r="W773" t="str">
            <v/>
          </cell>
          <cell r="X773" t="str">
            <v>XC-29-1-3-1</v>
          </cell>
          <cell r="Y773" t="str">
            <v/>
          </cell>
          <cell r="Z773" t="str">
            <v>1915</v>
          </cell>
          <cell r="AA773" t="str">
            <v>1100157824</v>
          </cell>
          <cell r="AB773">
            <v>1400</v>
          </cell>
          <cell r="AC773" t="str">
            <v/>
          </cell>
          <cell r="AD773">
            <v>12</v>
          </cell>
          <cell r="AE773" t="str">
            <v>G-100010426-251225-0049</v>
          </cell>
        </row>
        <row r="774">
          <cell r="B774" t="str">
            <v>7101072486</v>
          </cell>
          <cell r="C774" t="str">
            <v>G2512-2280</v>
          </cell>
          <cell r="D774" t="str">
            <v>000036200000089114</v>
          </cell>
          <cell r="E774" t="str">
            <v>密封圈</v>
          </cell>
          <cell r="F774" t="str">
            <v>2267A-28</v>
          </cell>
          <cell r="G774" t="str">
            <v>-</v>
          </cell>
          <cell r="H774" t="str">
            <v/>
          </cell>
          <cell r="I774" t="str">
            <v/>
          </cell>
          <cell r="J774" t="str">
            <v>FX-4</v>
          </cell>
          <cell r="K774">
            <v>100</v>
          </cell>
          <cell r="L774">
            <v>46056</v>
          </cell>
          <cell r="M774" t="str">
            <v>3-配货完成</v>
          </cell>
        </row>
        <row r="774">
          <cell r="O774">
            <v>0</v>
          </cell>
          <cell r="P774" t="str">
            <v>中国人民解放军第五七〇二工厂(国营四达机械制造公司)</v>
          </cell>
          <cell r="Q774" t="str">
            <v>10</v>
          </cell>
        </row>
        <row r="774">
          <cell r="U774" t="str">
            <v>010000899211</v>
          </cell>
          <cell r="V774" t="str">
            <v>PANMINGTAO</v>
          </cell>
          <cell r="W774" t="str">
            <v/>
          </cell>
          <cell r="X774" t="str">
            <v>XC-1-1-6-3</v>
          </cell>
          <cell r="Y774" t="str">
            <v/>
          </cell>
          <cell r="Z774" t="str">
            <v>1915</v>
          </cell>
          <cell r="AA774" t="str">
            <v>1100157824</v>
          </cell>
          <cell r="AB774">
            <v>100</v>
          </cell>
          <cell r="AC774" t="str">
            <v/>
          </cell>
          <cell r="AD774">
            <v>11</v>
          </cell>
          <cell r="AE774" t="str">
            <v>G-100010426-251225-0049</v>
          </cell>
        </row>
        <row r="775">
          <cell r="B775" t="str">
            <v>7101068735</v>
          </cell>
          <cell r="C775" t="str">
            <v>G2508-7521</v>
          </cell>
          <cell r="D775" t="str">
            <v>000042944999045517</v>
          </cell>
          <cell r="E775" t="str">
            <v>管夹</v>
          </cell>
          <cell r="F775" t="str">
            <v>51-03-4017-01</v>
          </cell>
          <cell r="G775" t="str">
            <v>-</v>
          </cell>
          <cell r="H775" t="str">
            <v>退火</v>
          </cell>
          <cell r="I775" t="str">
            <v/>
          </cell>
          <cell r="J775" t="str">
            <v>TC2</v>
          </cell>
          <cell r="K775">
            <v>14</v>
          </cell>
          <cell r="L775">
            <v>46046</v>
          </cell>
          <cell r="M775" t="str">
            <v>4-检验完成</v>
          </cell>
        </row>
        <row r="775">
          <cell r="O775">
            <v>0</v>
          </cell>
          <cell r="P775" t="str">
            <v>中国人民解放军第五七〇二工厂(国营四达机械制造公司)</v>
          </cell>
          <cell r="Q775" t="str">
            <v>1570</v>
          </cell>
          <cell r="R775">
            <v>46059</v>
          </cell>
        </row>
        <row r="775">
          <cell r="U775" t="str">
            <v>010000855691</v>
          </cell>
          <cell r="V775" t="str">
            <v>BIAOQIAN3</v>
          </cell>
          <cell r="W775" t="str">
            <v/>
          </cell>
          <cell r="X775" t="str">
            <v>CP-108-A</v>
          </cell>
          <cell r="Y775" t="str">
            <v/>
          </cell>
          <cell r="Z775" t="str">
            <v>1915</v>
          </cell>
          <cell r="AA775" t="str">
            <v>1100157824</v>
          </cell>
          <cell r="AB775">
            <v>50</v>
          </cell>
          <cell r="AC775" t="str">
            <v/>
          </cell>
          <cell r="AD775">
            <v>1450</v>
          </cell>
          <cell r="AE775" t="str">
            <v>G-100010426-251225-0049</v>
          </cell>
        </row>
        <row r="776">
          <cell r="B776" t="str">
            <v>7101068581</v>
          </cell>
          <cell r="C776" t="str">
            <v>G2510-2028</v>
          </cell>
          <cell r="D776" t="str">
            <v>000042944000065267</v>
          </cell>
          <cell r="E776" t="str">
            <v>套齿衬套</v>
          </cell>
          <cell r="F776" t="str">
            <v>绘40-10-208</v>
          </cell>
          <cell r="G776" t="str">
            <v>-</v>
          </cell>
          <cell r="H776" t="str">
            <v>25-35HRC</v>
          </cell>
          <cell r="I776" t="str">
            <v>化学钝化</v>
          </cell>
          <cell r="J776" t="str">
            <v>1Cr11Ni2W2MoV</v>
          </cell>
          <cell r="K776">
            <v>32</v>
          </cell>
          <cell r="L776">
            <v>46046</v>
          </cell>
          <cell r="M776" t="str">
            <v>4-检验完成</v>
          </cell>
        </row>
        <row r="776">
          <cell r="O776">
            <v>0</v>
          </cell>
          <cell r="P776" t="str">
            <v>中国人民解放军第五七〇二工厂(国营四达机械制造公司)</v>
          </cell>
          <cell r="Q776" t="str">
            <v>1630</v>
          </cell>
          <cell r="R776">
            <v>46050</v>
          </cell>
        </row>
        <row r="776">
          <cell r="U776" t="str">
            <v>010000879247</v>
          </cell>
          <cell r="V776" t="str">
            <v>BIAOQIAN1</v>
          </cell>
          <cell r="W776" t="str">
            <v/>
          </cell>
          <cell r="X776" t="str">
            <v>CP-108-A</v>
          </cell>
          <cell r="Y776" t="str">
            <v/>
          </cell>
          <cell r="Z776" t="str">
            <v>1915</v>
          </cell>
          <cell r="AA776" t="str">
            <v>1100157824</v>
          </cell>
          <cell r="AB776">
            <v>100</v>
          </cell>
          <cell r="AC776" t="str">
            <v/>
          </cell>
          <cell r="AD776">
            <v>200</v>
          </cell>
          <cell r="AE776" t="str">
            <v>G-100010426-251225-0049</v>
          </cell>
        </row>
        <row r="777">
          <cell r="B777" t="str">
            <v>7101066655</v>
          </cell>
          <cell r="C777" t="str">
            <v>G2409-0790</v>
          </cell>
          <cell r="D777" t="str">
            <v>000042944404000257</v>
          </cell>
          <cell r="E777" t="str">
            <v>角形垂直单耳止动垫圈</v>
          </cell>
          <cell r="F777" t="str">
            <v>HB6241-8×16</v>
          </cell>
          <cell r="G777" t="str">
            <v/>
          </cell>
          <cell r="H777" t="str">
            <v>淬火</v>
          </cell>
          <cell r="I777" t="str">
            <v>ECP</v>
          </cell>
          <cell r="J777" t="str">
            <v>1Cr18Ni9Ti</v>
          </cell>
          <cell r="K777">
            <v>20</v>
          </cell>
          <cell r="L777">
            <v>46043</v>
          </cell>
          <cell r="M777" t="str">
            <v>4-检验完成</v>
          </cell>
        </row>
        <row r="777">
          <cell r="O777">
            <v>0</v>
          </cell>
          <cell r="P777" t="str">
            <v>中国人民解放军第五七〇二工厂(国营四达机械制造公司)</v>
          </cell>
          <cell r="Q777" t="str">
            <v>1830</v>
          </cell>
          <cell r="R777">
            <v>46059</v>
          </cell>
        </row>
        <row r="777">
          <cell r="U777" t="str">
            <v>010000734070</v>
          </cell>
          <cell r="V777" t="str">
            <v>BIAOQIAN3</v>
          </cell>
          <cell r="W777" t="str">
            <v/>
          </cell>
          <cell r="X777" t="str">
            <v>CP-108-A</v>
          </cell>
          <cell r="Y777" t="str">
            <v/>
          </cell>
          <cell r="Z777" t="str">
            <v>1915</v>
          </cell>
          <cell r="AA777" t="str">
            <v>1100157824</v>
          </cell>
          <cell r="AB777">
            <v>120</v>
          </cell>
          <cell r="AC777" t="str">
            <v/>
          </cell>
          <cell r="AD777">
            <v>4.5</v>
          </cell>
          <cell r="AE777" t="str">
            <v>G-100010426-251225-0049</v>
          </cell>
        </row>
        <row r="778">
          <cell r="B778" t="str">
            <v>7101065477</v>
          </cell>
          <cell r="C778" t="str">
            <v>G2512-2349</v>
          </cell>
          <cell r="D778" t="str">
            <v>000042944404000257</v>
          </cell>
          <cell r="E778" t="str">
            <v>角形垂直单耳止动垫圈</v>
          </cell>
          <cell r="F778" t="str">
            <v>HB6241-8×16</v>
          </cell>
          <cell r="G778" t="str">
            <v/>
          </cell>
          <cell r="H778" t="str">
            <v>淬火</v>
          </cell>
          <cell r="I778" t="str">
            <v>ECP</v>
          </cell>
          <cell r="J778" t="str">
            <v>1Cr18Ni9Ti</v>
          </cell>
          <cell r="K778">
            <v>100</v>
          </cell>
          <cell r="L778">
            <v>46041</v>
          </cell>
          <cell r="M778" t="str">
            <v>4-检验完成</v>
          </cell>
        </row>
        <row r="778">
          <cell r="O778">
            <v>0</v>
          </cell>
          <cell r="P778" t="str">
            <v>中国人民解放军第五七〇二工厂(国营四达机械制造公司)</v>
          </cell>
          <cell r="Q778" t="str">
            <v>1830</v>
          </cell>
          <cell r="R778">
            <v>46043</v>
          </cell>
        </row>
        <row r="778">
          <cell r="U778" t="str">
            <v>010000899280</v>
          </cell>
          <cell r="V778" t="str">
            <v>BIAOQIAN4</v>
          </cell>
          <cell r="W778" t="str">
            <v/>
          </cell>
          <cell r="X778" t="str">
            <v>CP-108-A</v>
          </cell>
          <cell r="Y778" t="str">
            <v/>
          </cell>
          <cell r="Z778" t="str">
            <v>1915</v>
          </cell>
          <cell r="AA778" t="str">
            <v>1100157824</v>
          </cell>
          <cell r="AB778">
            <v>120</v>
          </cell>
          <cell r="AC778" t="str">
            <v/>
          </cell>
          <cell r="AD778">
            <v>4.5</v>
          </cell>
          <cell r="AE778" t="str">
            <v>G-100010426-251225-0049</v>
          </cell>
        </row>
        <row r="779">
          <cell r="B779" t="str">
            <v>7101065260</v>
          </cell>
          <cell r="C779" t="str">
            <v>G2512-2354</v>
          </cell>
          <cell r="D779" t="str">
            <v>000042944439002759</v>
          </cell>
          <cell r="E779" t="str">
            <v>垫圈</v>
          </cell>
          <cell r="F779" t="str">
            <v>HB1-521LB-8×16×2</v>
          </cell>
          <cell r="G779" t="str">
            <v/>
          </cell>
          <cell r="H779" t="str">
            <v/>
          </cell>
          <cell r="I779" t="str">
            <v>Et·A(S)·Cs</v>
          </cell>
          <cell r="J779" t="str">
            <v>LY12</v>
          </cell>
          <cell r="K779">
            <v>240</v>
          </cell>
          <cell r="L779">
            <v>46040</v>
          </cell>
          <cell r="M779" t="str">
            <v>4-检验完成</v>
          </cell>
        </row>
        <row r="779">
          <cell r="O779">
            <v>0</v>
          </cell>
          <cell r="P779" t="str">
            <v>中国人民解放军第五七〇二工厂(国营四达机械制造公司)</v>
          </cell>
          <cell r="Q779" t="str">
            <v>1770</v>
          </cell>
          <cell r="R779">
            <v>46043</v>
          </cell>
        </row>
        <row r="779">
          <cell r="U779" t="str">
            <v>010000899285</v>
          </cell>
          <cell r="V779" t="str">
            <v>BIAOQIAN2</v>
          </cell>
          <cell r="W779" t="str">
            <v/>
          </cell>
          <cell r="X779" t="str">
            <v>CP-108-A</v>
          </cell>
          <cell r="Y779" t="str">
            <v/>
          </cell>
          <cell r="Z779" t="str">
            <v>1915</v>
          </cell>
          <cell r="AA779" t="str">
            <v>1100157824</v>
          </cell>
          <cell r="AB779">
            <v>240</v>
          </cell>
          <cell r="AC779" t="str">
            <v/>
          </cell>
          <cell r="AD779">
            <v>0.5</v>
          </cell>
          <cell r="AE779" t="str">
            <v>G-100010426-251225-0049</v>
          </cell>
        </row>
        <row r="780">
          <cell r="B780" t="str">
            <v>7101064800</v>
          </cell>
          <cell r="C780" t="str">
            <v>G2512-2350</v>
          </cell>
          <cell r="D780" t="str">
            <v>000042944404000288</v>
          </cell>
          <cell r="E780" t="str">
            <v>角形单耳止动垫圈</v>
          </cell>
          <cell r="F780" t="str">
            <v>HB6243-4×8</v>
          </cell>
          <cell r="G780" t="str">
            <v/>
          </cell>
          <cell r="H780" t="str">
            <v>淬火</v>
          </cell>
          <cell r="I780" t="str">
            <v>ECP</v>
          </cell>
          <cell r="J780" t="str">
            <v>1Cr18Ni9Ti</v>
          </cell>
          <cell r="K780">
            <v>60</v>
          </cell>
          <cell r="L780">
            <v>46039</v>
          </cell>
          <cell r="M780" t="str">
            <v>4-检验完成</v>
          </cell>
        </row>
        <row r="780">
          <cell r="O780">
            <v>0</v>
          </cell>
          <cell r="P780" t="str">
            <v>中国人民解放军第五七〇二工厂(国营四达机械制造公司)</v>
          </cell>
          <cell r="Q780" t="str">
            <v>1840</v>
          </cell>
          <cell r="R780">
            <v>46041</v>
          </cell>
        </row>
        <row r="780">
          <cell r="U780" t="str">
            <v>010000899281</v>
          </cell>
          <cell r="V780" t="str">
            <v>BIAOQIAN4</v>
          </cell>
          <cell r="W780" t="str">
            <v/>
          </cell>
          <cell r="X780" t="str">
            <v>CP-108-A</v>
          </cell>
          <cell r="Y780" t="str">
            <v/>
          </cell>
          <cell r="Z780" t="str">
            <v>1915</v>
          </cell>
          <cell r="AA780" t="str">
            <v>1100157824</v>
          </cell>
          <cell r="AB780">
            <v>60</v>
          </cell>
          <cell r="AC780" t="str">
            <v/>
          </cell>
          <cell r="AD780">
            <v>2.5</v>
          </cell>
          <cell r="AE780" t="str">
            <v>G-100010426-251225-0049</v>
          </cell>
        </row>
        <row r="781">
          <cell r="B781" t="str">
            <v>7101062088</v>
          </cell>
          <cell r="C781" t="str">
            <v>G2512-2333</v>
          </cell>
          <cell r="D781" t="str">
            <v>000042944401041502</v>
          </cell>
          <cell r="E781" t="str">
            <v>垫圈</v>
          </cell>
          <cell r="F781" t="str">
            <v>HB1-521GD-3×8×0.8</v>
          </cell>
          <cell r="G781" t="str">
            <v/>
          </cell>
          <cell r="H781" t="str">
            <v/>
          </cell>
          <cell r="I781" t="str">
            <v>Ep·Zn·c2C</v>
          </cell>
          <cell r="J781" t="str">
            <v>20</v>
          </cell>
          <cell r="K781">
            <v>70</v>
          </cell>
          <cell r="L781">
            <v>46034</v>
          </cell>
          <cell r="M781" t="str">
            <v>4-检验完成</v>
          </cell>
        </row>
        <row r="781">
          <cell r="O781">
            <v>0</v>
          </cell>
          <cell r="P781" t="str">
            <v>中国人民解放军第五七〇二工厂(国营四达机械制造公司)</v>
          </cell>
          <cell r="Q781" t="str">
            <v>1730</v>
          </cell>
          <cell r="R781">
            <v>46035</v>
          </cell>
        </row>
        <row r="781">
          <cell r="U781" t="str">
            <v>010000899261</v>
          </cell>
          <cell r="V781" t="str">
            <v>BIAOQIAN2</v>
          </cell>
          <cell r="W781" t="str">
            <v/>
          </cell>
          <cell r="X781" t="str">
            <v>CP-108-A</v>
          </cell>
          <cell r="Y781" t="str">
            <v/>
          </cell>
          <cell r="Z781" t="str">
            <v>1915</v>
          </cell>
          <cell r="AA781" t="str">
            <v>1100157824</v>
          </cell>
          <cell r="AB781">
            <v>70</v>
          </cell>
          <cell r="AC781" t="str">
            <v/>
          </cell>
          <cell r="AD781">
            <v>0.5</v>
          </cell>
          <cell r="AE781" t="str">
            <v>G-100010426-251225-0049</v>
          </cell>
        </row>
        <row r="782">
          <cell r="B782" t="str">
            <v>7101062081</v>
          </cell>
          <cell r="C782" t="str">
            <v>G2512-2352</v>
          </cell>
          <cell r="D782" t="str">
            <v>000042944439002348</v>
          </cell>
          <cell r="E782" t="str">
            <v>垫圈</v>
          </cell>
          <cell r="F782" t="str">
            <v>HB1-521FA-4×8×1</v>
          </cell>
          <cell r="G782" t="str">
            <v/>
          </cell>
          <cell r="H782" t="str">
            <v/>
          </cell>
          <cell r="I782" t="str">
            <v/>
          </cell>
          <cell r="J782" t="str">
            <v>1Cr18Ni9Ti</v>
          </cell>
          <cell r="K782">
            <v>165</v>
          </cell>
          <cell r="L782">
            <v>46034</v>
          </cell>
          <cell r="M782" t="str">
            <v>4-检验完成</v>
          </cell>
        </row>
        <row r="782">
          <cell r="O782">
            <v>0</v>
          </cell>
          <cell r="P782" t="str">
            <v>中国人民解放军第五七〇二工厂(国营四达机械制造公司)</v>
          </cell>
          <cell r="Q782" t="str">
            <v>1700</v>
          </cell>
          <cell r="R782">
            <v>46038</v>
          </cell>
        </row>
        <row r="782">
          <cell r="U782" t="str">
            <v>010000899283</v>
          </cell>
          <cell r="V782" t="str">
            <v>BIAOQIAN2</v>
          </cell>
          <cell r="W782" t="str">
            <v/>
          </cell>
          <cell r="X782" t="str">
            <v>CP-108-A</v>
          </cell>
          <cell r="Y782" t="str">
            <v/>
          </cell>
          <cell r="Z782" t="str">
            <v>1915</v>
          </cell>
          <cell r="AA782" t="str">
            <v>1100157824</v>
          </cell>
          <cell r="AB782">
            <v>165</v>
          </cell>
          <cell r="AC782" t="str">
            <v/>
          </cell>
          <cell r="AD782">
            <v>0.5</v>
          </cell>
          <cell r="AE782" t="str">
            <v>G-100010426-251225-0049</v>
          </cell>
        </row>
        <row r="783">
          <cell r="B783" t="str">
            <v>7101062081</v>
          </cell>
          <cell r="C783" t="str">
            <v>G2512-2334</v>
          </cell>
          <cell r="D783" t="str">
            <v>000042944439002194</v>
          </cell>
          <cell r="E783" t="str">
            <v>垫圈</v>
          </cell>
          <cell r="F783" t="str">
            <v>HB1-521GD-3×6×1</v>
          </cell>
          <cell r="G783" t="str">
            <v/>
          </cell>
          <cell r="H783" t="str">
            <v/>
          </cell>
          <cell r="I783" t="str">
            <v>Ep·Zn·c2C</v>
          </cell>
          <cell r="J783" t="str">
            <v>20</v>
          </cell>
          <cell r="K783">
            <v>200</v>
          </cell>
          <cell r="L783">
            <v>46034</v>
          </cell>
          <cell r="M783" t="str">
            <v>4-检验完成</v>
          </cell>
        </row>
        <row r="783">
          <cell r="O783">
            <v>0</v>
          </cell>
          <cell r="P783" t="str">
            <v>中国人民解放军第五七〇二工厂(国营四达机械制造公司)</v>
          </cell>
          <cell r="Q783" t="str">
            <v>1710</v>
          </cell>
          <cell r="R783">
            <v>46038</v>
          </cell>
        </row>
        <row r="783">
          <cell r="U783" t="str">
            <v>010000899263</v>
          </cell>
          <cell r="V783" t="str">
            <v>BIAOQIAN2</v>
          </cell>
          <cell r="W783" t="str">
            <v/>
          </cell>
          <cell r="X783" t="str">
            <v>CP-108-A</v>
          </cell>
          <cell r="Y783" t="str">
            <v/>
          </cell>
          <cell r="Z783" t="str">
            <v>1915</v>
          </cell>
          <cell r="AA783" t="str">
            <v>1100157824</v>
          </cell>
          <cell r="AB783">
            <v>200</v>
          </cell>
          <cell r="AC783" t="str">
            <v/>
          </cell>
          <cell r="AD783">
            <v>0.5</v>
          </cell>
          <cell r="AE783" t="str">
            <v>G-100010426-251225-0049</v>
          </cell>
        </row>
        <row r="784">
          <cell r="B784" t="str">
            <v>7101062079</v>
          </cell>
          <cell r="C784" t="str">
            <v>G2512-2353</v>
          </cell>
          <cell r="D784" t="str">
            <v>000042944439002352</v>
          </cell>
          <cell r="E784" t="str">
            <v>垫圈</v>
          </cell>
          <cell r="F784" t="str">
            <v>HB1-521GD-4×8×1.5</v>
          </cell>
          <cell r="G784" t="str">
            <v/>
          </cell>
          <cell r="H784" t="str">
            <v/>
          </cell>
          <cell r="I784" t="str">
            <v>Ep·Zn·c2C</v>
          </cell>
          <cell r="J784" t="str">
            <v>20</v>
          </cell>
          <cell r="K784">
            <v>150</v>
          </cell>
          <cell r="L784">
            <v>46034</v>
          </cell>
          <cell r="M784" t="str">
            <v>4-检验完成</v>
          </cell>
        </row>
        <row r="784">
          <cell r="O784">
            <v>0</v>
          </cell>
          <cell r="P784" t="str">
            <v>中国人民解放军第五七〇二工厂(国营四达机械制造公司)</v>
          </cell>
          <cell r="Q784" t="str">
            <v>1750</v>
          </cell>
          <cell r="R784">
            <v>46035</v>
          </cell>
        </row>
        <row r="784">
          <cell r="U784" t="str">
            <v>010000899284</v>
          </cell>
          <cell r="V784" t="str">
            <v>BIAOQIAN2</v>
          </cell>
          <cell r="W784" t="str">
            <v/>
          </cell>
          <cell r="X784" t="str">
            <v>CP-108-A</v>
          </cell>
          <cell r="Y784" t="str">
            <v/>
          </cell>
          <cell r="Z784" t="str">
            <v>1915</v>
          </cell>
          <cell r="AA784" t="str">
            <v>1100157824</v>
          </cell>
          <cell r="AB784">
            <v>150</v>
          </cell>
          <cell r="AC784" t="str">
            <v/>
          </cell>
          <cell r="AD784">
            <v>0.5</v>
          </cell>
          <cell r="AE784" t="str">
            <v>G-100010426-251225-0049</v>
          </cell>
        </row>
        <row r="785">
          <cell r="B785" t="str">
            <v>7101041730</v>
          </cell>
          <cell r="C785" t="str">
            <v>G2505-1634</v>
          </cell>
          <cell r="D785" t="str">
            <v>000042944000093352</v>
          </cell>
          <cell r="E785" t="str">
            <v>卡箍</v>
          </cell>
          <cell r="F785" t="str">
            <v>H6K-7611-010</v>
          </cell>
          <cell r="G785" t="str">
            <v>-</v>
          </cell>
          <cell r="H785" t="str">
            <v/>
          </cell>
          <cell r="I785" t="str">
            <v/>
          </cell>
          <cell r="J785" t="str">
            <v>组件</v>
          </cell>
          <cell r="K785">
            <v>13</v>
          </cell>
          <cell r="L785">
            <v>45986</v>
          </cell>
          <cell r="M785" t="str">
            <v>0-初始未打印</v>
          </cell>
        </row>
        <row r="785">
          <cell r="O785">
            <v>0</v>
          </cell>
          <cell r="P785" t="str">
            <v>中国人民解放军第五七〇二工厂(国营四达机械制造公司)</v>
          </cell>
          <cell r="Q785" t="str">
            <v>50</v>
          </cell>
        </row>
        <row r="785">
          <cell r="U785" t="str">
            <v>010000828569</v>
          </cell>
          <cell r="V785" t="str">
            <v/>
          </cell>
          <cell r="W785" t="str">
            <v/>
          </cell>
          <cell r="X785" t="str">
            <v>CP-108-A/CP-24-5-4-2</v>
          </cell>
          <cell r="Y785" t="str">
            <v/>
          </cell>
          <cell r="Z785" t="str">
            <v>1915</v>
          </cell>
          <cell r="AA785" t="str">
            <v>1100107854</v>
          </cell>
          <cell r="AB785">
            <v>22</v>
          </cell>
          <cell r="AC785" t="str">
            <v/>
          </cell>
          <cell r="AD785">
            <v>11000</v>
          </cell>
          <cell r="AE785" t="str">
            <v>G0395-221208-874</v>
          </cell>
        </row>
        <row r="786">
          <cell r="B786" t="str">
            <v>7101041725</v>
          </cell>
          <cell r="C786" t="str">
            <v>G2402-1465</v>
          </cell>
          <cell r="D786" t="str">
            <v>000042944000093351</v>
          </cell>
          <cell r="E786" t="str">
            <v>卡箍</v>
          </cell>
          <cell r="F786" t="str">
            <v>H6K-7603-025</v>
          </cell>
          <cell r="G786" t="str">
            <v>-</v>
          </cell>
          <cell r="H786" t="str">
            <v/>
          </cell>
          <cell r="I786" t="str">
            <v/>
          </cell>
          <cell r="J786" t="str">
            <v>组件</v>
          </cell>
          <cell r="K786">
            <v>15</v>
          </cell>
          <cell r="L786">
            <v>45986</v>
          </cell>
          <cell r="M786" t="str">
            <v>0-初始未打印</v>
          </cell>
        </row>
        <row r="786">
          <cell r="O786">
            <v>0</v>
          </cell>
          <cell r="P786" t="str">
            <v>中国人民解放军第五七〇二工厂(国营四达机械制造公司)</v>
          </cell>
          <cell r="Q786" t="str">
            <v>20</v>
          </cell>
        </row>
        <row r="786">
          <cell r="U786" t="str">
            <v>010000675896</v>
          </cell>
          <cell r="V786" t="str">
            <v/>
          </cell>
          <cell r="W786" t="str">
            <v/>
          </cell>
          <cell r="X786" t="str">
            <v>CP-C8-5-4-6</v>
          </cell>
          <cell r="Y786" t="str">
            <v/>
          </cell>
          <cell r="Z786" t="str">
            <v>1915</v>
          </cell>
          <cell r="AA786" t="str">
            <v>1100107854</v>
          </cell>
          <cell r="AB786">
            <v>21</v>
          </cell>
          <cell r="AC786" t="str">
            <v/>
          </cell>
          <cell r="AD786">
            <v>9000</v>
          </cell>
          <cell r="AE786" t="str">
            <v>G0395-221208-874</v>
          </cell>
        </row>
        <row r="787">
          <cell r="B787" t="str">
            <v>7101041690</v>
          </cell>
          <cell r="C787" t="str">
            <v>G2406-1879</v>
          </cell>
          <cell r="D787" t="str">
            <v>000042944000093346</v>
          </cell>
          <cell r="E787" t="str">
            <v>卡箍</v>
          </cell>
          <cell r="F787" t="str">
            <v>H6K-7613-010</v>
          </cell>
          <cell r="G787" t="str">
            <v>-</v>
          </cell>
          <cell r="H787" t="str">
            <v/>
          </cell>
          <cell r="I787" t="str">
            <v/>
          </cell>
          <cell r="J787" t="str">
            <v>组件</v>
          </cell>
          <cell r="K787">
            <v>13</v>
          </cell>
          <cell r="L787">
            <v>45986</v>
          </cell>
          <cell r="M787" t="str">
            <v>0-初始未打印</v>
          </cell>
        </row>
        <row r="787">
          <cell r="O787">
            <v>0</v>
          </cell>
          <cell r="P787" t="str">
            <v>中国人民解放军第五七〇二工厂(国营四达机械制造公司)</v>
          </cell>
          <cell r="Q787" t="str">
            <v>80</v>
          </cell>
        </row>
        <row r="787">
          <cell r="U787" t="str">
            <v>010000712978</v>
          </cell>
          <cell r="V787" t="str">
            <v/>
          </cell>
          <cell r="W787" t="str">
            <v/>
          </cell>
          <cell r="X787" t="str">
            <v>CP-C8-5-4-6</v>
          </cell>
          <cell r="Y787" t="str">
            <v/>
          </cell>
          <cell r="Z787" t="str">
            <v>1915</v>
          </cell>
          <cell r="AA787" t="str">
            <v>1100107854</v>
          </cell>
          <cell r="AB787">
            <v>13</v>
          </cell>
          <cell r="AC787" t="str">
            <v/>
          </cell>
          <cell r="AD787">
            <v>9000</v>
          </cell>
          <cell r="AE787" t="str">
            <v>G0395-221208-874</v>
          </cell>
        </row>
        <row r="788">
          <cell r="B788" t="str">
            <v>7101041688</v>
          </cell>
          <cell r="C788" t="str">
            <v>G2212-1447</v>
          </cell>
          <cell r="D788" t="str">
            <v>000042944000093345</v>
          </cell>
          <cell r="E788" t="str">
            <v>卡箍</v>
          </cell>
          <cell r="F788" t="str">
            <v>H6K-7611-040</v>
          </cell>
          <cell r="G788" t="str">
            <v>-</v>
          </cell>
          <cell r="H788" t="str">
            <v/>
          </cell>
          <cell r="I788" t="str">
            <v/>
          </cell>
          <cell r="J788" t="str">
            <v>组件</v>
          </cell>
          <cell r="K788">
            <v>14</v>
          </cell>
          <cell r="L788">
            <v>45986</v>
          </cell>
          <cell r="M788" t="str">
            <v>0-初始未打印</v>
          </cell>
        </row>
        <row r="788">
          <cell r="O788">
            <v>0</v>
          </cell>
          <cell r="P788" t="str">
            <v>中国人民解放军第五七〇二工厂(国营四达机械制造公司)</v>
          </cell>
          <cell r="Q788" t="str">
            <v>70</v>
          </cell>
        </row>
        <row r="788">
          <cell r="U788" t="str">
            <v>010000557758</v>
          </cell>
          <cell r="V788" t="str">
            <v/>
          </cell>
          <cell r="W788" t="str">
            <v/>
          </cell>
          <cell r="X788" t="str">
            <v>CP-108-A/CP-K8-1-5-2</v>
          </cell>
          <cell r="Y788" t="str">
            <v/>
          </cell>
          <cell r="Z788" t="str">
            <v>1915</v>
          </cell>
          <cell r="AA788" t="str">
            <v>1100107854</v>
          </cell>
          <cell r="AB788">
            <v>14</v>
          </cell>
          <cell r="AC788" t="str">
            <v/>
          </cell>
          <cell r="AD788">
            <v>4250</v>
          </cell>
          <cell r="AE788" t="str">
            <v>G0395-221208-874</v>
          </cell>
        </row>
        <row r="789">
          <cell r="B789" t="str">
            <v>7101041687</v>
          </cell>
          <cell r="C789" t="str">
            <v>G2407-2928</v>
          </cell>
          <cell r="D789" t="str">
            <v>000042944000093348</v>
          </cell>
          <cell r="E789" t="str">
            <v>卡箍</v>
          </cell>
          <cell r="F789" t="str">
            <v>H6K-7605-137</v>
          </cell>
          <cell r="G789" t="str">
            <v>-</v>
          </cell>
          <cell r="H789" t="str">
            <v/>
          </cell>
          <cell r="I789" t="str">
            <v/>
          </cell>
          <cell r="J789" t="str">
            <v>组件</v>
          </cell>
          <cell r="K789">
            <v>14</v>
          </cell>
          <cell r="L789">
            <v>45986</v>
          </cell>
          <cell r="M789" t="str">
            <v>0-初始未打印</v>
          </cell>
        </row>
        <row r="789">
          <cell r="O789">
            <v>0</v>
          </cell>
          <cell r="P789" t="str">
            <v>中国人民解放军第五七〇二工厂(国营四达机械制造公司)</v>
          </cell>
          <cell r="Q789" t="str">
            <v>40</v>
          </cell>
        </row>
        <row r="789">
          <cell r="U789" t="str">
            <v>010000722806</v>
          </cell>
          <cell r="V789" t="str">
            <v/>
          </cell>
          <cell r="W789" t="str">
            <v/>
          </cell>
          <cell r="X789" t="str">
            <v>CP-108-A/CP-K8-1-5-6</v>
          </cell>
          <cell r="Y789" t="str">
            <v/>
          </cell>
          <cell r="Z789" t="str">
            <v>1915</v>
          </cell>
          <cell r="AA789" t="str">
            <v>1100107854</v>
          </cell>
          <cell r="AB789">
            <v>14</v>
          </cell>
          <cell r="AC789" t="str">
            <v/>
          </cell>
          <cell r="AD789">
            <v>13000</v>
          </cell>
          <cell r="AE789" t="str">
            <v>G0395-221208-874</v>
          </cell>
        </row>
        <row r="790">
          <cell r="B790" t="str">
            <v>7101041686</v>
          </cell>
          <cell r="C790" t="str">
            <v>G2505-1634</v>
          </cell>
          <cell r="D790" t="str">
            <v>000042944000093352</v>
          </cell>
          <cell r="E790" t="str">
            <v>卡箍</v>
          </cell>
          <cell r="F790" t="str">
            <v>H6K-7611-010</v>
          </cell>
          <cell r="G790" t="str">
            <v>-</v>
          </cell>
          <cell r="H790" t="str">
            <v/>
          </cell>
          <cell r="I790" t="str">
            <v/>
          </cell>
          <cell r="J790" t="str">
            <v>组件</v>
          </cell>
          <cell r="K790">
            <v>1</v>
          </cell>
          <cell r="L790">
            <v>45986</v>
          </cell>
          <cell r="M790" t="str">
            <v>0-初始未打印</v>
          </cell>
        </row>
        <row r="790">
          <cell r="O790">
            <v>0</v>
          </cell>
          <cell r="P790" t="str">
            <v>中国人民解放军第五七〇二工厂(国营四达机械制造公司)</v>
          </cell>
          <cell r="Q790" t="str">
            <v>20</v>
          </cell>
        </row>
        <row r="790">
          <cell r="U790" t="str">
            <v>010000828569</v>
          </cell>
          <cell r="V790" t="str">
            <v/>
          </cell>
          <cell r="W790" t="str">
            <v/>
          </cell>
          <cell r="X790" t="str">
            <v>CP-108-A/CP-24-5-4-2</v>
          </cell>
          <cell r="Y790" t="str">
            <v/>
          </cell>
          <cell r="Z790" t="str">
            <v>1915</v>
          </cell>
          <cell r="AA790" t="str">
            <v>1100145684</v>
          </cell>
          <cell r="AB790">
            <v>50</v>
          </cell>
          <cell r="AC790" t="str">
            <v/>
          </cell>
          <cell r="AD790">
            <v>11000</v>
          </cell>
          <cell r="AE790" t="str">
            <v>G-100010426-250418-0014</v>
          </cell>
        </row>
        <row r="791">
          <cell r="B791" t="str">
            <v>7101041685</v>
          </cell>
          <cell r="C791" t="str">
            <v>G2504-4152</v>
          </cell>
          <cell r="D791" t="str">
            <v>000042944000093352</v>
          </cell>
          <cell r="E791" t="str">
            <v>卡箍</v>
          </cell>
          <cell r="F791" t="str">
            <v>H6K-7611-010</v>
          </cell>
          <cell r="G791" t="str">
            <v>-</v>
          </cell>
          <cell r="H791" t="str">
            <v/>
          </cell>
          <cell r="I791" t="str">
            <v/>
          </cell>
          <cell r="J791" t="str">
            <v>组件</v>
          </cell>
          <cell r="K791">
            <v>49</v>
          </cell>
          <cell r="L791">
            <v>45986</v>
          </cell>
          <cell r="M791" t="str">
            <v>0-初始未打印</v>
          </cell>
        </row>
        <row r="791">
          <cell r="O791">
            <v>0</v>
          </cell>
          <cell r="P791" t="str">
            <v>中国人民解放军第五七〇二工厂(国营四达机械制造公司)</v>
          </cell>
          <cell r="Q791" t="str">
            <v>20</v>
          </cell>
        </row>
        <row r="791">
          <cell r="U791" t="str">
            <v>010000817238</v>
          </cell>
          <cell r="V791" t="str">
            <v/>
          </cell>
          <cell r="W791" t="str">
            <v/>
          </cell>
          <cell r="X791" t="str">
            <v>CP-108-A/CP-K2-1-6-3</v>
          </cell>
          <cell r="Y791" t="str">
            <v/>
          </cell>
          <cell r="Z791" t="str">
            <v>1915</v>
          </cell>
          <cell r="AA791" t="str">
            <v>1100145684</v>
          </cell>
          <cell r="AB791">
            <v>50</v>
          </cell>
          <cell r="AC791" t="str">
            <v/>
          </cell>
          <cell r="AD791">
            <v>11000</v>
          </cell>
          <cell r="AE791" t="str">
            <v>G-100010426-250418-0014</v>
          </cell>
        </row>
        <row r="792">
          <cell r="B792" t="str">
            <v>7101041684</v>
          </cell>
          <cell r="C792" t="str">
            <v>G2402-1465</v>
          </cell>
          <cell r="D792" t="str">
            <v>000042944000093351</v>
          </cell>
          <cell r="E792" t="str">
            <v>卡箍</v>
          </cell>
          <cell r="F792" t="str">
            <v>H6K-7603-025</v>
          </cell>
          <cell r="G792" t="str">
            <v>-</v>
          </cell>
          <cell r="H792" t="str">
            <v/>
          </cell>
          <cell r="I792" t="str">
            <v/>
          </cell>
          <cell r="J792" t="str">
            <v>组件</v>
          </cell>
          <cell r="K792">
            <v>16</v>
          </cell>
          <cell r="L792">
            <v>45986</v>
          </cell>
          <cell r="M792" t="str">
            <v>0-初始未打印</v>
          </cell>
        </row>
        <row r="792">
          <cell r="O792">
            <v>0</v>
          </cell>
          <cell r="P792" t="str">
            <v>中国人民解放军第五七〇二工厂(国营四达机械制造公司)</v>
          </cell>
          <cell r="Q792" t="str">
            <v>10</v>
          </cell>
        </row>
        <row r="792">
          <cell r="U792" t="str">
            <v>010000675896</v>
          </cell>
          <cell r="V792" t="str">
            <v/>
          </cell>
          <cell r="W792" t="str">
            <v/>
          </cell>
          <cell r="X792" t="str">
            <v>CP-C8-5-4-6</v>
          </cell>
          <cell r="Y792" t="str">
            <v/>
          </cell>
          <cell r="Z792" t="str">
            <v>1915</v>
          </cell>
          <cell r="AA792" t="str">
            <v>1100145684</v>
          </cell>
          <cell r="AB792">
            <v>50</v>
          </cell>
          <cell r="AC792" t="str">
            <v/>
          </cell>
          <cell r="AD792">
            <v>9000</v>
          </cell>
          <cell r="AE792" t="str">
            <v>G-100010426-250418-0014</v>
          </cell>
        </row>
        <row r="793">
          <cell r="B793" t="str">
            <v>7101041683</v>
          </cell>
          <cell r="C793" t="str">
            <v>G2406-1677</v>
          </cell>
          <cell r="D793" t="str">
            <v>000042944000093351</v>
          </cell>
          <cell r="E793" t="str">
            <v>卡箍</v>
          </cell>
          <cell r="F793" t="str">
            <v>H6K-7603-025</v>
          </cell>
          <cell r="G793" t="str">
            <v>-</v>
          </cell>
          <cell r="H793" t="str">
            <v/>
          </cell>
          <cell r="I793" t="str">
            <v/>
          </cell>
          <cell r="J793" t="str">
            <v>组件</v>
          </cell>
          <cell r="K793">
            <v>34</v>
          </cell>
          <cell r="L793">
            <v>45986</v>
          </cell>
          <cell r="M793" t="str">
            <v>0-初始未打印</v>
          </cell>
        </row>
        <row r="793">
          <cell r="O793">
            <v>0</v>
          </cell>
          <cell r="P793" t="str">
            <v>中国人民解放军第五七〇二工厂(国营四达机械制造公司)</v>
          </cell>
          <cell r="Q793" t="str">
            <v>10</v>
          </cell>
        </row>
        <row r="793">
          <cell r="U793" t="str">
            <v>010000712361</v>
          </cell>
          <cell r="V793" t="str">
            <v/>
          </cell>
          <cell r="W793" t="str">
            <v/>
          </cell>
          <cell r="X793" t="str">
            <v>CP-108-A/CP-11-1-7-1/2/3/4</v>
          </cell>
          <cell r="Y793" t="str">
            <v/>
          </cell>
          <cell r="Z793" t="str">
            <v>1915</v>
          </cell>
          <cell r="AA793" t="str">
            <v>1100145684</v>
          </cell>
          <cell r="AB793">
            <v>50</v>
          </cell>
          <cell r="AC793" t="str">
            <v/>
          </cell>
          <cell r="AD793">
            <v>9000</v>
          </cell>
          <cell r="AE793" t="str">
            <v>G-100010426-250418-0014</v>
          </cell>
        </row>
        <row r="794">
          <cell r="B794">
            <v>7100801583</v>
          </cell>
          <cell r="C794" t="str">
            <v>G2402-1317</v>
          </cell>
          <cell r="D794">
            <v>42944999124713</v>
          </cell>
          <cell r="E794" t="str">
            <v>钛合金扩口式拧入式变径直角管接头</v>
          </cell>
          <cell r="F794" t="str">
            <v>HB8140-2002</v>
          </cell>
          <cell r="G794" t="str">
            <v>6×8</v>
          </cell>
          <cell r="H794" t="str">
            <v>退火</v>
          </cell>
          <cell r="I794" t="str">
            <v>阳极化</v>
          </cell>
          <cell r="J794" t="str">
            <v>TC6</v>
          </cell>
          <cell r="K794">
            <v>88</v>
          </cell>
          <cell r="L794" t="str">
            <v>2024.04.11</v>
          </cell>
          <cell r="M794" t="str">
            <v>3-配货完成</v>
          </cell>
        </row>
        <row r="794">
          <cell r="P794" t="str">
            <v>中航飞机起落架有限责任公司燎原分公司</v>
          </cell>
          <cell r="Q794">
            <v>180</v>
          </cell>
        </row>
        <row r="794">
          <cell r="U794">
            <v>10000675394</v>
          </cell>
          <cell r="V794" t="str">
            <v>LIZHIFENG</v>
          </cell>
        </row>
        <row r="794">
          <cell r="X794" t="str">
            <v>CP-108-A</v>
          </cell>
        </row>
        <row r="794">
          <cell r="Z794">
            <v>1915</v>
          </cell>
          <cell r="AA794">
            <v>1100120515</v>
          </cell>
          <cell r="AB794">
            <v>100</v>
          </cell>
        </row>
        <row r="794">
          <cell r="AD794">
            <v>145</v>
          </cell>
          <cell r="AE794" t="str">
            <v>G0385-231024-561</v>
          </cell>
        </row>
        <row r="795">
          <cell r="B795">
            <v>7100801354</v>
          </cell>
          <cell r="C795" t="str">
            <v>G2403-2765</v>
          </cell>
          <cell r="D795">
            <v>42944439130291</v>
          </cell>
          <cell r="E795" t="str">
            <v>垫圈</v>
          </cell>
          <cell r="F795" t="str">
            <v>HB1-521FA-2002</v>
          </cell>
          <cell r="G795" t="str">
            <v>18×35×4</v>
          </cell>
        </row>
        <row r="795">
          <cell r="J795" t="str">
            <v>1Cr18Ni9Ti</v>
          </cell>
          <cell r="K795">
            <v>100</v>
          </cell>
          <cell r="L795" t="str">
            <v>2024.04.11</v>
          </cell>
          <cell r="M795" t="str">
            <v>3-配货完成</v>
          </cell>
        </row>
        <row r="795">
          <cell r="P795" t="str">
            <v>中航飞机起落架有限责任公司燎原分公司</v>
          </cell>
          <cell r="Q795">
            <v>10</v>
          </cell>
        </row>
        <row r="795">
          <cell r="U795">
            <v>10000685148</v>
          </cell>
          <cell r="V795" t="str">
            <v>LIZHIFENG</v>
          </cell>
        </row>
        <row r="795">
          <cell r="X795" t="str">
            <v>CP-108-A</v>
          </cell>
        </row>
        <row r="795">
          <cell r="Z795">
            <v>1915</v>
          </cell>
          <cell r="AA795">
            <v>1100125616</v>
          </cell>
          <cell r="AB795">
            <v>100</v>
          </cell>
        </row>
        <row r="795">
          <cell r="AD795">
            <v>2</v>
          </cell>
          <cell r="AE795" t="str">
            <v>G-100017070-240307-0001</v>
          </cell>
        </row>
        <row r="796">
          <cell r="B796">
            <v>7100801352</v>
          </cell>
          <cell r="C796" t="str">
            <v>G2403-2765</v>
          </cell>
          <cell r="D796">
            <v>42944439130291</v>
          </cell>
          <cell r="E796" t="str">
            <v>垫圈</v>
          </cell>
          <cell r="F796" t="str">
            <v>HB1-521FA-2002</v>
          </cell>
          <cell r="G796" t="str">
            <v>18×35×4</v>
          </cell>
        </row>
        <row r="796">
          <cell r="J796" t="str">
            <v>1Cr18Ni9Ti</v>
          </cell>
          <cell r="K796">
            <v>100</v>
          </cell>
          <cell r="L796" t="str">
            <v>2024.04.11</v>
          </cell>
          <cell r="M796" t="str">
            <v>3-配货完成</v>
          </cell>
        </row>
        <row r="796">
          <cell r="P796" t="str">
            <v>中航飞机起落架有限责任公司燎原分公司</v>
          </cell>
          <cell r="Q796">
            <v>10</v>
          </cell>
        </row>
        <row r="796">
          <cell r="U796">
            <v>10000685148</v>
          </cell>
          <cell r="V796" t="str">
            <v>LIZHIFENG</v>
          </cell>
        </row>
        <row r="796">
          <cell r="X796" t="str">
            <v>CP-108-A</v>
          </cell>
        </row>
        <row r="796">
          <cell r="Z796">
            <v>1915</v>
          </cell>
          <cell r="AA796">
            <v>1100125067</v>
          </cell>
          <cell r="AB796">
            <v>100</v>
          </cell>
        </row>
        <row r="796">
          <cell r="AD796">
            <v>2</v>
          </cell>
          <cell r="AE796" t="str">
            <v>G0385-240223-116</v>
          </cell>
        </row>
        <row r="797">
          <cell r="B797" t="str">
            <v>7100919453</v>
          </cell>
          <cell r="C797" t="str">
            <v>G2412-7517</v>
          </cell>
          <cell r="D797" t="str">
            <v>000042944319052932</v>
          </cell>
          <cell r="E797" t="str">
            <v>扩口式外套螺母</v>
          </cell>
          <cell r="F797" t="str">
            <v>HB4-45FB-2002</v>
          </cell>
          <cell r="G797" t="str">
            <v>2-8</v>
          </cell>
          <cell r="H797" t="str">
            <v>25-35HRC</v>
          </cell>
          <cell r="I797" t="str">
            <v>Ct·P</v>
          </cell>
          <cell r="J797" t="str">
            <v>1Cr11Ni2W2MoV</v>
          </cell>
          <cell r="K797">
            <v>53</v>
          </cell>
          <cell r="L797">
            <v>45730</v>
          </cell>
          <cell r="M797" t="str">
            <v>4-检验完成</v>
          </cell>
        </row>
        <row r="797">
          <cell r="O797">
            <v>0</v>
          </cell>
          <cell r="P797" t="str">
            <v>中航飞机起落架有限责任公司燎原分公司</v>
          </cell>
          <cell r="Q797" t="str">
            <v>40</v>
          </cell>
          <cell r="R797">
            <v>45731</v>
          </cell>
        </row>
        <row r="797">
          <cell r="U797" t="str">
            <v>010000761143</v>
          </cell>
          <cell r="V797" t="str">
            <v>HANXIAOLAN</v>
          </cell>
          <cell r="W797" t="str">
            <v/>
          </cell>
          <cell r="X797" t="str">
            <v>CP-108-A</v>
          </cell>
          <cell r="Y797" t="str">
            <v/>
          </cell>
          <cell r="Z797" t="str">
            <v>1915</v>
          </cell>
          <cell r="AA797" t="str">
            <v>1100138275</v>
          </cell>
          <cell r="AB797">
            <v>75</v>
          </cell>
          <cell r="AC797" t="str">
            <v/>
          </cell>
          <cell r="AD797">
            <v>26</v>
          </cell>
          <cell r="AE797" t="str">
            <v>G-100017070-241205-0024-2</v>
          </cell>
        </row>
        <row r="798">
          <cell r="B798" t="str">
            <v>7100917514</v>
          </cell>
          <cell r="C798" t="str">
            <v>G2412-7021</v>
          </cell>
          <cell r="D798" t="str">
            <v>000042944281002926</v>
          </cell>
          <cell r="E798" t="str">
            <v>六角槽形厚螺母</v>
          </cell>
          <cell r="F798" t="str">
            <v>HB1-402-1983</v>
          </cell>
          <cell r="G798" t="str">
            <v>M10</v>
          </cell>
          <cell r="H798" t="str">
            <v>σb=980±100MPa</v>
          </cell>
          <cell r="I798" t="str">
            <v>Ep·Zn·c2C</v>
          </cell>
          <cell r="J798" t="str">
            <v>30CrMnSiA</v>
          </cell>
          <cell r="K798">
            <v>200</v>
          </cell>
          <cell r="L798">
            <v>45727</v>
          </cell>
          <cell r="M798" t="str">
            <v>4-检验完成</v>
          </cell>
        </row>
        <row r="798">
          <cell r="O798">
            <v>0</v>
          </cell>
          <cell r="P798" t="str">
            <v>中航飞机起落架有限责任公司燎原分公司</v>
          </cell>
          <cell r="Q798" t="str">
            <v>20</v>
          </cell>
          <cell r="R798">
            <v>45728</v>
          </cell>
        </row>
        <row r="798">
          <cell r="U798" t="str">
            <v>010000760030</v>
          </cell>
          <cell r="V798" t="str">
            <v>PANQIFANG</v>
          </cell>
          <cell r="W798" t="str">
            <v/>
          </cell>
          <cell r="X798" t="str">
            <v>CP-108-A</v>
          </cell>
          <cell r="Y798" t="str">
            <v/>
          </cell>
          <cell r="Z798" t="str">
            <v>1915</v>
          </cell>
          <cell r="AA798" t="str">
            <v>1100138275</v>
          </cell>
          <cell r="AB798">
            <v>200</v>
          </cell>
          <cell r="AC798" t="str">
            <v/>
          </cell>
          <cell r="AD798">
            <v>7.2</v>
          </cell>
          <cell r="AE798" t="str">
            <v>G-100017070-241205-0024-2</v>
          </cell>
        </row>
        <row r="799">
          <cell r="B799" t="str">
            <v>7100917227</v>
          </cell>
          <cell r="C799" t="str">
            <v>G2412-7022</v>
          </cell>
          <cell r="D799" t="str">
            <v>000042944281003106</v>
          </cell>
          <cell r="E799" t="str">
            <v>六角槽形扁螺母</v>
          </cell>
          <cell r="F799" t="str">
            <v>HB1-404-M8</v>
          </cell>
          <cell r="G799" t="str">
            <v>M8</v>
          </cell>
          <cell r="H799" t="str">
            <v>σb=900-1100MPa</v>
          </cell>
          <cell r="I799" t="str">
            <v>Ep·Zn·c2C</v>
          </cell>
          <cell r="J799" t="str">
            <v>30CrMnSiA</v>
          </cell>
          <cell r="K799">
            <v>200</v>
          </cell>
          <cell r="L799">
            <v>45727</v>
          </cell>
          <cell r="M799" t="str">
            <v>4-检验完成</v>
          </cell>
        </row>
        <row r="799">
          <cell r="O799">
            <v>0</v>
          </cell>
          <cell r="P799" t="str">
            <v>中航飞机起落架有限责任公司燎原分公司</v>
          </cell>
          <cell r="Q799" t="str">
            <v>30</v>
          </cell>
          <cell r="R799">
            <v>45729</v>
          </cell>
        </row>
        <row r="799">
          <cell r="U799" t="str">
            <v>010000760031</v>
          </cell>
          <cell r="V799" t="str">
            <v>PANQIFANG</v>
          </cell>
          <cell r="W799" t="str">
            <v/>
          </cell>
          <cell r="X799" t="str">
            <v>CP-108-A</v>
          </cell>
          <cell r="Y799" t="str">
            <v/>
          </cell>
          <cell r="Z799" t="str">
            <v>1915</v>
          </cell>
          <cell r="AA799" t="str">
            <v>1100138275</v>
          </cell>
          <cell r="AB799">
            <v>200</v>
          </cell>
          <cell r="AC799" t="str">
            <v/>
          </cell>
          <cell r="AD799">
            <v>5.5</v>
          </cell>
          <cell r="AE799" t="str">
            <v>G-100017070-241205-0024-2</v>
          </cell>
        </row>
        <row r="800">
          <cell r="B800" t="str">
            <v>7100899093</v>
          </cell>
          <cell r="C800" t="str">
            <v>GW2501-262</v>
          </cell>
          <cell r="D800" t="str">
            <v>000042944043008044</v>
          </cell>
          <cell r="E800" t="str">
            <v>开槽锥端紧定螺钉</v>
          </cell>
          <cell r="F800" t="str">
            <v>GB71-1985</v>
          </cell>
          <cell r="G800" t="str">
            <v>M4×5</v>
          </cell>
          <cell r="H800" t="str">
            <v>A1-50</v>
          </cell>
          <cell r="I800" t="str">
            <v/>
          </cell>
          <cell r="J800" t="str">
            <v>ML1Cr18Ni9Ti</v>
          </cell>
          <cell r="K800">
            <v>200</v>
          </cell>
          <cell r="L800">
            <v>45674</v>
          </cell>
          <cell r="M800" t="str">
            <v>3-配货完成</v>
          </cell>
        </row>
        <row r="800">
          <cell r="O800">
            <v>0</v>
          </cell>
          <cell r="P800" t="str">
            <v>中航飞机起落架有限责任公司燎原分公司</v>
          </cell>
          <cell r="Q800" t="str">
            <v>20</v>
          </cell>
        </row>
        <row r="800">
          <cell r="U800" t="str">
            <v/>
          </cell>
          <cell r="V800" t="str">
            <v>QIAOXUPENG</v>
          </cell>
          <cell r="W800" t="str">
            <v/>
          </cell>
          <cell r="X800" t="str">
            <v>XH-000</v>
          </cell>
          <cell r="Y800" t="str">
            <v/>
          </cell>
          <cell r="Z800" t="str">
            <v>1915</v>
          </cell>
          <cell r="AA800" t="str">
            <v>1100138274</v>
          </cell>
          <cell r="AB800">
            <v>200</v>
          </cell>
          <cell r="AC800" t="str">
            <v/>
          </cell>
          <cell r="AD800">
            <v>3</v>
          </cell>
          <cell r="AE800" t="str">
            <v>G-100017070-241205-0024-1-H</v>
          </cell>
        </row>
        <row r="801">
          <cell r="B801" t="str">
            <v>7101020080</v>
          </cell>
          <cell r="C801" t="str">
            <v>G2509-2554</v>
          </cell>
          <cell r="D801" t="str">
            <v>000042944999004884</v>
          </cell>
          <cell r="E801" t="str">
            <v>扩口式管接头的堵盖</v>
          </cell>
          <cell r="F801" t="str">
            <v>HB4-69G-2002</v>
          </cell>
          <cell r="G801" t="str">
            <v>2-6</v>
          </cell>
          <cell r="H801" t="str">
            <v/>
          </cell>
          <cell r="I801" t="str">
            <v/>
          </cell>
          <cell r="J801" t="str">
            <v>组件(45)</v>
          </cell>
          <cell r="K801">
            <v>14</v>
          </cell>
          <cell r="L801">
            <v>45942</v>
          </cell>
          <cell r="M801" t="str">
            <v>4-检验完成</v>
          </cell>
        </row>
        <row r="801">
          <cell r="O801">
            <v>0</v>
          </cell>
          <cell r="P801" t="str">
            <v>中航飞机起落架有限责任公司燎原分公司</v>
          </cell>
          <cell r="Q801" t="str">
            <v>50</v>
          </cell>
          <cell r="R801">
            <v>45943</v>
          </cell>
        </row>
        <row r="801">
          <cell r="U801" t="str">
            <v>010000867531</v>
          </cell>
          <cell r="V801" t="str">
            <v>PANQIFANG</v>
          </cell>
          <cell r="W801" t="str">
            <v/>
          </cell>
          <cell r="X801" t="str">
            <v>CP-108-A</v>
          </cell>
          <cell r="Y801" t="str">
            <v/>
          </cell>
          <cell r="Z801" t="str">
            <v>1915</v>
          </cell>
          <cell r="AA801" t="str">
            <v>1100138275</v>
          </cell>
          <cell r="AB801">
            <v>170</v>
          </cell>
          <cell r="AC801" t="str">
            <v/>
          </cell>
          <cell r="AD801">
            <v>26</v>
          </cell>
          <cell r="AE801" t="str">
            <v>G-100017070-241205-0024-2</v>
          </cell>
        </row>
        <row r="802">
          <cell r="B802" t="str">
            <v>7101019925</v>
          </cell>
          <cell r="C802" t="str">
            <v>G2507-7521</v>
          </cell>
          <cell r="D802" t="str">
            <v>000042944281003017</v>
          </cell>
          <cell r="E802" t="str">
            <v>六角槽形螺母</v>
          </cell>
          <cell r="F802" t="str">
            <v>HB1-403-1983</v>
          </cell>
          <cell r="G802" t="str">
            <v>M14×1.5</v>
          </cell>
          <cell r="H802" t="str">
            <v>σb=980±100MPa</v>
          </cell>
          <cell r="I802" t="str">
            <v>Ep·Zn·c2C</v>
          </cell>
          <cell r="J802" t="str">
            <v>30CrMnSiA</v>
          </cell>
          <cell r="K802">
            <v>200</v>
          </cell>
          <cell r="L802">
            <v>45941</v>
          </cell>
          <cell r="M802" t="str">
            <v>3-配货完成</v>
          </cell>
        </row>
        <row r="802">
          <cell r="O802">
            <v>0</v>
          </cell>
          <cell r="P802" t="str">
            <v>中航飞机起落架有限责任公司燎原分公司</v>
          </cell>
          <cell r="Q802" t="str">
            <v>50</v>
          </cell>
        </row>
        <row r="802">
          <cell r="U802" t="str">
            <v>010000845502</v>
          </cell>
          <cell r="V802" t="str">
            <v>PANQIFANG</v>
          </cell>
          <cell r="W802" t="str">
            <v/>
          </cell>
          <cell r="X802" t="str">
            <v>CP-108-A</v>
          </cell>
          <cell r="Y802" t="str">
            <v/>
          </cell>
          <cell r="Z802" t="str">
            <v>1915</v>
          </cell>
          <cell r="AA802" t="str">
            <v>1100150119</v>
          </cell>
          <cell r="AB802">
            <v>200</v>
          </cell>
          <cell r="AC802" t="str">
            <v/>
          </cell>
          <cell r="AD802">
            <v>7</v>
          </cell>
          <cell r="AE802" t="str">
            <v>G-100017070-250714-0031</v>
          </cell>
        </row>
        <row r="803">
          <cell r="B803" t="str">
            <v>7101019052</v>
          </cell>
          <cell r="C803" t="str">
            <v>G2505-7021</v>
          </cell>
          <cell r="D803" t="str">
            <v>000042944281003106</v>
          </cell>
          <cell r="E803" t="str">
            <v>六角槽形扁螺母</v>
          </cell>
          <cell r="F803" t="str">
            <v>HB1-404-2002</v>
          </cell>
          <cell r="G803" t="str">
            <v>M8</v>
          </cell>
          <cell r="H803" t="str">
            <v>σb=900-1100MPa</v>
          </cell>
          <cell r="I803" t="str">
            <v>Ep·Zn·c2C</v>
          </cell>
          <cell r="J803" t="str">
            <v>30CrMnSiA</v>
          </cell>
          <cell r="K803">
            <v>55</v>
          </cell>
          <cell r="L803">
            <v>45939</v>
          </cell>
          <cell r="M803" t="str">
            <v>4-检验完成</v>
          </cell>
        </row>
        <row r="803">
          <cell r="O803">
            <v>0</v>
          </cell>
          <cell r="P803" t="str">
            <v>中航飞机起落架有限责任公司燎原分公司</v>
          </cell>
          <cell r="Q803" t="str">
            <v>140</v>
          </cell>
          <cell r="R803">
            <v>45941</v>
          </cell>
        </row>
        <row r="803">
          <cell r="U803" t="str">
            <v>010000826003</v>
          </cell>
          <cell r="V803" t="str">
            <v>PANQIFANG</v>
          </cell>
          <cell r="W803" t="str">
            <v/>
          </cell>
          <cell r="X803" t="str">
            <v>CP-108-A</v>
          </cell>
          <cell r="Y803" t="str">
            <v/>
          </cell>
          <cell r="Z803" t="str">
            <v>1915</v>
          </cell>
          <cell r="AA803" t="str">
            <v>1100147201</v>
          </cell>
          <cell r="AB803">
            <v>55</v>
          </cell>
          <cell r="AC803" t="str">
            <v/>
          </cell>
          <cell r="AD803">
            <v>6.5</v>
          </cell>
          <cell r="AE803" t="str">
            <v>G-100017070-250516-0014</v>
          </cell>
        </row>
        <row r="804">
          <cell r="B804" t="str">
            <v>7101018849</v>
          </cell>
          <cell r="C804" t="str">
            <v>G2506-0026</v>
          </cell>
          <cell r="D804" t="str">
            <v>000042944040002061</v>
          </cell>
          <cell r="E804" t="str">
            <v>六角头螺钉</v>
          </cell>
          <cell r="F804" t="str">
            <v>HB1-201G-1995</v>
          </cell>
          <cell r="G804" t="str">
            <v>M6×12</v>
          </cell>
          <cell r="H804" t="str">
            <v/>
          </cell>
          <cell r="I804" t="str">
            <v>Ep·Zn·c2C</v>
          </cell>
          <cell r="J804" t="str">
            <v>ML25</v>
          </cell>
          <cell r="K804">
            <v>61</v>
          </cell>
          <cell r="L804">
            <v>45939</v>
          </cell>
          <cell r="M804" t="str">
            <v>4-检验完成</v>
          </cell>
        </row>
        <row r="804">
          <cell r="O804">
            <v>0</v>
          </cell>
          <cell r="P804" t="str">
            <v>中航飞机起落架有限责任公司燎原分公司</v>
          </cell>
          <cell r="Q804" t="str">
            <v>120</v>
          </cell>
          <cell r="R804">
            <v>45940</v>
          </cell>
        </row>
        <row r="804">
          <cell r="U804" t="str">
            <v>010000829831</v>
          </cell>
          <cell r="V804" t="str">
            <v>PANQIFANG</v>
          </cell>
          <cell r="W804" t="str">
            <v/>
          </cell>
          <cell r="X804" t="str">
            <v>CP-108-A</v>
          </cell>
          <cell r="Y804" t="str">
            <v/>
          </cell>
          <cell r="Z804" t="str">
            <v>1915</v>
          </cell>
          <cell r="AA804" t="str">
            <v>1100147137</v>
          </cell>
          <cell r="AB804">
            <v>61</v>
          </cell>
          <cell r="AC804" t="str">
            <v/>
          </cell>
          <cell r="AD804">
            <v>2</v>
          </cell>
          <cell r="AE804" t="str">
            <v>G-100017070-250516-0010</v>
          </cell>
        </row>
        <row r="805">
          <cell r="B805">
            <v>7100772944</v>
          </cell>
          <cell r="C805" t="str">
            <v>G2311-0527</v>
          </cell>
          <cell r="D805">
            <v>42944401000158</v>
          </cell>
          <cell r="E805" t="str">
            <v>平垫圈</v>
          </cell>
          <cell r="F805" t="str">
            <v>GB/T97.1-2002</v>
          </cell>
          <cell r="G805">
            <v>10</v>
          </cell>
          <cell r="H805" t="str">
            <v>200HV</v>
          </cell>
          <cell r="I805" t="str">
            <v>Ep·Zn·c2C</v>
          </cell>
          <cell r="J805">
            <v>45</v>
          </cell>
          <cell r="K805">
            <v>155</v>
          </cell>
          <cell r="L805" t="str">
            <v>2024.01.04</v>
          </cell>
          <cell r="M805" t="str">
            <v>3-配货完成</v>
          </cell>
        </row>
        <row r="805">
          <cell r="P805" t="str">
            <v>重庆红宇精密工业集团有限公司</v>
          </cell>
          <cell r="Q805">
            <v>40</v>
          </cell>
        </row>
        <row r="805">
          <cell r="U805">
            <v>10000649162</v>
          </cell>
          <cell r="V805" t="str">
            <v>LIZHIFENG</v>
          </cell>
        </row>
        <row r="805">
          <cell r="X805" t="str">
            <v>CP-108-A</v>
          </cell>
        </row>
        <row r="805">
          <cell r="Z805">
            <v>1902</v>
          </cell>
          <cell r="AA805">
            <v>1100120118</v>
          </cell>
          <cell r="AB805">
            <v>300</v>
          </cell>
        </row>
        <row r="805">
          <cell r="AD805">
            <v>0.86</v>
          </cell>
          <cell r="AE805" t="str">
            <v>G1007-231016-413</v>
          </cell>
        </row>
        <row r="806">
          <cell r="B806">
            <v>7100795799</v>
          </cell>
          <cell r="C806" t="str">
            <v>G2401-0591</v>
          </cell>
          <cell r="D806">
            <v>42944288000715</v>
          </cell>
          <cell r="E806" t="str">
            <v>气密双耳托板自锁螺母</v>
          </cell>
          <cell r="F806" t="str">
            <v>GB933-1988</v>
          </cell>
          <cell r="G806" t="str">
            <v>M8</v>
          </cell>
          <cell r="H806" t="str">
            <v>30-36HRC</v>
          </cell>
          <cell r="I806" t="str">
            <v>Ep·Cd·c2C</v>
          </cell>
          <cell r="J806" t="str">
            <v>组件(螺母体ML30CrMnSiA)</v>
          </cell>
          <cell r="K806">
            <v>100</v>
          </cell>
          <cell r="L806" t="str">
            <v>2024.03.25</v>
          </cell>
          <cell r="M806" t="str">
            <v>4-检验完成</v>
          </cell>
        </row>
        <row r="806">
          <cell r="P806" t="str">
            <v>重庆红宇精密工业集团有限公司</v>
          </cell>
          <cell r="Q806">
            <v>50</v>
          </cell>
          <cell r="R806" t="str">
            <v>2024.03.26</v>
          </cell>
        </row>
        <row r="806">
          <cell r="U806">
            <v>10000665909</v>
          </cell>
          <cell r="V806" t="str">
            <v>PANMINGTAO</v>
          </cell>
        </row>
        <row r="806">
          <cell r="X806" t="str">
            <v>XC-1-1-10</v>
          </cell>
        </row>
        <row r="806">
          <cell r="Z806">
            <v>1902</v>
          </cell>
          <cell r="AA806">
            <v>1100124604</v>
          </cell>
          <cell r="AB806">
            <v>1200</v>
          </cell>
        </row>
        <row r="806">
          <cell r="AD806">
            <v>12</v>
          </cell>
          <cell r="AE806" t="str">
            <v>G1007-240201-052-1</v>
          </cell>
        </row>
        <row r="807">
          <cell r="B807">
            <v>7100804468</v>
          </cell>
          <cell r="C807" t="str">
            <v>G02404-081</v>
          </cell>
          <cell r="D807">
            <v>42944039000113</v>
          </cell>
          <cell r="E807" t="str">
            <v>锁紧型有折断槽钢丝螺套</v>
          </cell>
          <cell r="F807" t="str">
            <v>GJB5109-2002</v>
          </cell>
          <cell r="G807" t="str">
            <v>8×1.25×8</v>
          </cell>
        </row>
        <row r="807">
          <cell r="I807" t="str">
            <v>ECP</v>
          </cell>
          <cell r="J807" t="str">
            <v>1Cr18Ni9Ti</v>
          </cell>
          <cell r="K807">
            <v>2589</v>
          </cell>
          <cell r="L807" t="str">
            <v>2024.04.19</v>
          </cell>
          <cell r="M807" t="str">
            <v>3-配货完成</v>
          </cell>
        </row>
        <row r="807">
          <cell r="P807" t="str">
            <v>重庆红宇精密工业集团有限公司</v>
          </cell>
          <cell r="Q807">
            <v>10</v>
          </cell>
        </row>
        <row r="807">
          <cell r="V807" t="str">
            <v>LIZHIFENG</v>
          </cell>
        </row>
        <row r="807">
          <cell r="X807" t="str">
            <v>XH-000</v>
          </cell>
        </row>
        <row r="807">
          <cell r="Z807">
            <v>1902</v>
          </cell>
          <cell r="AA807">
            <v>1100126707</v>
          </cell>
          <cell r="AB807">
            <v>4500</v>
          </cell>
        </row>
        <row r="807">
          <cell r="AD807">
            <v>5.84</v>
          </cell>
          <cell r="AE807" t="str">
            <v>G-100015451-240328-0004</v>
          </cell>
        </row>
        <row r="808">
          <cell r="B808">
            <v>7100809901</v>
          </cell>
          <cell r="C808" t="str">
            <v>G2402-0308</v>
          </cell>
          <cell r="D808">
            <v>42944439000430</v>
          </cell>
          <cell r="E808" t="str">
            <v>小垫圈</v>
          </cell>
          <cell r="F808" t="str">
            <v>GB/T848-2002</v>
          </cell>
          <cell r="G808">
            <v>36</v>
          </cell>
          <cell r="H808" t="str">
            <v>200HV</v>
          </cell>
          <cell r="I808" t="str">
            <v>Ep·Zn·c2C</v>
          </cell>
          <cell r="J808" t="str">
            <v>45A</v>
          </cell>
          <cell r="K808">
            <v>2899</v>
          </cell>
          <cell r="L808" t="str">
            <v>2024.05.07</v>
          </cell>
          <cell r="M808" t="str">
            <v>3-配货完成</v>
          </cell>
        </row>
        <row r="808">
          <cell r="P808" t="str">
            <v>重庆红宇精密工业集团有限公司</v>
          </cell>
          <cell r="Q808">
            <v>70</v>
          </cell>
        </row>
        <row r="808">
          <cell r="U808">
            <v>10000673138</v>
          </cell>
          <cell r="V808" t="str">
            <v>PANQIFANG</v>
          </cell>
        </row>
        <row r="808">
          <cell r="X808" t="str">
            <v>CP-108-A</v>
          </cell>
        </row>
        <row r="808">
          <cell r="Z808">
            <v>1902</v>
          </cell>
          <cell r="AA808">
            <v>1100124558</v>
          </cell>
          <cell r="AB808">
            <v>3000</v>
          </cell>
        </row>
        <row r="808">
          <cell r="AD808">
            <v>3</v>
          </cell>
          <cell r="AE808" t="str">
            <v>G1007-240201-052</v>
          </cell>
        </row>
        <row r="809">
          <cell r="B809">
            <v>7100819958</v>
          </cell>
          <cell r="C809" t="str">
            <v>GW2401-012</v>
          </cell>
          <cell r="D809">
            <v>42944041123967</v>
          </cell>
          <cell r="E809" t="str">
            <v>内六角圆柱头螺钉</v>
          </cell>
          <cell r="F809" t="str">
            <v>GB/T70.1-2008(CQHY)</v>
          </cell>
          <cell r="G809" t="str">
            <v>M12×30</v>
          </cell>
          <cell r="H809">
            <v>12.9</v>
          </cell>
          <cell r="I809" t="str">
            <v>Ep·Zn·c2C</v>
          </cell>
          <cell r="J809" t="str">
            <v>40CrNiMoA</v>
          </cell>
          <cell r="K809">
            <v>296</v>
          </cell>
          <cell r="L809" t="str">
            <v>2024.06.03</v>
          </cell>
          <cell r="M809" t="str">
            <v>4-检验完成</v>
          </cell>
        </row>
        <row r="809">
          <cell r="P809" t="str">
            <v>重庆红宇精密工业集团有限公司</v>
          </cell>
          <cell r="Q809">
            <v>40</v>
          </cell>
          <cell r="R809" t="str">
            <v>2024.06.03</v>
          </cell>
        </row>
        <row r="809">
          <cell r="V809" t="str">
            <v>PANQIFANG</v>
          </cell>
        </row>
        <row r="809">
          <cell r="X809" t="str">
            <v>XH-000</v>
          </cell>
        </row>
        <row r="809">
          <cell r="Z809">
            <v>1902</v>
          </cell>
          <cell r="AA809">
            <v>1100120142</v>
          </cell>
          <cell r="AB809">
            <v>300</v>
          </cell>
        </row>
        <row r="809">
          <cell r="AD809">
            <v>28</v>
          </cell>
          <cell r="AE809" t="str">
            <v>G1007-231016-413-H</v>
          </cell>
        </row>
        <row r="810">
          <cell r="B810">
            <v>7100829822</v>
          </cell>
          <cell r="C810" t="str">
            <v>G2406-0975</v>
          </cell>
          <cell r="D810">
            <v>42944439000246</v>
          </cell>
          <cell r="E810" t="str">
            <v>小垫圈</v>
          </cell>
          <cell r="F810" t="str">
            <v>GB/T848-2002</v>
          </cell>
          <cell r="G810">
            <v>12</v>
          </cell>
          <cell r="H810" t="str">
            <v>300HV</v>
          </cell>
          <cell r="I810" t="str">
            <v>Ep·Zn·c2C</v>
          </cell>
          <cell r="J810" t="str">
            <v>30CrMnSiA</v>
          </cell>
          <cell r="K810">
            <v>500</v>
          </cell>
          <cell r="L810" t="str">
            <v>2024.06.27</v>
          </cell>
          <cell r="M810" t="str">
            <v>3-配货完成</v>
          </cell>
        </row>
        <row r="810">
          <cell r="P810" t="str">
            <v>重庆红宇精密工业集团有限公司</v>
          </cell>
          <cell r="Q810">
            <v>10</v>
          </cell>
        </row>
        <row r="810">
          <cell r="U810">
            <v>10000710732</v>
          </cell>
          <cell r="V810" t="str">
            <v>ZHANGYU</v>
          </cell>
        </row>
        <row r="810">
          <cell r="X810" t="str">
            <v>CP-108-A</v>
          </cell>
        </row>
        <row r="810">
          <cell r="Z810">
            <v>1902</v>
          </cell>
          <cell r="AA810">
            <v>1100130434</v>
          </cell>
          <cell r="AB810">
            <v>500</v>
          </cell>
        </row>
        <row r="810">
          <cell r="AD810">
            <v>1.2</v>
          </cell>
          <cell r="AE810" t="str">
            <v>G-100015451-240612-0014</v>
          </cell>
        </row>
        <row r="811">
          <cell r="B811">
            <v>7100829531</v>
          </cell>
          <cell r="C811" t="str">
            <v>G2406-0673</v>
          </cell>
          <cell r="D811">
            <v>42944041002001</v>
          </cell>
          <cell r="E811" t="str">
            <v>内六角圆柱头螺钉</v>
          </cell>
          <cell r="F811" t="str">
            <v>GB/T70.1-2008</v>
          </cell>
          <cell r="G811" t="str">
            <v>M4×10</v>
          </cell>
          <cell r="H811" t="str">
            <v>A2-70</v>
          </cell>
          <cell r="I811" t="str">
            <v>ECP</v>
          </cell>
          <cell r="J811" t="str">
            <v>ML1Cr18Ni9Ti</v>
          </cell>
          <cell r="K811">
            <v>2766</v>
          </cell>
          <cell r="L811" t="str">
            <v>2024.06.26</v>
          </cell>
          <cell r="M811" t="str">
            <v>3-配货完成</v>
          </cell>
        </row>
        <row r="811">
          <cell r="P811" t="str">
            <v>重庆红宇精密工业集团有限公司</v>
          </cell>
          <cell r="Q811">
            <v>10</v>
          </cell>
        </row>
        <row r="811">
          <cell r="U811">
            <v>10000709216</v>
          </cell>
          <cell r="V811" t="str">
            <v>LIZHIFENG</v>
          </cell>
        </row>
        <row r="811">
          <cell r="X811" t="str">
            <v>CP-108-A</v>
          </cell>
        </row>
        <row r="811">
          <cell r="Z811">
            <v>1902</v>
          </cell>
          <cell r="AA811">
            <v>1100129094</v>
          </cell>
          <cell r="AB811">
            <v>4100</v>
          </cell>
        </row>
        <row r="811">
          <cell r="AD811">
            <v>2</v>
          </cell>
          <cell r="AE811" t="str">
            <v>G-100015451-240515-0012</v>
          </cell>
        </row>
        <row r="812">
          <cell r="B812">
            <v>7100877275</v>
          </cell>
          <cell r="C812" t="str">
            <v>G2409-1747</v>
          </cell>
          <cell r="D812">
            <v>42944360141194</v>
          </cell>
          <cell r="E812" t="str">
            <v>滑块定位销</v>
          </cell>
          <cell r="F812" t="str">
            <v>2B04-1K.0-111</v>
          </cell>
          <cell r="G812" t="str">
            <v>-</v>
          </cell>
          <cell r="H812" t="str">
            <v>35-40HRC</v>
          </cell>
          <cell r="I812" t="str">
            <v>Ct·P</v>
          </cell>
          <cell r="J812" t="str">
            <v>14Cr17Ni2</v>
          </cell>
          <cell r="K812">
            <v>15</v>
          </cell>
          <cell r="L812" t="str">
            <v>2024.11.19</v>
          </cell>
          <cell r="M812" t="str">
            <v>3-配货完成</v>
          </cell>
        </row>
        <row r="812">
          <cell r="P812" t="str">
            <v>重庆红宇精密工业集团有限公司</v>
          </cell>
          <cell r="Q812">
            <v>10</v>
          </cell>
        </row>
        <row r="812">
          <cell r="U812">
            <v>10000736383</v>
          </cell>
          <cell r="V812" t="str">
            <v>HANXIAOLAN</v>
          </cell>
        </row>
        <row r="812">
          <cell r="X812" t="str">
            <v>CP-108-A</v>
          </cell>
        </row>
        <row r="812">
          <cell r="Z812">
            <v>1902</v>
          </cell>
          <cell r="AA812">
            <v>1400004438</v>
          </cell>
          <cell r="AB812">
            <v>15</v>
          </cell>
        </row>
        <row r="812">
          <cell r="AE812" t="str">
            <v>G-100015451-240906-0028</v>
          </cell>
        </row>
        <row r="813">
          <cell r="B813" t="str">
            <v>7100894937</v>
          </cell>
          <cell r="C813" t="str">
            <v>G2208-1653</v>
          </cell>
          <cell r="D813" t="str">
            <v>000042944044018456</v>
          </cell>
          <cell r="E813" t="str">
            <v>十字槽沉头螺钉</v>
          </cell>
          <cell r="F813" t="str">
            <v>GB/T819.2-2016</v>
          </cell>
          <cell r="G813" t="str">
            <v>M4×8</v>
          </cell>
          <cell r="H813" t="str">
            <v>A2-70</v>
          </cell>
          <cell r="I813" t="str">
            <v>ECP</v>
          </cell>
          <cell r="J813" t="str">
            <v>ML1Cr18Ni9Ti</v>
          </cell>
          <cell r="K813">
            <v>167</v>
          </cell>
          <cell r="L813">
            <v>45663</v>
          </cell>
          <cell r="M813" t="str">
            <v>1-已打印</v>
          </cell>
        </row>
        <row r="813">
          <cell r="O813">
            <v>0</v>
          </cell>
          <cell r="P813" t="str">
            <v>重庆红宇精密工业集团有限公司</v>
          </cell>
          <cell r="Q813" t="str">
            <v>60</v>
          </cell>
        </row>
        <row r="813">
          <cell r="U813" t="str">
            <v>010000521385</v>
          </cell>
          <cell r="V813" t="str">
            <v/>
          </cell>
          <cell r="W813" t="str">
            <v/>
          </cell>
          <cell r="X813" t="str">
            <v>CP-22-1-1-7</v>
          </cell>
          <cell r="Y813" t="str">
            <v/>
          </cell>
          <cell r="Z813" t="str">
            <v>1902</v>
          </cell>
          <cell r="AA813" t="str">
            <v>1100139595</v>
          </cell>
          <cell r="AB813">
            <v>22800</v>
          </cell>
          <cell r="AC813" t="str">
            <v/>
          </cell>
          <cell r="AD813">
            <v>0.57</v>
          </cell>
          <cell r="AE813" t="str">
            <v>G-100015451-250102-0001</v>
          </cell>
        </row>
        <row r="814">
          <cell r="B814" t="str">
            <v>7100894937</v>
          </cell>
          <cell r="C814" t="str">
            <v>G2205-9011</v>
          </cell>
          <cell r="D814" t="str">
            <v>000042944044018456</v>
          </cell>
          <cell r="E814" t="str">
            <v>十字槽沉头螺钉</v>
          </cell>
          <cell r="F814" t="str">
            <v>GB/T819.2-2016</v>
          </cell>
          <cell r="G814" t="str">
            <v>M4×8</v>
          </cell>
          <cell r="H814" t="str">
            <v>A2-70</v>
          </cell>
          <cell r="I814" t="str">
            <v>ECP</v>
          </cell>
          <cell r="J814" t="str">
            <v>ML1Cr18Ni9Ti</v>
          </cell>
          <cell r="K814">
            <v>3000</v>
          </cell>
          <cell r="L814">
            <v>45663</v>
          </cell>
          <cell r="M814" t="str">
            <v>1-已打印</v>
          </cell>
        </row>
        <row r="814">
          <cell r="O814">
            <v>0</v>
          </cell>
          <cell r="P814" t="str">
            <v>重庆红宇精密工业集团有限公司</v>
          </cell>
          <cell r="Q814" t="str">
            <v>60</v>
          </cell>
        </row>
        <row r="814">
          <cell r="U814" t="str">
            <v>010000489200</v>
          </cell>
          <cell r="V814" t="str">
            <v/>
          </cell>
          <cell r="W814" t="str">
            <v/>
          </cell>
          <cell r="X814" t="str">
            <v>XH-000</v>
          </cell>
          <cell r="Y814" t="str">
            <v/>
          </cell>
          <cell r="Z814" t="str">
            <v>1902</v>
          </cell>
          <cell r="AA814" t="str">
            <v>1100139595</v>
          </cell>
          <cell r="AB814">
            <v>22800</v>
          </cell>
          <cell r="AC814" t="str">
            <v/>
          </cell>
          <cell r="AD814">
            <v>0.57</v>
          </cell>
          <cell r="AE814" t="str">
            <v>G-100015451-250102-0001</v>
          </cell>
        </row>
        <row r="815">
          <cell r="B815" t="str">
            <v>7100894931</v>
          </cell>
          <cell r="C815" t="str">
            <v>G2211-6100</v>
          </cell>
          <cell r="D815" t="str">
            <v>000042944044079364</v>
          </cell>
          <cell r="E815" t="str">
            <v>十字槽沉头螺钉</v>
          </cell>
          <cell r="F815" t="str">
            <v>GB/T819.2-2016</v>
          </cell>
          <cell r="G815" t="str">
            <v>M6×10</v>
          </cell>
          <cell r="H815" t="str">
            <v>A2-70</v>
          </cell>
          <cell r="I815" t="str">
            <v>ECP</v>
          </cell>
          <cell r="J815" t="str">
            <v>1Cr18Ni9Ti</v>
          </cell>
          <cell r="K815">
            <v>164</v>
          </cell>
          <cell r="L815">
            <v>45663</v>
          </cell>
          <cell r="M815" t="str">
            <v>1-已打印</v>
          </cell>
        </row>
        <row r="815">
          <cell r="O815">
            <v>0</v>
          </cell>
          <cell r="P815" t="str">
            <v>重庆红宇精密工业集团有限公司</v>
          </cell>
          <cell r="Q815" t="str">
            <v>50</v>
          </cell>
        </row>
        <row r="815">
          <cell r="U815" t="str">
            <v/>
          </cell>
          <cell r="V815" t="str">
            <v/>
          </cell>
          <cell r="W815" t="str">
            <v/>
          </cell>
          <cell r="X815" t="str">
            <v>XH-000</v>
          </cell>
          <cell r="Y815" t="str">
            <v/>
          </cell>
          <cell r="Z815" t="str">
            <v>1902</v>
          </cell>
          <cell r="AA815" t="str">
            <v>1100139595</v>
          </cell>
          <cell r="AB815">
            <v>3200</v>
          </cell>
          <cell r="AC815" t="str">
            <v/>
          </cell>
          <cell r="AD815">
            <v>0.57</v>
          </cell>
          <cell r="AE815" t="str">
            <v>G-100015451-250102-0001</v>
          </cell>
        </row>
        <row r="816">
          <cell r="B816" t="str">
            <v>7100894931</v>
          </cell>
          <cell r="C816" t="str">
            <v>G2204-6066</v>
          </cell>
          <cell r="D816" t="str">
            <v>000042944044079364</v>
          </cell>
          <cell r="E816" t="str">
            <v>十字槽沉头螺钉</v>
          </cell>
          <cell r="F816" t="str">
            <v>GB/T819.2-2016</v>
          </cell>
          <cell r="G816" t="str">
            <v>M6×10</v>
          </cell>
          <cell r="H816" t="str">
            <v>A2-70</v>
          </cell>
          <cell r="I816" t="str">
            <v>ECP</v>
          </cell>
          <cell r="J816" t="str">
            <v>1Cr18Ni9Ti</v>
          </cell>
          <cell r="K816">
            <v>40</v>
          </cell>
          <cell r="L816">
            <v>45663</v>
          </cell>
          <cell r="M816" t="str">
            <v>1-已打印</v>
          </cell>
        </row>
        <row r="816">
          <cell r="O816">
            <v>0</v>
          </cell>
          <cell r="P816" t="str">
            <v>重庆红宇精密工业集团有限公司</v>
          </cell>
          <cell r="Q816" t="str">
            <v>50</v>
          </cell>
        </row>
        <row r="816">
          <cell r="U816" t="str">
            <v/>
          </cell>
          <cell r="V816" t="str">
            <v/>
          </cell>
          <cell r="W816" t="str">
            <v/>
          </cell>
          <cell r="X816" t="str">
            <v>XH-000</v>
          </cell>
          <cell r="Y816" t="str">
            <v/>
          </cell>
          <cell r="Z816" t="str">
            <v>1902</v>
          </cell>
          <cell r="AA816" t="str">
            <v>1100139595</v>
          </cell>
          <cell r="AB816">
            <v>3200</v>
          </cell>
          <cell r="AC816" t="str">
            <v/>
          </cell>
          <cell r="AD816">
            <v>0.57</v>
          </cell>
          <cell r="AE816" t="str">
            <v>G-100015451-250102-0001</v>
          </cell>
        </row>
        <row r="817">
          <cell r="B817" t="str">
            <v>7100894931</v>
          </cell>
          <cell r="C817" t="str">
            <v>G2404-6003</v>
          </cell>
          <cell r="D817" t="str">
            <v>000042944044079364</v>
          </cell>
          <cell r="E817" t="str">
            <v>十字槽沉头螺钉</v>
          </cell>
          <cell r="F817" t="str">
            <v>GB/T819.2-2016</v>
          </cell>
          <cell r="G817" t="str">
            <v>M6×10</v>
          </cell>
          <cell r="H817" t="str">
            <v>A2-70</v>
          </cell>
          <cell r="I817" t="str">
            <v>ECP</v>
          </cell>
          <cell r="J817" t="str">
            <v>1Cr18Ni9Ti</v>
          </cell>
          <cell r="K817">
            <v>70</v>
          </cell>
          <cell r="L817">
            <v>45663</v>
          </cell>
          <cell r="M817" t="str">
            <v>1-已打印</v>
          </cell>
        </row>
        <row r="817">
          <cell r="O817">
            <v>0</v>
          </cell>
          <cell r="P817" t="str">
            <v>重庆红宇精密工业集团有限公司</v>
          </cell>
          <cell r="Q817" t="str">
            <v>50</v>
          </cell>
        </row>
        <row r="817">
          <cell r="U817" t="str">
            <v>010000695222</v>
          </cell>
          <cell r="V817" t="str">
            <v/>
          </cell>
          <cell r="W817" t="str">
            <v/>
          </cell>
          <cell r="X817" t="str">
            <v>CP-108-A</v>
          </cell>
          <cell r="Y817" t="str">
            <v/>
          </cell>
          <cell r="Z817" t="str">
            <v>1902</v>
          </cell>
          <cell r="AA817" t="str">
            <v>1100139595</v>
          </cell>
          <cell r="AB817">
            <v>3200</v>
          </cell>
          <cell r="AC817" t="str">
            <v/>
          </cell>
          <cell r="AD817">
            <v>0.57</v>
          </cell>
          <cell r="AE817" t="str">
            <v>G-100015451-250102-0001</v>
          </cell>
        </row>
        <row r="818">
          <cell r="B818">
            <v>7100896472</v>
          </cell>
          <cell r="C818" t="str">
            <v>G2412-9027</v>
          </cell>
          <cell r="D818">
            <v>42944044144773</v>
          </cell>
          <cell r="E818" t="str">
            <v>十字槽沉头螺钉</v>
          </cell>
          <cell r="F818" t="str">
            <v>GB/T819.1-2016</v>
          </cell>
          <cell r="G818" t="str">
            <v>M6×10</v>
          </cell>
          <cell r="H818">
            <v>4.8</v>
          </cell>
          <cell r="I818" t="str">
            <v>Ep·Zn-Ni·c2C</v>
          </cell>
          <cell r="J818" t="str">
            <v>ML25</v>
          </cell>
          <cell r="K818">
            <v>600</v>
          </cell>
          <cell r="L818" t="str">
            <v>2025.01.10</v>
          </cell>
          <cell r="M818" t="str">
            <v>6-过账完成</v>
          </cell>
        </row>
        <row r="818">
          <cell r="P818" t="str">
            <v>重庆红宇精密工业集团有限公司</v>
          </cell>
          <cell r="Q818">
            <v>10</v>
          </cell>
          <cell r="R818" t="str">
            <v>2025.01.10</v>
          </cell>
          <cell r="S818" t="str">
            <v>2025.01.12</v>
          </cell>
          <cell r="T818" t="str">
            <v>2025.01.12</v>
          </cell>
          <cell r="U818">
            <v>10000762336</v>
          </cell>
          <cell r="V818" t="str">
            <v>LIZHIFENG</v>
          </cell>
        </row>
        <row r="818">
          <cell r="X818" t="str">
            <v>CP-108-A</v>
          </cell>
          <cell r="Y818" t="str">
            <v>XIEYI</v>
          </cell>
          <cell r="Z818">
            <v>1902</v>
          </cell>
          <cell r="AA818">
            <v>1100138475</v>
          </cell>
          <cell r="AB818">
            <v>600</v>
          </cell>
        </row>
        <row r="818">
          <cell r="AD818">
            <v>1.13</v>
          </cell>
          <cell r="AE818" t="str">
            <v>G-100015451-241206-0049</v>
          </cell>
        </row>
        <row r="819">
          <cell r="B819">
            <v>7100896184</v>
          </cell>
          <cell r="C819" t="str">
            <v>G02412-043</v>
          </cell>
          <cell r="D819">
            <v>42944402000281</v>
          </cell>
          <cell r="E819" t="str">
            <v>标准型弹簧垫圈</v>
          </cell>
          <cell r="F819" t="str">
            <v>GB93-1987</v>
          </cell>
          <cell r="G819">
            <v>6</v>
          </cell>
          <cell r="H819" t="str">
            <v>42-50HRC</v>
          </cell>
          <cell r="I819" t="str">
            <v>Ep·Zn-Ni·c2C</v>
          </cell>
          <cell r="J819" t="str">
            <v>65Mn</v>
          </cell>
          <cell r="K819">
            <v>3000</v>
          </cell>
          <cell r="L819" t="str">
            <v>2025.01.09</v>
          </cell>
          <cell r="M819" t="str">
            <v>6-过账完成</v>
          </cell>
        </row>
        <row r="819">
          <cell r="P819" t="str">
            <v>重庆红宇精密工业集团有限公司</v>
          </cell>
          <cell r="Q819">
            <v>50</v>
          </cell>
          <cell r="R819" t="str">
            <v>2025.01.12</v>
          </cell>
          <cell r="S819" t="str">
            <v>2025.01.12</v>
          </cell>
          <cell r="T819" t="str">
            <v>2025.01.12</v>
          </cell>
        </row>
        <row r="819">
          <cell r="V819" t="str">
            <v>HANXIAOLAN</v>
          </cell>
        </row>
        <row r="819">
          <cell r="X819" t="str">
            <v>XH-000</v>
          </cell>
          <cell r="Y819" t="str">
            <v>XIEYI</v>
          </cell>
          <cell r="Z819">
            <v>1902</v>
          </cell>
          <cell r="AA819">
            <v>1100138437</v>
          </cell>
          <cell r="AB819">
            <v>3000</v>
          </cell>
        </row>
        <row r="819">
          <cell r="AD819">
            <v>1.24</v>
          </cell>
          <cell r="AE819" t="str">
            <v>G-100015451-241206-0048</v>
          </cell>
        </row>
        <row r="820">
          <cell r="B820" t="str">
            <v>7100898145</v>
          </cell>
          <cell r="C820" t="str">
            <v>G2412-1465</v>
          </cell>
          <cell r="D820" t="str">
            <v>000042944044002174</v>
          </cell>
          <cell r="E820" t="str">
            <v>十字槽沉头螺钉</v>
          </cell>
          <cell r="F820" t="str">
            <v>GB/T819.1-2016</v>
          </cell>
          <cell r="G820" t="str">
            <v>M3×16</v>
          </cell>
          <cell r="H820" t="str">
            <v>5.8</v>
          </cell>
          <cell r="I820" t="str">
            <v>Ep·Zn·c2C</v>
          </cell>
          <cell r="J820" t="str">
            <v>ML25</v>
          </cell>
          <cell r="K820">
            <v>102</v>
          </cell>
          <cell r="L820">
            <v>45671</v>
          </cell>
          <cell r="M820" t="str">
            <v>3-配货完成</v>
          </cell>
        </row>
        <row r="820">
          <cell r="O820">
            <v>0</v>
          </cell>
          <cell r="P820" t="str">
            <v>重庆红宇精密工业集团有限公司</v>
          </cell>
          <cell r="Q820" t="str">
            <v>10</v>
          </cell>
        </row>
        <row r="820">
          <cell r="U820" t="str">
            <v>010000760692</v>
          </cell>
          <cell r="V820" t="str">
            <v>HANXIAOLAN</v>
          </cell>
          <cell r="W820" t="str">
            <v/>
          </cell>
          <cell r="X820" t="str">
            <v>CP-108-A</v>
          </cell>
          <cell r="Y820" t="str">
            <v/>
          </cell>
          <cell r="Z820" t="str">
            <v>1902</v>
          </cell>
          <cell r="AA820" t="str">
            <v>1100138249</v>
          </cell>
          <cell r="AB820">
            <v>102</v>
          </cell>
          <cell r="AC820" t="str">
            <v/>
          </cell>
          <cell r="AD820">
            <v>0.68</v>
          </cell>
          <cell r="AE820" t="str">
            <v>G-100015451-241204-0046</v>
          </cell>
        </row>
        <row r="821">
          <cell r="B821" t="str">
            <v>7100895304</v>
          </cell>
          <cell r="C821" t="str">
            <v>G02202-296</v>
          </cell>
          <cell r="D821" t="str">
            <v>000042944041041318</v>
          </cell>
          <cell r="E821" t="str">
            <v>十字槽沉头螺钉</v>
          </cell>
          <cell r="F821" t="str">
            <v>GB/T819.2-2016</v>
          </cell>
          <cell r="G821" t="str">
            <v>M2×5</v>
          </cell>
          <cell r="H821" t="str">
            <v>A2-70</v>
          </cell>
          <cell r="I821" t="str">
            <v>ECP</v>
          </cell>
          <cell r="J821" t="str">
            <v>1Cr18Ni9Ti</v>
          </cell>
          <cell r="K821">
            <v>4000</v>
          </cell>
          <cell r="L821">
            <v>45664</v>
          </cell>
          <cell r="M821" t="str">
            <v>4-检验完成</v>
          </cell>
        </row>
        <row r="821">
          <cell r="O821">
            <v>0</v>
          </cell>
          <cell r="P821" t="str">
            <v>重庆红宇精密工业集团有限公司</v>
          </cell>
          <cell r="Q821" t="str">
            <v>20</v>
          </cell>
          <cell r="R821">
            <v>45666</v>
          </cell>
        </row>
        <row r="821">
          <cell r="U821" t="str">
            <v/>
          </cell>
          <cell r="V821" t="str">
            <v>PANQIFANG</v>
          </cell>
          <cell r="W821" t="str">
            <v/>
          </cell>
          <cell r="X821" t="str">
            <v>BK-5-1-4</v>
          </cell>
          <cell r="Y821" t="str">
            <v/>
          </cell>
          <cell r="Z821" t="str">
            <v>1902</v>
          </cell>
          <cell r="AA821" t="str">
            <v>1100139595</v>
          </cell>
          <cell r="AB821">
            <v>4000</v>
          </cell>
          <cell r="AC821" t="str">
            <v/>
          </cell>
          <cell r="AD821">
            <v>0.57</v>
          </cell>
          <cell r="AE821" t="str">
            <v>G-100015451-250102-0001</v>
          </cell>
        </row>
        <row r="822">
          <cell r="B822" t="str">
            <v>7100894937</v>
          </cell>
          <cell r="C822" t="str">
            <v>G2205-9011</v>
          </cell>
          <cell r="D822" t="str">
            <v>000042944044018456</v>
          </cell>
          <cell r="E822" t="str">
            <v>十字槽沉头螺钉</v>
          </cell>
          <cell r="F822" t="str">
            <v>GB/T819.2-2016</v>
          </cell>
          <cell r="G822" t="str">
            <v>M4×8</v>
          </cell>
          <cell r="H822" t="str">
            <v>A2-70</v>
          </cell>
          <cell r="I822" t="str">
            <v>ECP</v>
          </cell>
          <cell r="J822" t="str">
            <v>ML1Cr18Ni9Ti</v>
          </cell>
          <cell r="K822">
            <v>3000</v>
          </cell>
          <cell r="L822">
            <v>45663</v>
          </cell>
          <cell r="M822" t="str">
            <v>4-检验完成</v>
          </cell>
        </row>
        <row r="822">
          <cell r="O822">
            <v>0</v>
          </cell>
          <cell r="P822" t="str">
            <v>重庆红宇精密工业集团有限公司</v>
          </cell>
          <cell r="Q822" t="str">
            <v>60</v>
          </cell>
          <cell r="R822">
            <v>45672</v>
          </cell>
        </row>
        <row r="822">
          <cell r="U822" t="str">
            <v>010000489200</v>
          </cell>
          <cell r="V822" t="str">
            <v>LIZHIFENG</v>
          </cell>
          <cell r="W822" t="str">
            <v/>
          </cell>
          <cell r="X822" t="str">
            <v>XH-000</v>
          </cell>
          <cell r="Y822" t="str">
            <v/>
          </cell>
          <cell r="Z822" t="str">
            <v>1902</v>
          </cell>
          <cell r="AA822" t="str">
            <v>1100139595</v>
          </cell>
          <cell r="AB822">
            <v>22800</v>
          </cell>
          <cell r="AC822" t="str">
            <v/>
          </cell>
          <cell r="AD822">
            <v>0.57</v>
          </cell>
          <cell r="AE822" t="str">
            <v>G-100015451-250102-0001</v>
          </cell>
        </row>
        <row r="823">
          <cell r="B823" t="str">
            <v>7100894937</v>
          </cell>
          <cell r="C823" t="str">
            <v>G2208-1653</v>
          </cell>
          <cell r="D823" t="str">
            <v>000042944044018456</v>
          </cell>
          <cell r="E823" t="str">
            <v>十字槽沉头螺钉</v>
          </cell>
          <cell r="F823" t="str">
            <v>GB/T819.2-2016</v>
          </cell>
          <cell r="G823" t="str">
            <v>M4×8</v>
          </cell>
          <cell r="H823" t="str">
            <v>A2-70</v>
          </cell>
          <cell r="I823" t="str">
            <v>ECP</v>
          </cell>
          <cell r="J823" t="str">
            <v>ML1Cr18Ni9Ti</v>
          </cell>
          <cell r="K823">
            <v>167</v>
          </cell>
          <cell r="L823">
            <v>45663</v>
          </cell>
          <cell r="M823" t="str">
            <v>4-检验完成</v>
          </cell>
        </row>
        <row r="823">
          <cell r="O823">
            <v>0</v>
          </cell>
          <cell r="P823" t="str">
            <v>重庆红宇精密工业集团有限公司</v>
          </cell>
          <cell r="Q823" t="str">
            <v>60</v>
          </cell>
          <cell r="R823">
            <v>45672</v>
          </cell>
        </row>
        <row r="823">
          <cell r="U823" t="str">
            <v>010000521385</v>
          </cell>
          <cell r="V823" t="str">
            <v>LIZHIFENG</v>
          </cell>
          <cell r="W823" t="str">
            <v/>
          </cell>
          <cell r="X823" t="str">
            <v>CP-22-1-1-7</v>
          </cell>
          <cell r="Y823" t="str">
            <v/>
          </cell>
          <cell r="Z823" t="str">
            <v>1902</v>
          </cell>
          <cell r="AA823" t="str">
            <v>1100139595</v>
          </cell>
          <cell r="AB823">
            <v>22800</v>
          </cell>
          <cell r="AC823" t="str">
            <v/>
          </cell>
          <cell r="AD823">
            <v>0.57</v>
          </cell>
          <cell r="AE823" t="str">
            <v>G-100015451-250102-0001</v>
          </cell>
        </row>
        <row r="824">
          <cell r="B824" t="str">
            <v>7100894931</v>
          </cell>
          <cell r="C824" t="str">
            <v>G2204-6066</v>
          </cell>
          <cell r="D824" t="str">
            <v>000042944044079364</v>
          </cell>
          <cell r="E824" t="str">
            <v>十字槽沉头螺钉</v>
          </cell>
          <cell r="F824" t="str">
            <v>GB/T819.2-2016</v>
          </cell>
          <cell r="G824" t="str">
            <v>M6×10</v>
          </cell>
          <cell r="H824" t="str">
            <v>A2-70</v>
          </cell>
          <cell r="I824" t="str">
            <v>ECP</v>
          </cell>
          <cell r="J824" t="str">
            <v>1Cr18Ni9Ti</v>
          </cell>
          <cell r="K824">
            <v>40</v>
          </cell>
          <cell r="L824">
            <v>45663</v>
          </cell>
          <cell r="M824" t="str">
            <v>4-检验完成</v>
          </cell>
        </row>
        <row r="824">
          <cell r="O824">
            <v>0</v>
          </cell>
          <cell r="P824" t="str">
            <v>重庆红宇精密工业集团有限公司</v>
          </cell>
          <cell r="Q824" t="str">
            <v>50</v>
          </cell>
          <cell r="R824">
            <v>45666</v>
          </cell>
        </row>
        <row r="824">
          <cell r="U824" t="str">
            <v/>
          </cell>
          <cell r="V824" t="str">
            <v>HANXIAOLAN</v>
          </cell>
          <cell r="W824" t="str">
            <v/>
          </cell>
          <cell r="X824" t="str">
            <v>XH-000</v>
          </cell>
          <cell r="Y824" t="str">
            <v/>
          </cell>
          <cell r="Z824" t="str">
            <v>1902</v>
          </cell>
          <cell r="AA824" t="str">
            <v>1100139595</v>
          </cell>
          <cell r="AB824">
            <v>3200</v>
          </cell>
          <cell r="AC824" t="str">
            <v/>
          </cell>
          <cell r="AD824">
            <v>0.57</v>
          </cell>
          <cell r="AE824" t="str">
            <v>G-100015451-250102-0001</v>
          </cell>
        </row>
        <row r="825">
          <cell r="B825" t="str">
            <v>7100894931</v>
          </cell>
          <cell r="C825" t="str">
            <v>G2211-6100</v>
          </cell>
          <cell r="D825" t="str">
            <v>000042944044079364</v>
          </cell>
          <cell r="E825" t="str">
            <v>十字槽沉头螺钉</v>
          </cell>
          <cell r="F825" t="str">
            <v>GB/T819.2-2016</v>
          </cell>
          <cell r="G825" t="str">
            <v>M6×10</v>
          </cell>
          <cell r="H825" t="str">
            <v>A2-70</v>
          </cell>
          <cell r="I825" t="str">
            <v>ECP</v>
          </cell>
          <cell r="J825" t="str">
            <v>1Cr18Ni9Ti</v>
          </cell>
          <cell r="K825">
            <v>164</v>
          </cell>
          <cell r="L825">
            <v>45663</v>
          </cell>
          <cell r="M825" t="str">
            <v>4-检验完成</v>
          </cell>
        </row>
        <row r="825">
          <cell r="O825">
            <v>0</v>
          </cell>
          <cell r="P825" t="str">
            <v>重庆红宇精密工业集团有限公司</v>
          </cell>
          <cell r="Q825" t="str">
            <v>50</v>
          </cell>
          <cell r="R825">
            <v>45666</v>
          </cell>
        </row>
        <row r="825">
          <cell r="U825" t="str">
            <v/>
          </cell>
          <cell r="V825" t="str">
            <v>HANXIAOLAN</v>
          </cell>
          <cell r="W825" t="str">
            <v/>
          </cell>
          <cell r="X825" t="str">
            <v>XH-000</v>
          </cell>
          <cell r="Y825" t="str">
            <v/>
          </cell>
          <cell r="Z825" t="str">
            <v>1902</v>
          </cell>
          <cell r="AA825" t="str">
            <v>1100139595</v>
          </cell>
          <cell r="AB825">
            <v>3200</v>
          </cell>
          <cell r="AC825" t="str">
            <v/>
          </cell>
          <cell r="AD825">
            <v>0.57</v>
          </cell>
          <cell r="AE825" t="str">
            <v>G-100015451-250102-0001</v>
          </cell>
        </row>
        <row r="826">
          <cell r="B826" t="str">
            <v>7100894931</v>
          </cell>
          <cell r="C826" t="str">
            <v>G2404-6003</v>
          </cell>
          <cell r="D826" t="str">
            <v>000042944044079364</v>
          </cell>
          <cell r="E826" t="str">
            <v>十字槽沉头螺钉</v>
          </cell>
          <cell r="F826" t="str">
            <v>GB/T819.2-2016</v>
          </cell>
          <cell r="G826" t="str">
            <v>M6×10</v>
          </cell>
          <cell r="H826" t="str">
            <v>A2-70</v>
          </cell>
          <cell r="I826" t="str">
            <v>ECP</v>
          </cell>
          <cell r="J826" t="str">
            <v>1Cr18Ni9Ti</v>
          </cell>
          <cell r="K826">
            <v>70</v>
          </cell>
          <cell r="L826">
            <v>45663</v>
          </cell>
          <cell r="M826" t="str">
            <v>4-检验完成</v>
          </cell>
        </row>
        <row r="826">
          <cell r="O826">
            <v>0</v>
          </cell>
          <cell r="P826" t="str">
            <v>重庆红宇精密工业集团有限公司</v>
          </cell>
          <cell r="Q826" t="str">
            <v>50</v>
          </cell>
          <cell r="R826">
            <v>45666</v>
          </cell>
        </row>
        <row r="826">
          <cell r="U826" t="str">
            <v>010000695222</v>
          </cell>
          <cell r="V826" t="str">
            <v>HANXIAOLAN</v>
          </cell>
          <cell r="W826" t="str">
            <v/>
          </cell>
          <cell r="X826" t="str">
            <v>CP-108-A</v>
          </cell>
          <cell r="Y826" t="str">
            <v/>
          </cell>
          <cell r="Z826" t="str">
            <v>1902</v>
          </cell>
          <cell r="AA826" t="str">
            <v>1100139595</v>
          </cell>
          <cell r="AB826">
            <v>3200</v>
          </cell>
          <cell r="AC826" t="str">
            <v/>
          </cell>
          <cell r="AD826">
            <v>0.57</v>
          </cell>
          <cell r="AE826" t="str">
            <v>G-100015451-250102-0001</v>
          </cell>
        </row>
        <row r="827">
          <cell r="B827" t="str">
            <v>7100900472</v>
          </cell>
          <cell r="C827" t="str">
            <v>G2411-0935</v>
          </cell>
          <cell r="D827" t="str">
            <v>000042944000003913</v>
          </cell>
          <cell r="E827" t="str">
            <v>通用卡箍-双面固定卡箍</v>
          </cell>
          <cell r="F827" t="str">
            <v>QJ177.12A-1995</v>
          </cell>
          <cell r="G827" t="str">
            <v>1</v>
          </cell>
          <cell r="H827" t="str">
            <v>σb≥400MPa</v>
          </cell>
          <cell r="I827" t="str">
            <v>Et·A(S)·Cs</v>
          </cell>
          <cell r="J827" t="str">
            <v>LY12</v>
          </cell>
          <cell r="K827">
            <v>357</v>
          </cell>
          <cell r="L827">
            <v>45677</v>
          </cell>
          <cell r="M827" t="str">
            <v>3-配货完成</v>
          </cell>
        </row>
        <row r="827">
          <cell r="O827">
            <v>0</v>
          </cell>
          <cell r="P827" t="str">
            <v>重庆红宇精密工业集团有限公司</v>
          </cell>
          <cell r="Q827" t="str">
            <v>20</v>
          </cell>
        </row>
        <row r="827">
          <cell r="U827" t="str">
            <v>010000750398</v>
          </cell>
          <cell r="V827" t="str">
            <v>LIZHIFENG</v>
          </cell>
          <cell r="W827" t="str">
            <v/>
          </cell>
          <cell r="X827" t="str">
            <v>CP-108-A</v>
          </cell>
          <cell r="Y827" t="str">
            <v/>
          </cell>
          <cell r="Z827" t="str">
            <v>1902</v>
          </cell>
          <cell r="AA827" t="str">
            <v>1100136806</v>
          </cell>
          <cell r="AB827">
            <v>400</v>
          </cell>
          <cell r="AC827" t="str">
            <v/>
          </cell>
          <cell r="AD827">
            <v>8.5</v>
          </cell>
          <cell r="AE827" t="str">
            <v>G-100015451-241107-0043</v>
          </cell>
        </row>
        <row r="828">
          <cell r="B828" t="str">
            <v>7100900469</v>
          </cell>
          <cell r="C828" t="str">
            <v>G2412-9020</v>
          </cell>
          <cell r="D828" t="str">
            <v>000042944041134070</v>
          </cell>
          <cell r="E828" t="str">
            <v>内六角圆柱头螺钉</v>
          </cell>
          <cell r="F828" t="str">
            <v>GB/T70.1-2008(CQHY)</v>
          </cell>
          <cell r="G828" t="str">
            <v>M6×30</v>
          </cell>
          <cell r="H828" t="str">
            <v>10.9</v>
          </cell>
          <cell r="I828" t="str">
            <v>Ep·Zn-Ni·c2C</v>
          </cell>
          <cell r="J828" t="str">
            <v>ML30CrMnSiA</v>
          </cell>
          <cell r="K828">
            <v>358</v>
          </cell>
          <cell r="L828">
            <v>45677</v>
          </cell>
          <cell r="M828" t="str">
            <v>1-已打印</v>
          </cell>
        </row>
        <row r="828">
          <cell r="O828">
            <v>0</v>
          </cell>
          <cell r="P828" t="str">
            <v>重庆红宇精密工业集团有限公司</v>
          </cell>
          <cell r="Q828" t="str">
            <v>40</v>
          </cell>
        </row>
        <row r="828">
          <cell r="U828" t="str">
            <v>010000761100</v>
          </cell>
          <cell r="V828" t="str">
            <v/>
          </cell>
          <cell r="W828" t="str">
            <v/>
          </cell>
          <cell r="X828" t="str">
            <v>CP-108-A</v>
          </cell>
          <cell r="Y828" t="str">
            <v/>
          </cell>
          <cell r="Z828" t="str">
            <v>1902</v>
          </cell>
          <cell r="AA828" t="str">
            <v>1100138437</v>
          </cell>
          <cell r="AB828">
            <v>500</v>
          </cell>
          <cell r="AC828" t="str">
            <v/>
          </cell>
          <cell r="AD828">
            <v>2.6</v>
          </cell>
          <cell r="AE828" t="str">
            <v>G-100015451-241206-0048</v>
          </cell>
        </row>
        <row r="829">
          <cell r="B829" t="str">
            <v>7100900361</v>
          </cell>
          <cell r="C829" t="str">
            <v>G2412-9034</v>
          </cell>
          <cell r="D829" t="str">
            <v>000042944044079997</v>
          </cell>
          <cell r="E829" t="str">
            <v>十字槽沉头螺钉</v>
          </cell>
          <cell r="F829" t="str">
            <v>GB/T819.2-2016</v>
          </cell>
          <cell r="G829" t="str">
            <v>M5×10</v>
          </cell>
          <cell r="H829" t="str">
            <v>A2-70</v>
          </cell>
          <cell r="I829" t="str">
            <v>ECP</v>
          </cell>
          <cell r="J829" t="str">
            <v>ML1Cr18Ni9Ti</v>
          </cell>
          <cell r="K829">
            <v>332</v>
          </cell>
          <cell r="L829">
            <v>45677</v>
          </cell>
          <cell r="M829" t="str">
            <v>1-已打印</v>
          </cell>
        </row>
        <row r="829">
          <cell r="O829">
            <v>0</v>
          </cell>
          <cell r="P829" t="str">
            <v>重庆红宇精密工业集团有限公司</v>
          </cell>
          <cell r="Q829" t="str">
            <v>20</v>
          </cell>
        </row>
        <row r="829">
          <cell r="U829" t="str">
            <v>010000766585</v>
          </cell>
          <cell r="V829" t="str">
            <v/>
          </cell>
          <cell r="W829" t="str">
            <v/>
          </cell>
          <cell r="X829" t="str">
            <v>CP-108-A</v>
          </cell>
          <cell r="Y829" t="str">
            <v/>
          </cell>
          <cell r="Z829" t="str">
            <v>1902</v>
          </cell>
          <cell r="AA829" t="str">
            <v>1100137282</v>
          </cell>
          <cell r="AB829">
            <v>3600</v>
          </cell>
          <cell r="AC829" t="str">
            <v/>
          </cell>
          <cell r="AD829">
            <v>0.73</v>
          </cell>
          <cell r="AE829" t="str">
            <v>G-100015451-241115-0044</v>
          </cell>
        </row>
        <row r="830">
          <cell r="B830" t="str">
            <v>7100901019</v>
          </cell>
          <cell r="C830" t="str">
            <v>G2412-1699</v>
          </cell>
          <cell r="D830" t="str">
            <v>000042944401000158</v>
          </cell>
          <cell r="E830" t="str">
            <v>平垫圈</v>
          </cell>
          <cell r="F830" t="str">
            <v>GB/T97.1-2002</v>
          </cell>
          <cell r="G830" t="str">
            <v>10</v>
          </cell>
          <cell r="H830" t="str">
            <v>200HV</v>
          </cell>
          <cell r="I830" t="str">
            <v>Ep·Zn·c2C</v>
          </cell>
          <cell r="J830" t="str">
            <v>45</v>
          </cell>
          <cell r="K830">
            <v>11</v>
          </cell>
          <cell r="L830">
            <v>45678</v>
          </cell>
          <cell r="M830" t="str">
            <v>4-检验完成</v>
          </cell>
        </row>
        <row r="830">
          <cell r="O830">
            <v>0</v>
          </cell>
          <cell r="P830" t="str">
            <v>重庆红宇精密工业集团有限公司</v>
          </cell>
          <cell r="Q830" t="str">
            <v>70</v>
          </cell>
          <cell r="R830">
            <v>45681</v>
          </cell>
        </row>
        <row r="830">
          <cell r="U830" t="str">
            <v>010000761323</v>
          </cell>
          <cell r="V830" t="str">
            <v>HANXIAOLAN</v>
          </cell>
          <cell r="W830" t="str">
            <v/>
          </cell>
          <cell r="X830" t="str">
            <v>CP-108-A</v>
          </cell>
          <cell r="Y830" t="str">
            <v/>
          </cell>
          <cell r="Z830" t="str">
            <v>1902</v>
          </cell>
          <cell r="AA830" t="str">
            <v>1100138437</v>
          </cell>
          <cell r="AB830">
            <v>100</v>
          </cell>
          <cell r="AC830" t="str">
            <v/>
          </cell>
          <cell r="AD830">
            <v>0.97</v>
          </cell>
          <cell r="AE830" t="str">
            <v>G-100015451-241206-0048</v>
          </cell>
        </row>
        <row r="831">
          <cell r="B831" t="str">
            <v>7100902182</v>
          </cell>
          <cell r="C831" t="str">
            <v>G2412-1460</v>
          </cell>
          <cell r="D831" t="str">
            <v>000042944288000715</v>
          </cell>
          <cell r="E831" t="str">
            <v>气密双耳托板自锁螺母</v>
          </cell>
          <cell r="F831" t="str">
            <v>GB933-1988</v>
          </cell>
          <cell r="G831" t="str">
            <v>M8</v>
          </cell>
          <cell r="H831" t="str">
            <v>30-36HRC</v>
          </cell>
          <cell r="I831" t="str">
            <v>Ep·Cd·c2C</v>
          </cell>
          <cell r="J831" t="str">
            <v>组件(螺母体ML30CrMnSiA)</v>
          </cell>
          <cell r="K831">
            <v>900</v>
          </cell>
          <cell r="L831">
            <v>45681</v>
          </cell>
          <cell r="M831" t="str">
            <v>4-检验完成</v>
          </cell>
        </row>
        <row r="831">
          <cell r="O831">
            <v>0</v>
          </cell>
          <cell r="P831" t="str">
            <v>重庆红宇精密工业集团有限公司</v>
          </cell>
          <cell r="Q831" t="str">
            <v>10</v>
          </cell>
          <cell r="R831">
            <v>45683</v>
          </cell>
        </row>
        <row r="831">
          <cell r="U831" t="str">
            <v>010000760715</v>
          </cell>
          <cell r="V831" t="str">
            <v>PANMINGTAO</v>
          </cell>
          <cell r="W831" t="str">
            <v/>
          </cell>
          <cell r="X831" t="str">
            <v>XC-1-1-10</v>
          </cell>
          <cell r="Y831" t="str">
            <v/>
          </cell>
          <cell r="Z831" t="str">
            <v>1902</v>
          </cell>
          <cell r="AA831" t="str">
            <v>1100138263</v>
          </cell>
          <cell r="AB831">
            <v>1100</v>
          </cell>
          <cell r="AC831" t="str">
            <v/>
          </cell>
          <cell r="AD831">
            <v>11.3</v>
          </cell>
          <cell r="AE831" t="str">
            <v>G-100015451-241205-0047</v>
          </cell>
        </row>
        <row r="832">
          <cell r="B832" t="str">
            <v>7100903163</v>
          </cell>
          <cell r="C832" t="str">
            <v>G2412-0122</v>
          </cell>
          <cell r="D832" t="str">
            <v>000042944044008986</v>
          </cell>
          <cell r="E832" t="str">
            <v>钛合金十字槽沉头螺钉</v>
          </cell>
          <cell r="F832" t="str">
            <v>QJ2584-1993</v>
          </cell>
          <cell r="G832" t="str">
            <v>M5×8</v>
          </cell>
          <cell r="H832" t="str">
            <v>σb≥800MPa</v>
          </cell>
          <cell r="I832" t="str">
            <v>蓝色阳极氧化</v>
          </cell>
          <cell r="J832" t="str">
            <v>TB3</v>
          </cell>
          <cell r="K832">
            <v>320</v>
          </cell>
          <cell r="L832">
            <v>45694</v>
          </cell>
          <cell r="M832" t="str">
            <v>3-配货完成</v>
          </cell>
        </row>
        <row r="832">
          <cell r="O832">
            <v>0</v>
          </cell>
          <cell r="P832" t="str">
            <v>重庆红宇精密工业集团有限公司</v>
          </cell>
          <cell r="Q832" t="str">
            <v>80</v>
          </cell>
        </row>
        <row r="832">
          <cell r="U832" t="str">
            <v>010000757626</v>
          </cell>
          <cell r="V832" t="str">
            <v>QIAOXUPENG</v>
          </cell>
          <cell r="W832" t="str">
            <v/>
          </cell>
          <cell r="X832" t="str">
            <v>CP-108-A</v>
          </cell>
          <cell r="Y832" t="str">
            <v/>
          </cell>
          <cell r="Z832" t="str">
            <v>1902</v>
          </cell>
          <cell r="AA832" t="str">
            <v>1100137282</v>
          </cell>
          <cell r="AB832">
            <v>320</v>
          </cell>
          <cell r="AC832" t="str">
            <v/>
          </cell>
          <cell r="AD832">
            <v>9.04</v>
          </cell>
          <cell r="AE832" t="str">
            <v>G-100015451-241115-0044</v>
          </cell>
        </row>
        <row r="833">
          <cell r="B833" t="str">
            <v>7100903163</v>
          </cell>
          <cell r="C833" t="str">
            <v>G2412-0122</v>
          </cell>
          <cell r="D833" t="str">
            <v>000042944044008986</v>
          </cell>
          <cell r="E833" t="str">
            <v>钛合金十字槽沉头螺钉</v>
          </cell>
          <cell r="F833" t="str">
            <v>QJ2584-1993</v>
          </cell>
          <cell r="G833" t="str">
            <v>M5×8</v>
          </cell>
          <cell r="H833" t="str">
            <v>σb≥800MPa</v>
          </cell>
          <cell r="I833" t="str">
            <v>蓝色阳极氧化</v>
          </cell>
          <cell r="J833" t="str">
            <v>TB3</v>
          </cell>
          <cell r="K833">
            <v>320</v>
          </cell>
          <cell r="L833">
            <v>45694</v>
          </cell>
          <cell r="M833" t="str">
            <v>4-检验完成</v>
          </cell>
        </row>
        <row r="833">
          <cell r="O833">
            <v>0</v>
          </cell>
          <cell r="P833" t="str">
            <v>重庆红宇精密工业集团有限公司</v>
          </cell>
          <cell r="Q833" t="str">
            <v>80</v>
          </cell>
          <cell r="R833">
            <v>45695</v>
          </cell>
        </row>
        <row r="833">
          <cell r="U833" t="str">
            <v>010000757626</v>
          </cell>
          <cell r="V833" t="str">
            <v>QIAOXUPENG</v>
          </cell>
          <cell r="W833" t="str">
            <v/>
          </cell>
          <cell r="X833" t="str">
            <v>CP-108-A</v>
          </cell>
          <cell r="Y833" t="str">
            <v/>
          </cell>
          <cell r="Z833" t="str">
            <v>1902</v>
          </cell>
          <cell r="AA833" t="str">
            <v>1100137282</v>
          </cell>
          <cell r="AB833">
            <v>320</v>
          </cell>
          <cell r="AC833" t="str">
            <v/>
          </cell>
          <cell r="AD833">
            <v>9.04</v>
          </cell>
          <cell r="AE833" t="str">
            <v>G-100015451-241115-0044</v>
          </cell>
        </row>
        <row r="834">
          <cell r="B834" t="str">
            <v>7100903364</v>
          </cell>
          <cell r="C834" t="str">
            <v>G02412-049</v>
          </cell>
          <cell r="D834" t="str">
            <v>000042944402134068</v>
          </cell>
          <cell r="E834" t="str">
            <v>标准型弹簧垫圈</v>
          </cell>
          <cell r="F834" t="str">
            <v>GB93-1987</v>
          </cell>
          <cell r="G834" t="str">
            <v>8</v>
          </cell>
          <cell r="H834" t="str">
            <v>42-50HRC</v>
          </cell>
          <cell r="I834" t="str">
            <v>Ep·Zn-Ni·c2C</v>
          </cell>
          <cell r="J834" t="str">
            <v>65Mn</v>
          </cell>
          <cell r="K834">
            <v>1500</v>
          </cell>
          <cell r="L834">
            <v>45694</v>
          </cell>
          <cell r="M834" t="str">
            <v>4-检验完成</v>
          </cell>
        </row>
        <row r="834">
          <cell r="O834">
            <v>0</v>
          </cell>
          <cell r="P834" t="str">
            <v>重庆红宇精密工业集团有限公司</v>
          </cell>
          <cell r="Q834" t="str">
            <v>60</v>
          </cell>
          <cell r="R834">
            <v>45696</v>
          </cell>
        </row>
        <row r="834">
          <cell r="U834" t="str">
            <v/>
          </cell>
          <cell r="V834" t="str">
            <v>HANXIAOLAN</v>
          </cell>
          <cell r="W834" t="str">
            <v/>
          </cell>
          <cell r="X834" t="str">
            <v>XH-000</v>
          </cell>
          <cell r="Y834" t="str">
            <v/>
          </cell>
          <cell r="Z834" t="str">
            <v>1902</v>
          </cell>
          <cell r="AA834" t="str">
            <v>1100138437</v>
          </cell>
          <cell r="AB834">
            <v>1500</v>
          </cell>
          <cell r="AC834" t="str">
            <v/>
          </cell>
          <cell r="AD834">
            <v>1.36</v>
          </cell>
          <cell r="AE834" t="str">
            <v>G-100015451-241206-0048</v>
          </cell>
        </row>
        <row r="835">
          <cell r="B835" t="str">
            <v>7100903432</v>
          </cell>
          <cell r="C835" t="str">
            <v>G2501-9011</v>
          </cell>
          <cell r="D835" t="str">
            <v>000042944044079364</v>
          </cell>
          <cell r="E835" t="str">
            <v>十字槽沉头螺钉</v>
          </cell>
          <cell r="F835" t="str">
            <v>GB/T819.2-2016</v>
          </cell>
          <cell r="G835" t="str">
            <v>M6×10</v>
          </cell>
          <cell r="H835" t="str">
            <v>A2-70</v>
          </cell>
          <cell r="I835" t="str">
            <v>ECP</v>
          </cell>
          <cell r="J835" t="str">
            <v>ML1Cr18Ni9Ti</v>
          </cell>
          <cell r="K835">
            <v>2926</v>
          </cell>
          <cell r="L835">
            <v>45694</v>
          </cell>
          <cell r="M835" t="str">
            <v>4-检验完成</v>
          </cell>
        </row>
        <row r="835">
          <cell r="O835">
            <v>0</v>
          </cell>
          <cell r="P835" t="str">
            <v>重庆红宇精密工业集团有限公司</v>
          </cell>
          <cell r="Q835" t="str">
            <v>50</v>
          </cell>
          <cell r="R835">
            <v>45698</v>
          </cell>
        </row>
        <row r="835">
          <cell r="U835" t="str">
            <v>010000769945</v>
          </cell>
          <cell r="V835" t="str">
            <v>LIZHIFENG</v>
          </cell>
          <cell r="W835" t="str">
            <v/>
          </cell>
          <cell r="X835" t="str">
            <v>CP-108-A</v>
          </cell>
          <cell r="Y835" t="str">
            <v/>
          </cell>
          <cell r="Z835" t="str">
            <v>1902</v>
          </cell>
          <cell r="AA835" t="str">
            <v>1100139595</v>
          </cell>
          <cell r="AB835">
            <v>3200</v>
          </cell>
          <cell r="AC835" t="str">
            <v/>
          </cell>
          <cell r="AD835">
            <v>0.57</v>
          </cell>
          <cell r="AE835" t="str">
            <v>G-100015451-250102-0001</v>
          </cell>
        </row>
        <row r="836">
          <cell r="B836" t="str">
            <v>7100903516</v>
          </cell>
          <cell r="C836" t="str">
            <v>G2501-9015</v>
          </cell>
          <cell r="D836" t="str">
            <v>000042944044079365</v>
          </cell>
          <cell r="E836" t="str">
            <v>十字槽沉头螺钉</v>
          </cell>
          <cell r="F836" t="str">
            <v>GB/T819.2-2016</v>
          </cell>
          <cell r="G836" t="str">
            <v>M6×12</v>
          </cell>
          <cell r="H836" t="str">
            <v>A2-70</v>
          </cell>
          <cell r="I836" t="str">
            <v>ECP</v>
          </cell>
          <cell r="J836" t="str">
            <v>ML1Cr18Ni9Ti</v>
          </cell>
          <cell r="K836">
            <v>7700</v>
          </cell>
          <cell r="L836">
            <v>45695</v>
          </cell>
          <cell r="M836" t="str">
            <v>4-检验完成</v>
          </cell>
        </row>
        <row r="836">
          <cell r="O836">
            <v>0</v>
          </cell>
          <cell r="P836" t="str">
            <v>重庆红宇精密工业集团有限公司</v>
          </cell>
          <cell r="Q836" t="str">
            <v>20</v>
          </cell>
          <cell r="R836">
            <v>45696</v>
          </cell>
        </row>
        <row r="836">
          <cell r="U836" t="str">
            <v>010000769949</v>
          </cell>
          <cell r="V836" t="str">
            <v>LIZHIFENG</v>
          </cell>
          <cell r="W836" t="str">
            <v/>
          </cell>
          <cell r="X836" t="str">
            <v>CP-108-A</v>
          </cell>
          <cell r="Y836" t="str">
            <v/>
          </cell>
          <cell r="Z836" t="str">
            <v>1902</v>
          </cell>
          <cell r="AA836" t="str">
            <v>1100139596</v>
          </cell>
          <cell r="AB836">
            <v>15200</v>
          </cell>
          <cell r="AC836" t="str">
            <v/>
          </cell>
          <cell r="AD836">
            <v>0.57</v>
          </cell>
          <cell r="AE836" t="str">
            <v>G-100015451-250102-0002</v>
          </cell>
        </row>
        <row r="837">
          <cell r="B837" t="str">
            <v>7100903964</v>
          </cell>
          <cell r="C837" t="str">
            <v>G2501-9014</v>
          </cell>
          <cell r="D837" t="str">
            <v>000042944044079365</v>
          </cell>
          <cell r="E837" t="str">
            <v>十字槽沉头螺钉</v>
          </cell>
          <cell r="F837" t="str">
            <v>GB/T819.2-2016</v>
          </cell>
          <cell r="G837" t="str">
            <v>M6×12</v>
          </cell>
          <cell r="H837" t="str">
            <v>A2-70</v>
          </cell>
          <cell r="I837" t="str">
            <v>ECP</v>
          </cell>
          <cell r="J837" t="str">
            <v>ML1Cr18Ni9Ti</v>
          </cell>
          <cell r="K837">
            <v>7300</v>
          </cell>
          <cell r="L837">
            <v>45696</v>
          </cell>
          <cell r="M837" t="str">
            <v>4-检验完成</v>
          </cell>
        </row>
        <row r="837">
          <cell r="O837">
            <v>0</v>
          </cell>
          <cell r="P837" t="str">
            <v>重庆红宇精密工业集团有限公司</v>
          </cell>
          <cell r="Q837" t="str">
            <v>20</v>
          </cell>
          <cell r="R837">
            <v>45698</v>
          </cell>
        </row>
        <row r="837">
          <cell r="U837" t="str">
            <v>010000769948</v>
          </cell>
          <cell r="V837" t="str">
            <v>PANQIFANG</v>
          </cell>
          <cell r="W837" t="str">
            <v/>
          </cell>
          <cell r="X837" t="str">
            <v>CP-108-A</v>
          </cell>
          <cell r="Y837" t="str">
            <v/>
          </cell>
          <cell r="Z837" t="str">
            <v>1902</v>
          </cell>
          <cell r="AA837" t="str">
            <v>1100139596</v>
          </cell>
          <cell r="AB837">
            <v>15200</v>
          </cell>
          <cell r="AC837" t="str">
            <v/>
          </cell>
          <cell r="AD837">
            <v>0.57</v>
          </cell>
          <cell r="AE837" t="str">
            <v>G-100015451-250102-0002</v>
          </cell>
        </row>
        <row r="838">
          <cell r="B838" t="str">
            <v>7100904550</v>
          </cell>
          <cell r="C838" t="str">
            <v>G02501-048</v>
          </cell>
          <cell r="D838" t="str">
            <v>000042944039000100</v>
          </cell>
          <cell r="E838" t="str">
            <v>普通型有折断槽钢丝螺套</v>
          </cell>
          <cell r="F838" t="str">
            <v>GJB119.1A-2001</v>
          </cell>
          <cell r="G838" t="str">
            <v>6×1×6</v>
          </cell>
          <cell r="H838" t="str">
            <v/>
          </cell>
          <cell r="I838" t="str">
            <v>ECP</v>
          </cell>
          <cell r="J838" t="str">
            <v>1Cr18Ni9Ti</v>
          </cell>
          <cell r="K838">
            <v>300</v>
          </cell>
          <cell r="L838">
            <v>45698</v>
          </cell>
          <cell r="M838" t="str">
            <v>4-检验完成</v>
          </cell>
        </row>
        <row r="838">
          <cell r="O838">
            <v>0</v>
          </cell>
          <cell r="P838" t="str">
            <v>重庆红宇精密工业集团有限公司</v>
          </cell>
          <cell r="Q838" t="str">
            <v>40</v>
          </cell>
          <cell r="R838">
            <v>45700</v>
          </cell>
        </row>
        <row r="838">
          <cell r="U838" t="str">
            <v/>
          </cell>
          <cell r="V838" t="str">
            <v>PANQIFANG</v>
          </cell>
          <cell r="W838" t="str">
            <v/>
          </cell>
          <cell r="X838" t="str">
            <v>XH-000</v>
          </cell>
          <cell r="Y838" t="str">
            <v/>
          </cell>
          <cell r="Z838" t="str">
            <v>1902</v>
          </cell>
          <cell r="AA838" t="str">
            <v>1100137629</v>
          </cell>
          <cell r="AB838">
            <v>300</v>
          </cell>
          <cell r="AC838" t="str">
            <v/>
          </cell>
          <cell r="AD838">
            <v>6.78</v>
          </cell>
          <cell r="AE838" t="str">
            <v>G-100015451-241122-0045</v>
          </cell>
        </row>
        <row r="839">
          <cell r="B839" t="str">
            <v>7100904550</v>
          </cell>
          <cell r="C839" t="str">
            <v>G02501-048</v>
          </cell>
          <cell r="D839" t="str">
            <v>000042944039000100</v>
          </cell>
          <cell r="E839" t="str">
            <v>普通型有折断槽钢丝螺套</v>
          </cell>
          <cell r="F839" t="str">
            <v>GJB119.1A-2001</v>
          </cell>
          <cell r="G839" t="str">
            <v>6×1×6</v>
          </cell>
          <cell r="H839" t="str">
            <v/>
          </cell>
          <cell r="I839" t="str">
            <v>ECP</v>
          </cell>
          <cell r="J839" t="str">
            <v>1Cr18Ni9Ti</v>
          </cell>
          <cell r="K839">
            <v>300</v>
          </cell>
          <cell r="L839">
            <v>45698</v>
          </cell>
          <cell r="M839" t="str">
            <v>4-检验完成</v>
          </cell>
        </row>
        <row r="839">
          <cell r="O839">
            <v>0</v>
          </cell>
          <cell r="P839" t="str">
            <v>重庆红宇精密工业集团有限公司</v>
          </cell>
          <cell r="Q839" t="str">
            <v>40</v>
          </cell>
          <cell r="R839">
            <v>45700</v>
          </cell>
        </row>
        <row r="839">
          <cell r="U839" t="str">
            <v/>
          </cell>
          <cell r="V839" t="str">
            <v>PANQIFANG</v>
          </cell>
          <cell r="W839" t="str">
            <v/>
          </cell>
          <cell r="X839" t="str">
            <v>XH-000</v>
          </cell>
          <cell r="Y839" t="str">
            <v/>
          </cell>
          <cell r="Z839" t="str">
            <v>1902</v>
          </cell>
          <cell r="AA839" t="str">
            <v>1100137629</v>
          </cell>
          <cell r="AB839">
            <v>300</v>
          </cell>
          <cell r="AC839" t="str">
            <v/>
          </cell>
          <cell r="AD839">
            <v>6.78</v>
          </cell>
          <cell r="AE839" t="str">
            <v>G-100015451-241122-0045</v>
          </cell>
        </row>
        <row r="840">
          <cell r="B840" t="str">
            <v>7100907048</v>
          </cell>
          <cell r="C840" t="str">
            <v>H2205-0939</v>
          </cell>
          <cell r="D840" t="str">
            <v>000042944044003013</v>
          </cell>
          <cell r="E840" t="str">
            <v>十字槽沉头螺钉</v>
          </cell>
          <cell r="F840" t="str">
            <v>GB/T819.2-1997</v>
          </cell>
          <cell r="G840" t="str">
            <v>M3×6</v>
          </cell>
          <cell r="H840" t="str">
            <v>A2-70</v>
          </cell>
          <cell r="I840" t="str">
            <v>ECP</v>
          </cell>
          <cell r="J840" t="str">
            <v>ML1Cr18Ni9Ti</v>
          </cell>
          <cell r="K840">
            <v>112</v>
          </cell>
          <cell r="L840">
            <v>45705</v>
          </cell>
          <cell r="M840" t="str">
            <v>4-检验完成</v>
          </cell>
        </row>
        <row r="840">
          <cell r="O840">
            <v>0</v>
          </cell>
          <cell r="P840" t="str">
            <v>重庆红宇精密工业集团有限公司</v>
          </cell>
          <cell r="Q840" t="str">
            <v>10</v>
          </cell>
          <cell r="R840">
            <v>45706</v>
          </cell>
        </row>
        <row r="840">
          <cell r="U840" t="str">
            <v>010000490089</v>
          </cell>
          <cell r="V840" t="str">
            <v>PANQIFANG</v>
          </cell>
          <cell r="W840" t="str">
            <v/>
          </cell>
          <cell r="X840" t="str">
            <v>CP-C1-4-4-7/CP-21-2-3-17</v>
          </cell>
          <cell r="Y840" t="str">
            <v/>
          </cell>
          <cell r="Z840" t="str">
            <v>1902</v>
          </cell>
          <cell r="AA840" t="str">
            <v>1100141372</v>
          </cell>
          <cell r="AB840">
            <v>112</v>
          </cell>
          <cell r="AC840" t="str">
            <v/>
          </cell>
          <cell r="AD840">
            <v>0.68</v>
          </cell>
          <cell r="AE840" t="str">
            <v>G-100015451-250214-0006-1XH</v>
          </cell>
        </row>
        <row r="841">
          <cell r="B841" t="str">
            <v>7100907106</v>
          </cell>
          <cell r="C841" t="str">
            <v>G2106-6084</v>
          </cell>
          <cell r="D841" t="str">
            <v>000042944044002842</v>
          </cell>
          <cell r="E841" t="str">
            <v>十字槽沉头螺钉</v>
          </cell>
          <cell r="F841" t="str">
            <v>GB/T819.2-1997</v>
          </cell>
          <cell r="G841" t="str">
            <v>M3×10</v>
          </cell>
          <cell r="H841" t="str">
            <v>A2-70</v>
          </cell>
          <cell r="I841" t="str">
            <v>ECP</v>
          </cell>
          <cell r="J841" t="str">
            <v>1Cr18Ni9Ti</v>
          </cell>
          <cell r="K841">
            <v>300</v>
          </cell>
          <cell r="L841">
            <v>45705</v>
          </cell>
          <cell r="M841" t="str">
            <v>3-配货完成</v>
          </cell>
        </row>
        <row r="841">
          <cell r="O841">
            <v>0</v>
          </cell>
          <cell r="P841" t="str">
            <v>重庆红宇精密工业集团有限公司</v>
          </cell>
          <cell r="Q841" t="str">
            <v>20</v>
          </cell>
        </row>
        <row r="841">
          <cell r="U841" t="str">
            <v/>
          </cell>
          <cell r="V841" t="str">
            <v>PANQIFANG</v>
          </cell>
          <cell r="W841" t="str">
            <v/>
          </cell>
          <cell r="X841" t="str">
            <v>XH-000</v>
          </cell>
          <cell r="Y841" t="str">
            <v/>
          </cell>
          <cell r="Z841" t="str">
            <v>1902</v>
          </cell>
          <cell r="AA841" t="str">
            <v>1100141463</v>
          </cell>
          <cell r="AB841">
            <v>300</v>
          </cell>
          <cell r="AC841" t="str">
            <v/>
          </cell>
          <cell r="AD841">
            <v>0.68</v>
          </cell>
          <cell r="AE841" t="str">
            <v>G-100015451-250214-0005</v>
          </cell>
        </row>
        <row r="842">
          <cell r="B842" t="str">
            <v>7100907282</v>
          </cell>
          <cell r="C842" t="str">
            <v>G2101-6014</v>
          </cell>
          <cell r="D842" t="str">
            <v>000042944044002339</v>
          </cell>
          <cell r="E842" t="str">
            <v>十字槽沉头螺钉</v>
          </cell>
          <cell r="F842" t="str">
            <v>GB/T819.1-2000</v>
          </cell>
          <cell r="G842" t="str">
            <v>M5×10</v>
          </cell>
          <cell r="H842" t="str">
            <v>4.8</v>
          </cell>
          <cell r="I842" t="str">
            <v>Ep·Zn·c2C</v>
          </cell>
          <cell r="J842" t="str">
            <v>ML25</v>
          </cell>
          <cell r="K842">
            <v>100</v>
          </cell>
          <cell r="L842">
            <v>45705</v>
          </cell>
          <cell r="M842" t="str">
            <v>4-检验完成</v>
          </cell>
        </row>
        <row r="842">
          <cell r="O842">
            <v>0</v>
          </cell>
          <cell r="P842" t="str">
            <v>重庆红宇精密工业集团有限公司</v>
          </cell>
          <cell r="Q842" t="str">
            <v>10</v>
          </cell>
          <cell r="R842">
            <v>45708</v>
          </cell>
        </row>
        <row r="842">
          <cell r="U842" t="str">
            <v/>
          </cell>
          <cell r="V842" t="str">
            <v>PANQIFANG</v>
          </cell>
          <cell r="W842" t="str">
            <v/>
          </cell>
          <cell r="X842" t="str">
            <v>XH-000</v>
          </cell>
          <cell r="Y842" t="str">
            <v/>
          </cell>
          <cell r="Z842" t="str">
            <v>1902</v>
          </cell>
          <cell r="AA842" t="str">
            <v>1100141463</v>
          </cell>
          <cell r="AB842">
            <v>100</v>
          </cell>
          <cell r="AC842" t="str">
            <v/>
          </cell>
          <cell r="AD842">
            <v>0.68</v>
          </cell>
          <cell r="AE842" t="str">
            <v>G-100015451-250214-0005</v>
          </cell>
        </row>
        <row r="843">
          <cell r="B843" t="str">
            <v>7100907510</v>
          </cell>
          <cell r="C843" t="str">
            <v>G2104-6255</v>
          </cell>
          <cell r="D843" t="str">
            <v>000042944044002132</v>
          </cell>
          <cell r="E843" t="str">
            <v>十字槽沉头螺钉</v>
          </cell>
          <cell r="F843" t="str">
            <v>GB/T819.1-2000</v>
          </cell>
          <cell r="G843" t="str">
            <v>M3×10</v>
          </cell>
          <cell r="H843" t="str">
            <v>4.8</v>
          </cell>
          <cell r="I843" t="str">
            <v>Ep·Zn·c2C</v>
          </cell>
          <cell r="J843" t="str">
            <v>ML25</v>
          </cell>
          <cell r="K843">
            <v>300</v>
          </cell>
          <cell r="L843">
            <v>45706</v>
          </cell>
          <cell r="M843" t="str">
            <v>4-检验完成</v>
          </cell>
        </row>
        <row r="843">
          <cell r="O843">
            <v>0</v>
          </cell>
          <cell r="P843" t="str">
            <v>重庆红宇精密工业集团有限公司</v>
          </cell>
          <cell r="Q843" t="str">
            <v>20</v>
          </cell>
          <cell r="R843">
            <v>45709</v>
          </cell>
        </row>
        <row r="843">
          <cell r="U843" t="str">
            <v/>
          </cell>
          <cell r="V843" t="str">
            <v>QIAOXUPENG</v>
          </cell>
          <cell r="W843" t="str">
            <v/>
          </cell>
          <cell r="X843" t="str">
            <v>XH-000</v>
          </cell>
          <cell r="Y843" t="str">
            <v/>
          </cell>
          <cell r="Z843" t="str">
            <v>1902</v>
          </cell>
          <cell r="AA843" t="str">
            <v>1100141530</v>
          </cell>
          <cell r="AB843">
            <v>300</v>
          </cell>
          <cell r="AC843" t="str">
            <v/>
          </cell>
          <cell r="AD843">
            <v>0.6</v>
          </cell>
          <cell r="AE843" t="str">
            <v>G-100015451-250214-0007</v>
          </cell>
        </row>
        <row r="844">
          <cell r="B844" t="str">
            <v>7100909399</v>
          </cell>
          <cell r="C844" t="str">
            <v>GW2502-129</v>
          </cell>
          <cell r="D844" t="str">
            <v>000042944044003013</v>
          </cell>
          <cell r="E844" t="str">
            <v>十字槽沉头螺钉</v>
          </cell>
          <cell r="F844" t="str">
            <v>GB/T819.2-1997</v>
          </cell>
          <cell r="G844" t="str">
            <v>M3×6</v>
          </cell>
          <cell r="H844" t="str">
            <v>A2-70</v>
          </cell>
          <cell r="I844" t="str">
            <v>ECP</v>
          </cell>
          <cell r="J844" t="str">
            <v>ML1Cr18Ni9Ti</v>
          </cell>
          <cell r="K844">
            <v>88</v>
          </cell>
          <cell r="L844">
            <v>45710</v>
          </cell>
          <cell r="M844" t="str">
            <v>3-配货完成</v>
          </cell>
        </row>
        <row r="844">
          <cell r="O844">
            <v>0</v>
          </cell>
          <cell r="P844" t="str">
            <v>重庆红宇精密工业集团有限公司</v>
          </cell>
          <cell r="Q844" t="str">
            <v>10</v>
          </cell>
        </row>
        <row r="844">
          <cell r="U844" t="str">
            <v/>
          </cell>
          <cell r="V844" t="str">
            <v>HANXIAOLAN</v>
          </cell>
          <cell r="W844" t="str">
            <v/>
          </cell>
          <cell r="X844" t="str">
            <v>XH-000</v>
          </cell>
          <cell r="Y844" t="str">
            <v/>
          </cell>
          <cell r="Z844" t="str">
            <v>1902</v>
          </cell>
          <cell r="AA844" t="str">
            <v>1100141377</v>
          </cell>
          <cell r="AB844">
            <v>88</v>
          </cell>
          <cell r="AC844" t="str">
            <v/>
          </cell>
          <cell r="AD844">
            <v>0.68</v>
          </cell>
          <cell r="AE844" t="str">
            <v>G-100015451-250214-0006-2-H-XH</v>
          </cell>
        </row>
        <row r="845">
          <cell r="B845" t="str">
            <v>7100910755</v>
          </cell>
          <cell r="C845" t="str">
            <v>G2206-0474</v>
          </cell>
          <cell r="D845" t="str">
            <v>000042944044091449</v>
          </cell>
          <cell r="E845" t="str">
            <v>十字槽沉头螺钉</v>
          </cell>
          <cell r="F845" t="str">
            <v>GB/T819.2-1997(CQHY)</v>
          </cell>
          <cell r="G845" t="str">
            <v>M3×8</v>
          </cell>
          <cell r="H845" t="str">
            <v>8.8</v>
          </cell>
          <cell r="I845" t="str">
            <v>Ep·Zn-Ni·c2C</v>
          </cell>
          <cell r="J845" t="str">
            <v>ML30CrMnSiA</v>
          </cell>
          <cell r="K845">
            <v>1554</v>
          </cell>
          <cell r="L845">
            <v>45713</v>
          </cell>
          <cell r="M845" t="str">
            <v>1-已打印</v>
          </cell>
        </row>
        <row r="845">
          <cell r="O845">
            <v>0</v>
          </cell>
          <cell r="P845" t="str">
            <v>重庆红宇精密工业集团有限公司</v>
          </cell>
          <cell r="Q845" t="str">
            <v>120</v>
          </cell>
        </row>
        <row r="845">
          <cell r="U845" t="str">
            <v>010000497261</v>
          </cell>
          <cell r="V845" t="str">
            <v/>
          </cell>
          <cell r="W845" t="str">
            <v/>
          </cell>
          <cell r="X845" t="str">
            <v>CP-36-2-4-9</v>
          </cell>
          <cell r="Y845" t="str">
            <v/>
          </cell>
          <cell r="Z845" t="str">
            <v>1902</v>
          </cell>
          <cell r="AA845" t="str">
            <v>1100142026</v>
          </cell>
          <cell r="AB845">
            <v>4500</v>
          </cell>
          <cell r="AC845" t="str">
            <v/>
          </cell>
          <cell r="AD845">
            <v>0.68</v>
          </cell>
          <cell r="AE845" t="str">
            <v>G-100015451-250221-0008</v>
          </cell>
        </row>
        <row r="846">
          <cell r="B846" t="str">
            <v>7100910519</v>
          </cell>
          <cell r="C846" t="str">
            <v>G2501-1216</v>
          </cell>
          <cell r="D846" t="str">
            <v>000042944281067342</v>
          </cell>
          <cell r="E846" t="str">
            <v>六角薄螺母</v>
          </cell>
          <cell r="F846" t="str">
            <v>GB/T6174-2016</v>
          </cell>
          <cell r="G846" t="str">
            <v>M2</v>
          </cell>
          <cell r="H846" t="str">
            <v>≥110HV30</v>
          </cell>
          <cell r="I846" t="str">
            <v>Ep·Zn·c2C</v>
          </cell>
          <cell r="J846" t="str">
            <v>ML25</v>
          </cell>
          <cell r="K846">
            <v>60</v>
          </cell>
          <cell r="L846">
            <v>45712</v>
          </cell>
          <cell r="M846" t="str">
            <v>4-检验完成</v>
          </cell>
        </row>
        <row r="846">
          <cell r="O846">
            <v>0</v>
          </cell>
          <cell r="P846" t="str">
            <v>重庆红宇精密工业集团有限公司</v>
          </cell>
          <cell r="Q846" t="str">
            <v>10</v>
          </cell>
          <cell r="R846">
            <v>45713</v>
          </cell>
        </row>
        <row r="846">
          <cell r="U846" t="str">
            <v>010000772842</v>
          </cell>
          <cell r="V846" t="str">
            <v>PANQIFANG</v>
          </cell>
          <cell r="W846" t="str">
            <v/>
          </cell>
          <cell r="X846" t="str">
            <v>CP-108-A</v>
          </cell>
          <cell r="Y846" t="str">
            <v/>
          </cell>
          <cell r="Z846" t="str">
            <v>1902</v>
          </cell>
          <cell r="AA846" t="str">
            <v>1100136324</v>
          </cell>
          <cell r="AB846">
            <v>600</v>
          </cell>
          <cell r="AC846" t="str">
            <v/>
          </cell>
          <cell r="AD846">
            <v>2.26</v>
          </cell>
          <cell r="AE846" t="str">
            <v>G-100015451-241030-0039</v>
          </cell>
        </row>
        <row r="847">
          <cell r="B847" t="str">
            <v>7100909399</v>
          </cell>
          <cell r="C847" t="str">
            <v>GW2502-129</v>
          </cell>
          <cell r="D847" t="str">
            <v>000042944044003013</v>
          </cell>
          <cell r="E847" t="str">
            <v>十字槽沉头螺钉</v>
          </cell>
          <cell r="F847" t="str">
            <v>GB/T819.2-1997</v>
          </cell>
          <cell r="G847" t="str">
            <v>M3×6</v>
          </cell>
          <cell r="H847" t="str">
            <v>A2-70</v>
          </cell>
          <cell r="I847" t="str">
            <v>ECP</v>
          </cell>
          <cell r="J847" t="str">
            <v>ML1Cr18Ni9Ti</v>
          </cell>
          <cell r="K847">
            <v>88</v>
          </cell>
          <cell r="L847">
            <v>45710</v>
          </cell>
          <cell r="M847" t="str">
            <v>4-检验完成</v>
          </cell>
        </row>
        <row r="847">
          <cell r="O847">
            <v>0</v>
          </cell>
          <cell r="P847" t="str">
            <v>重庆红宇精密工业集团有限公司</v>
          </cell>
          <cell r="Q847" t="str">
            <v>10</v>
          </cell>
          <cell r="R847">
            <v>45710</v>
          </cell>
        </row>
        <row r="847">
          <cell r="U847" t="str">
            <v/>
          </cell>
          <cell r="V847" t="str">
            <v>HANXIAOLAN</v>
          </cell>
          <cell r="W847" t="str">
            <v/>
          </cell>
          <cell r="X847" t="str">
            <v>XH-000</v>
          </cell>
          <cell r="Y847" t="str">
            <v/>
          </cell>
          <cell r="Z847" t="str">
            <v>1902</v>
          </cell>
          <cell r="AA847" t="str">
            <v>1100141377</v>
          </cell>
          <cell r="AB847">
            <v>88</v>
          </cell>
          <cell r="AC847" t="str">
            <v/>
          </cell>
          <cell r="AD847">
            <v>0.68</v>
          </cell>
          <cell r="AE847" t="str">
            <v>G-100015451-250214-0006-2-H-XH</v>
          </cell>
        </row>
        <row r="848">
          <cell r="B848" t="str">
            <v>7100910755</v>
          </cell>
          <cell r="C848" t="str">
            <v>G2206-0474</v>
          </cell>
          <cell r="D848" t="str">
            <v>000042944044091449</v>
          </cell>
          <cell r="E848" t="str">
            <v>十字槽沉头螺钉</v>
          </cell>
          <cell r="F848" t="str">
            <v>GB/T819.2-1997(CQHY)</v>
          </cell>
          <cell r="G848" t="str">
            <v>M3×8</v>
          </cell>
          <cell r="H848" t="str">
            <v>8.8</v>
          </cell>
          <cell r="I848" t="str">
            <v>Ep·Zn-Ni·c2C</v>
          </cell>
          <cell r="J848" t="str">
            <v>ML30CrMnSiA</v>
          </cell>
          <cell r="K848">
            <v>1554</v>
          </cell>
          <cell r="L848">
            <v>45713</v>
          </cell>
          <cell r="M848" t="str">
            <v>4-检验完成</v>
          </cell>
        </row>
        <row r="848">
          <cell r="O848">
            <v>0</v>
          </cell>
          <cell r="P848" t="str">
            <v>重庆红宇精密工业集团有限公司</v>
          </cell>
          <cell r="Q848" t="str">
            <v>120</v>
          </cell>
          <cell r="R848">
            <v>45713</v>
          </cell>
        </row>
        <row r="848">
          <cell r="U848" t="str">
            <v>010000497261</v>
          </cell>
          <cell r="V848" t="str">
            <v>HANXIAOLAN</v>
          </cell>
          <cell r="W848" t="str">
            <v/>
          </cell>
          <cell r="X848" t="str">
            <v>CP-36-2-4-9</v>
          </cell>
          <cell r="Y848" t="str">
            <v/>
          </cell>
          <cell r="Z848" t="str">
            <v>1902</v>
          </cell>
          <cell r="AA848" t="str">
            <v>1100142026</v>
          </cell>
          <cell r="AB848">
            <v>4500</v>
          </cell>
          <cell r="AC848" t="str">
            <v/>
          </cell>
          <cell r="AD848">
            <v>0.68</v>
          </cell>
          <cell r="AE848" t="str">
            <v>G-100015451-250221-0008</v>
          </cell>
        </row>
        <row r="849">
          <cell r="B849" t="str">
            <v>7100911022</v>
          </cell>
          <cell r="C849" t="str">
            <v>G2110-6118</v>
          </cell>
          <cell r="D849" t="str">
            <v>000042944044002398</v>
          </cell>
          <cell r="E849" t="str">
            <v>十字槽沉头螺钉</v>
          </cell>
          <cell r="F849" t="str">
            <v>GB/T819.1-2000</v>
          </cell>
          <cell r="G849" t="str">
            <v>M6×12</v>
          </cell>
          <cell r="H849" t="str">
            <v>4.8</v>
          </cell>
          <cell r="I849" t="str">
            <v>Ep·Zn-Ni·c2C</v>
          </cell>
          <cell r="J849" t="str">
            <v>ML25</v>
          </cell>
          <cell r="K849">
            <v>700</v>
          </cell>
          <cell r="L849">
            <v>45713</v>
          </cell>
          <cell r="M849" t="str">
            <v>4-检验完成</v>
          </cell>
        </row>
        <row r="849">
          <cell r="O849">
            <v>0</v>
          </cell>
          <cell r="P849" t="str">
            <v>重庆红宇精密工业集团有限公司</v>
          </cell>
          <cell r="Q849" t="str">
            <v>60</v>
          </cell>
          <cell r="R849">
            <v>45719</v>
          </cell>
        </row>
        <row r="849">
          <cell r="U849" t="str">
            <v/>
          </cell>
          <cell r="V849" t="str">
            <v>PANQIFANG</v>
          </cell>
          <cell r="W849" t="str">
            <v/>
          </cell>
          <cell r="X849" t="str">
            <v>XH-000</v>
          </cell>
          <cell r="Y849" t="str">
            <v/>
          </cell>
          <cell r="Z849" t="str">
            <v>1902</v>
          </cell>
          <cell r="AA849" t="str">
            <v>1100142026</v>
          </cell>
          <cell r="AB849">
            <v>700</v>
          </cell>
          <cell r="AC849" t="str">
            <v/>
          </cell>
          <cell r="AD849">
            <v>0.68</v>
          </cell>
          <cell r="AE849" t="str">
            <v>G-100015451-250221-0008</v>
          </cell>
        </row>
        <row r="850">
          <cell r="B850" t="str">
            <v>7100911022</v>
          </cell>
          <cell r="C850" t="str">
            <v>G2209-9020</v>
          </cell>
          <cell r="D850" t="str">
            <v>000042944044002333</v>
          </cell>
          <cell r="E850" t="str">
            <v>十字槽沉头螺钉</v>
          </cell>
          <cell r="F850" t="str">
            <v>GB/T819.1-2000</v>
          </cell>
          <cell r="G850" t="str">
            <v>M4×8</v>
          </cell>
          <cell r="H850" t="str">
            <v>4.8</v>
          </cell>
          <cell r="I850" t="str">
            <v>Ep·Zn-Ni·c2C</v>
          </cell>
          <cell r="J850" t="str">
            <v>ML25</v>
          </cell>
          <cell r="K850">
            <v>163</v>
          </cell>
          <cell r="L850">
            <v>45713</v>
          </cell>
          <cell r="M850" t="str">
            <v>4-检验完成</v>
          </cell>
        </row>
        <row r="850">
          <cell r="O850">
            <v>0</v>
          </cell>
          <cell r="P850" t="str">
            <v>重庆红宇精密工业集团有限公司</v>
          </cell>
          <cell r="Q850" t="str">
            <v>50</v>
          </cell>
          <cell r="R850">
            <v>45719</v>
          </cell>
        </row>
        <row r="850">
          <cell r="U850" t="str">
            <v>010000532658</v>
          </cell>
          <cell r="V850" t="str">
            <v>PANQIFANG</v>
          </cell>
          <cell r="W850" t="str">
            <v/>
          </cell>
          <cell r="X850" t="str">
            <v>XH-000</v>
          </cell>
          <cell r="Y850" t="str">
            <v/>
          </cell>
          <cell r="Z850" t="str">
            <v>1902</v>
          </cell>
          <cell r="AA850" t="str">
            <v>1100142026</v>
          </cell>
          <cell r="AB850">
            <v>400</v>
          </cell>
          <cell r="AC850" t="str">
            <v/>
          </cell>
          <cell r="AD850">
            <v>0.68</v>
          </cell>
          <cell r="AE850" t="str">
            <v>G-100015451-250221-0008</v>
          </cell>
        </row>
        <row r="851">
          <cell r="B851" t="str">
            <v>7100911022</v>
          </cell>
          <cell r="C851" t="str">
            <v>G2208-9006</v>
          </cell>
          <cell r="D851" t="str">
            <v>000042944044002333</v>
          </cell>
          <cell r="E851" t="str">
            <v>十字槽沉头螺钉</v>
          </cell>
          <cell r="F851" t="str">
            <v>GB/T819.1-2000</v>
          </cell>
          <cell r="G851" t="str">
            <v>M4×8</v>
          </cell>
          <cell r="H851" t="str">
            <v>4.8</v>
          </cell>
          <cell r="I851" t="str">
            <v>Ep·Zn-Ni·c2C</v>
          </cell>
          <cell r="J851" t="str">
            <v>ML25</v>
          </cell>
          <cell r="K851">
            <v>237</v>
          </cell>
          <cell r="L851">
            <v>45713</v>
          </cell>
          <cell r="M851" t="str">
            <v>4-检验完成</v>
          </cell>
        </row>
        <row r="851">
          <cell r="O851">
            <v>0</v>
          </cell>
          <cell r="P851" t="str">
            <v>重庆红宇精密工业集团有限公司</v>
          </cell>
          <cell r="Q851" t="str">
            <v>50</v>
          </cell>
          <cell r="R851">
            <v>45719</v>
          </cell>
        </row>
        <row r="851">
          <cell r="U851" t="str">
            <v>010000519095</v>
          </cell>
          <cell r="V851" t="str">
            <v>PANQIFANG</v>
          </cell>
          <cell r="W851" t="str">
            <v/>
          </cell>
          <cell r="X851" t="str">
            <v>XH-000</v>
          </cell>
          <cell r="Y851" t="str">
            <v/>
          </cell>
          <cell r="Z851" t="str">
            <v>1902</v>
          </cell>
          <cell r="AA851" t="str">
            <v>1100142026</v>
          </cell>
          <cell r="AB851">
            <v>400</v>
          </cell>
          <cell r="AC851" t="str">
            <v/>
          </cell>
          <cell r="AD851">
            <v>0.68</v>
          </cell>
          <cell r="AE851" t="str">
            <v>G-100015451-250221-0008</v>
          </cell>
        </row>
        <row r="852">
          <cell r="B852" t="str">
            <v>7100911027</v>
          </cell>
          <cell r="C852" t="str">
            <v>G2104-6170</v>
          </cell>
          <cell r="D852" t="str">
            <v>000042944044087073</v>
          </cell>
          <cell r="E852" t="str">
            <v>十字槽沉头螺钉</v>
          </cell>
          <cell r="F852" t="str">
            <v>GB/T819.2-2016</v>
          </cell>
          <cell r="G852" t="str">
            <v>M5×8</v>
          </cell>
          <cell r="H852" t="str">
            <v>A2-70</v>
          </cell>
          <cell r="I852" t="str">
            <v>ECP</v>
          </cell>
          <cell r="J852" t="str">
            <v>ML1Cr18Ni9Ti</v>
          </cell>
          <cell r="K852">
            <v>500</v>
          </cell>
          <cell r="L852">
            <v>45713</v>
          </cell>
          <cell r="M852" t="str">
            <v>4-检验完成</v>
          </cell>
        </row>
        <row r="852">
          <cell r="O852">
            <v>0</v>
          </cell>
          <cell r="P852" t="str">
            <v>重庆红宇精密工业集团有限公司</v>
          </cell>
          <cell r="Q852" t="str">
            <v>130</v>
          </cell>
          <cell r="R852">
            <v>45715</v>
          </cell>
        </row>
        <row r="852">
          <cell r="U852" t="str">
            <v/>
          </cell>
          <cell r="V852" t="str">
            <v>LIZHIFENG</v>
          </cell>
          <cell r="W852" t="str">
            <v/>
          </cell>
          <cell r="X852" t="str">
            <v>MJ1-4-1-13</v>
          </cell>
          <cell r="Y852" t="str">
            <v/>
          </cell>
          <cell r="Z852" t="str">
            <v>1902</v>
          </cell>
          <cell r="AA852" t="str">
            <v>1100142026</v>
          </cell>
          <cell r="AB852">
            <v>500</v>
          </cell>
          <cell r="AC852" t="str">
            <v/>
          </cell>
          <cell r="AD852">
            <v>0.68</v>
          </cell>
          <cell r="AE852" t="str">
            <v>G-100015451-250221-0008</v>
          </cell>
        </row>
        <row r="853">
          <cell r="B853" t="str">
            <v>7100911027</v>
          </cell>
          <cell r="C853" t="str">
            <v>G2110-6104</v>
          </cell>
          <cell r="D853" t="str">
            <v>000042944044002220</v>
          </cell>
          <cell r="E853" t="str">
            <v>十字槽沉头螺钉</v>
          </cell>
          <cell r="F853" t="str">
            <v>GB/T819.1-2000</v>
          </cell>
          <cell r="G853" t="str">
            <v>M3×6</v>
          </cell>
          <cell r="H853" t="str">
            <v>4.8</v>
          </cell>
          <cell r="I853" t="str">
            <v>Ep·Zn-Ni·c2C</v>
          </cell>
          <cell r="J853" t="str">
            <v>ML25</v>
          </cell>
          <cell r="K853">
            <v>3800</v>
          </cell>
          <cell r="L853">
            <v>45713</v>
          </cell>
          <cell r="M853" t="str">
            <v>4-检验完成</v>
          </cell>
        </row>
        <row r="853">
          <cell r="O853">
            <v>0</v>
          </cell>
          <cell r="P853" t="str">
            <v>重庆红宇精密工业集团有限公司</v>
          </cell>
          <cell r="Q853" t="str">
            <v>90</v>
          </cell>
          <cell r="R853">
            <v>45715</v>
          </cell>
        </row>
        <row r="853">
          <cell r="U853" t="str">
            <v/>
          </cell>
          <cell r="V853" t="str">
            <v>LIZHIFENG</v>
          </cell>
          <cell r="W853" t="str">
            <v/>
          </cell>
          <cell r="X853" t="str">
            <v>XH-000</v>
          </cell>
          <cell r="Y853" t="str">
            <v/>
          </cell>
          <cell r="Z853" t="str">
            <v>1902</v>
          </cell>
          <cell r="AA853" t="str">
            <v>1100142026</v>
          </cell>
          <cell r="AB853">
            <v>3800</v>
          </cell>
          <cell r="AC853" t="str">
            <v/>
          </cell>
          <cell r="AD853">
            <v>0.68</v>
          </cell>
          <cell r="AE853" t="str">
            <v>G-100015451-250221-0008</v>
          </cell>
        </row>
        <row r="854">
          <cell r="B854" t="str">
            <v>7100911566</v>
          </cell>
          <cell r="C854" t="str">
            <v>G02203-150</v>
          </cell>
          <cell r="D854" t="str">
            <v>000042944281000623</v>
          </cell>
          <cell r="E854" t="str">
            <v>1型六角螺母</v>
          </cell>
          <cell r="F854" t="str">
            <v>GB/T6170-2000</v>
          </cell>
          <cell r="G854" t="str">
            <v>M4</v>
          </cell>
          <cell r="H854" t="str">
            <v>8</v>
          </cell>
          <cell r="I854" t="str">
            <v>Ep·Zn·c2C</v>
          </cell>
          <cell r="J854" t="str">
            <v>ML25</v>
          </cell>
          <cell r="K854">
            <v>1400</v>
          </cell>
          <cell r="L854">
            <v>45714</v>
          </cell>
          <cell r="M854" t="str">
            <v>4-检验完成</v>
          </cell>
        </row>
        <row r="854">
          <cell r="O854">
            <v>0</v>
          </cell>
          <cell r="P854" t="str">
            <v>重庆红宇精密工业集团有限公司</v>
          </cell>
          <cell r="Q854" t="str">
            <v>80</v>
          </cell>
          <cell r="R854">
            <v>45718</v>
          </cell>
        </row>
        <row r="854">
          <cell r="U854" t="str">
            <v/>
          </cell>
          <cell r="V854" t="str">
            <v>PANQIFANG</v>
          </cell>
          <cell r="W854" t="str">
            <v/>
          </cell>
          <cell r="X854" t="str">
            <v>BK-6-3-4</v>
          </cell>
          <cell r="Y854" t="str">
            <v/>
          </cell>
          <cell r="Z854" t="str">
            <v>1902</v>
          </cell>
          <cell r="AA854" t="str">
            <v>1100142026</v>
          </cell>
          <cell r="AB854">
            <v>1400</v>
          </cell>
          <cell r="AC854" t="str">
            <v/>
          </cell>
          <cell r="AD854">
            <v>0.9</v>
          </cell>
          <cell r="AE854" t="str">
            <v>G-100015451-250221-0008</v>
          </cell>
        </row>
        <row r="855">
          <cell r="B855" t="str">
            <v>7100911566</v>
          </cell>
          <cell r="C855" t="str">
            <v>G02203-183</v>
          </cell>
          <cell r="D855" t="str">
            <v>000042944402000390</v>
          </cell>
          <cell r="E855" t="str">
            <v>专用弹簧垫圈-标准型不锈钢弹簧垫圈</v>
          </cell>
          <cell r="F855" t="str">
            <v>QJ2963.2-1997</v>
          </cell>
          <cell r="G855" t="str">
            <v>4</v>
          </cell>
          <cell r="H855" t="str">
            <v/>
          </cell>
          <cell r="I855" t="str">
            <v>ECP</v>
          </cell>
          <cell r="J855" t="str">
            <v>1Cr18Ni9Ti</v>
          </cell>
          <cell r="K855">
            <v>1100</v>
          </cell>
          <cell r="L855">
            <v>45714</v>
          </cell>
          <cell r="M855" t="str">
            <v>4-检验完成</v>
          </cell>
        </row>
        <row r="855">
          <cell r="O855">
            <v>0</v>
          </cell>
          <cell r="P855" t="str">
            <v>重庆红宇精密工业集团有限公司</v>
          </cell>
          <cell r="Q855" t="str">
            <v>70</v>
          </cell>
          <cell r="R855">
            <v>45718</v>
          </cell>
        </row>
        <row r="855">
          <cell r="U855" t="str">
            <v/>
          </cell>
          <cell r="V855" t="str">
            <v>PANQIFANG</v>
          </cell>
          <cell r="W855" t="str">
            <v/>
          </cell>
          <cell r="X855" t="str">
            <v>XN-97-1-1-1</v>
          </cell>
          <cell r="Y855" t="str">
            <v/>
          </cell>
          <cell r="Z855" t="str">
            <v>1902</v>
          </cell>
          <cell r="AA855" t="str">
            <v>1100142026</v>
          </cell>
          <cell r="AB855">
            <v>1100</v>
          </cell>
          <cell r="AC855" t="str">
            <v/>
          </cell>
          <cell r="AD855">
            <v>0.79</v>
          </cell>
          <cell r="AE855" t="str">
            <v>G-100015451-250221-0008</v>
          </cell>
        </row>
        <row r="856">
          <cell r="B856" t="str">
            <v>7100911656</v>
          </cell>
          <cell r="C856" t="str">
            <v>G2110-6103</v>
          </cell>
          <cell r="D856" t="str">
            <v>000042944044002210</v>
          </cell>
          <cell r="E856" t="str">
            <v>十字槽沉头螺钉</v>
          </cell>
          <cell r="F856" t="str">
            <v>GB/T819.1-2000</v>
          </cell>
          <cell r="G856" t="str">
            <v>M3×5</v>
          </cell>
          <cell r="H856" t="str">
            <v>4.8</v>
          </cell>
          <cell r="I856" t="str">
            <v>Ep·Zn-Ni·c2C</v>
          </cell>
          <cell r="J856" t="str">
            <v>ML25</v>
          </cell>
          <cell r="K856">
            <v>300</v>
          </cell>
          <cell r="L856">
            <v>45714</v>
          </cell>
          <cell r="M856" t="str">
            <v>4-检验完成</v>
          </cell>
        </row>
        <row r="856">
          <cell r="O856">
            <v>0</v>
          </cell>
          <cell r="P856" t="str">
            <v>重庆红宇精密工业集团有限公司</v>
          </cell>
          <cell r="Q856" t="str">
            <v>30</v>
          </cell>
          <cell r="R856">
            <v>45718</v>
          </cell>
        </row>
        <row r="856">
          <cell r="U856" t="str">
            <v/>
          </cell>
          <cell r="V856" t="str">
            <v>PANQIFANG</v>
          </cell>
          <cell r="W856" t="str">
            <v/>
          </cell>
          <cell r="X856" t="str">
            <v>XH-000</v>
          </cell>
          <cell r="Y856" t="str">
            <v/>
          </cell>
          <cell r="Z856" t="str">
            <v>1902</v>
          </cell>
          <cell r="AA856" t="str">
            <v>1100142026</v>
          </cell>
          <cell r="AB856">
            <v>300</v>
          </cell>
          <cell r="AC856" t="str">
            <v/>
          </cell>
          <cell r="AD856">
            <v>0.68</v>
          </cell>
          <cell r="AE856" t="str">
            <v>G-100015451-250221-0008</v>
          </cell>
        </row>
        <row r="857">
          <cell r="B857" t="str">
            <v>7100913583</v>
          </cell>
          <cell r="C857" t="str">
            <v>G2302-9033</v>
          </cell>
          <cell r="D857" t="str">
            <v>000042944044002237</v>
          </cell>
          <cell r="E857" t="str">
            <v>十字槽沉头螺钉</v>
          </cell>
          <cell r="F857" t="str">
            <v>GB/T819.1-2000</v>
          </cell>
          <cell r="G857" t="str">
            <v>M3×8</v>
          </cell>
          <cell r="H857" t="str">
            <v>4.8</v>
          </cell>
          <cell r="I857" t="str">
            <v>Ep·Zn-Ni·c2C</v>
          </cell>
          <cell r="J857" t="str">
            <v>ML25</v>
          </cell>
          <cell r="K857">
            <v>679</v>
          </cell>
          <cell r="L857">
            <v>45719</v>
          </cell>
          <cell r="M857" t="str">
            <v>1-已打印</v>
          </cell>
        </row>
        <row r="857">
          <cell r="O857">
            <v>0</v>
          </cell>
          <cell r="P857" t="str">
            <v>重庆红宇精密工业集团有限公司</v>
          </cell>
          <cell r="Q857" t="str">
            <v>40</v>
          </cell>
        </row>
        <row r="857">
          <cell r="U857" t="str">
            <v/>
          </cell>
          <cell r="V857" t="str">
            <v/>
          </cell>
          <cell r="W857" t="str">
            <v/>
          </cell>
          <cell r="X857" t="str">
            <v>XH-000</v>
          </cell>
          <cell r="Y857" t="str">
            <v/>
          </cell>
          <cell r="Z857" t="str">
            <v>1902</v>
          </cell>
          <cell r="AA857" t="str">
            <v>1100142026</v>
          </cell>
          <cell r="AB857">
            <v>900</v>
          </cell>
          <cell r="AC857" t="str">
            <v/>
          </cell>
          <cell r="AD857">
            <v>0.68</v>
          </cell>
          <cell r="AE857" t="str">
            <v>G-100015451-250221-0008</v>
          </cell>
        </row>
        <row r="858">
          <cell r="B858" t="str">
            <v>7100915171</v>
          </cell>
          <cell r="C858" t="str">
            <v>G2110-6106</v>
          </cell>
          <cell r="D858" t="str">
            <v>000042944044002237</v>
          </cell>
          <cell r="E858" t="str">
            <v>十字槽沉头螺钉</v>
          </cell>
          <cell r="F858" t="str">
            <v>GB/T819.1-2000</v>
          </cell>
          <cell r="G858" t="str">
            <v>M3×8</v>
          </cell>
          <cell r="H858" t="str">
            <v>4.8</v>
          </cell>
          <cell r="I858" t="str">
            <v>Ep·Zn-Ni·c2C</v>
          </cell>
          <cell r="J858" t="str">
            <v>ML25</v>
          </cell>
          <cell r="K858">
            <v>68</v>
          </cell>
          <cell r="L858">
            <v>45722</v>
          </cell>
          <cell r="M858" t="str">
            <v>1-已打印</v>
          </cell>
        </row>
        <row r="858">
          <cell r="O858">
            <v>0</v>
          </cell>
          <cell r="P858" t="str">
            <v>重庆红宇精密工业集团有限公司</v>
          </cell>
          <cell r="Q858" t="str">
            <v>40</v>
          </cell>
        </row>
        <row r="858">
          <cell r="U858" t="str">
            <v/>
          </cell>
          <cell r="V858" t="str">
            <v/>
          </cell>
          <cell r="W858" t="str">
            <v/>
          </cell>
          <cell r="X858" t="str">
            <v>XH-000</v>
          </cell>
          <cell r="Y858" t="str">
            <v/>
          </cell>
          <cell r="Z858" t="str">
            <v>1902</v>
          </cell>
          <cell r="AA858" t="str">
            <v>1100142026</v>
          </cell>
          <cell r="AB858">
            <v>900</v>
          </cell>
          <cell r="AC858" t="str">
            <v/>
          </cell>
          <cell r="AD858">
            <v>0.68</v>
          </cell>
          <cell r="AE858" t="str">
            <v>G-100015451-250221-0008</v>
          </cell>
        </row>
        <row r="859">
          <cell r="B859">
            <v>7100923001</v>
          </cell>
          <cell r="C859" t="str">
            <v>G2502-9035</v>
          </cell>
          <cell r="D859">
            <v>42944044000735</v>
          </cell>
          <cell r="E859" t="str">
            <v>十字槽盘头螺钉</v>
          </cell>
          <cell r="F859" t="str">
            <v>GB/T818-2000</v>
          </cell>
          <cell r="G859" t="str">
            <v>M2×6</v>
          </cell>
          <cell r="H859">
            <v>4.8</v>
          </cell>
          <cell r="I859" t="str">
            <v>Ep·Zn-Ni·c2C</v>
          </cell>
          <cell r="J859" t="str">
            <v>ML25</v>
          </cell>
          <cell r="K859">
            <v>1285</v>
          </cell>
          <cell r="L859">
            <v>45737</v>
          </cell>
          <cell r="M859" t="str">
            <v>4-检验完成</v>
          </cell>
        </row>
        <row r="859">
          <cell r="P859" t="str">
            <v>重庆红宇精密工业集团有限公司</v>
          </cell>
          <cell r="Q859">
            <v>20</v>
          </cell>
          <cell r="R859">
            <v>45737</v>
          </cell>
        </row>
        <row r="859">
          <cell r="U859">
            <v>10000789286</v>
          </cell>
          <cell r="V859" t="str">
            <v>LIZHIFENG</v>
          </cell>
        </row>
        <row r="859">
          <cell r="X859" t="str">
            <v>CP-108-A</v>
          </cell>
        </row>
        <row r="859">
          <cell r="Z859">
            <v>1902</v>
          </cell>
          <cell r="AA859">
            <v>1100142026</v>
          </cell>
          <cell r="AB859">
            <v>1300</v>
          </cell>
        </row>
        <row r="859">
          <cell r="AD859">
            <v>0.68</v>
          </cell>
          <cell r="AE859" t="str">
            <v>G-100015451-250221-0008</v>
          </cell>
        </row>
        <row r="860">
          <cell r="B860">
            <v>7100922919</v>
          </cell>
          <cell r="C860" t="str">
            <v>GW2503-238</v>
          </cell>
          <cell r="D860">
            <v>42944320008241</v>
          </cell>
          <cell r="E860" t="str">
            <v>90°沉头铆钉</v>
          </cell>
          <cell r="F860" t="str">
            <v>HB6306-2002</v>
          </cell>
          <cell r="G860" t="str">
            <v>3×13</v>
          </cell>
          <cell r="H860" t="str">
            <v>淬火及时效</v>
          </cell>
          <cell r="I860" t="str">
            <v>Ct·O</v>
          </cell>
          <cell r="J860" t="str">
            <v>LY10</v>
          </cell>
          <cell r="K860">
            <v>1600</v>
          </cell>
          <cell r="L860">
            <v>45737</v>
          </cell>
          <cell r="M860" t="str">
            <v>3-配货完成</v>
          </cell>
        </row>
        <row r="860">
          <cell r="P860" t="str">
            <v>重庆红宇精密工业集团有限公司</v>
          </cell>
          <cell r="Q860">
            <v>10</v>
          </cell>
        </row>
        <row r="860">
          <cell r="V860" t="str">
            <v>PANQIFANG</v>
          </cell>
        </row>
        <row r="860">
          <cell r="X860" t="str">
            <v>XH-000</v>
          </cell>
        </row>
        <row r="860">
          <cell r="Z860">
            <v>1902</v>
          </cell>
          <cell r="AA860">
            <v>1100140267</v>
          </cell>
          <cell r="AB860">
            <v>1600</v>
          </cell>
        </row>
        <row r="860">
          <cell r="AD860">
            <v>0.45</v>
          </cell>
          <cell r="AE860" t="str">
            <v>G-100015451-250113-0004-1-T</v>
          </cell>
        </row>
        <row r="861">
          <cell r="B861">
            <v>7100922915</v>
          </cell>
          <cell r="C861" t="str">
            <v>G2502-9034</v>
          </cell>
          <cell r="D861">
            <v>42944043000520</v>
          </cell>
          <cell r="E861" t="str">
            <v>开槽圆柱头螺钉</v>
          </cell>
          <cell r="F861" t="str">
            <v>GB/T65-2000</v>
          </cell>
          <cell r="G861" t="str">
            <v>M2×6</v>
          </cell>
          <cell r="H861">
            <v>5.8</v>
          </cell>
          <cell r="I861" t="str">
            <v>Ep·Zn·c2C</v>
          </cell>
          <cell r="J861" t="str">
            <v>ML25</v>
          </cell>
          <cell r="K861">
            <v>687</v>
          </cell>
          <cell r="L861">
            <v>45737</v>
          </cell>
          <cell r="M861" t="str">
            <v>3-配货完成</v>
          </cell>
        </row>
        <row r="861">
          <cell r="P861" t="str">
            <v>重庆红宇精密工业集团有限公司</v>
          </cell>
          <cell r="Q861">
            <v>100</v>
          </cell>
        </row>
        <row r="861">
          <cell r="U861">
            <v>10000789285</v>
          </cell>
          <cell r="V861" t="str">
            <v>QIAOXUPENG</v>
          </cell>
        </row>
        <row r="861">
          <cell r="X861" t="str">
            <v>CP-108-A</v>
          </cell>
        </row>
        <row r="861">
          <cell r="Z861">
            <v>1902</v>
          </cell>
          <cell r="AA861">
            <v>1100142026</v>
          </cell>
          <cell r="AB861">
            <v>700</v>
          </cell>
        </row>
        <row r="861">
          <cell r="AD861">
            <v>0.68</v>
          </cell>
          <cell r="AE861" t="str">
            <v>G-100015451-250221-0008</v>
          </cell>
        </row>
        <row r="862">
          <cell r="B862">
            <v>7100922282</v>
          </cell>
          <cell r="C862" t="str">
            <v>G2502-2931</v>
          </cell>
          <cell r="D862">
            <v>42944044091449</v>
          </cell>
          <cell r="E862" t="str">
            <v>十字槽沉头螺钉</v>
          </cell>
          <cell r="F862" t="str">
            <v>GB/T819.2-1997(CQHY)</v>
          </cell>
          <cell r="G862" t="str">
            <v>M3×8</v>
          </cell>
          <cell r="H862">
            <v>8.8</v>
          </cell>
          <cell r="I862" t="str">
            <v>Ep·Zn-Ni·c2C</v>
          </cell>
          <cell r="J862" t="str">
            <v>ML30CrMnSiA</v>
          </cell>
          <cell r="K862">
            <v>2946</v>
          </cell>
          <cell r="L862">
            <v>45736</v>
          </cell>
          <cell r="M862" t="str">
            <v>4-检验完成</v>
          </cell>
        </row>
        <row r="862">
          <cell r="P862" t="str">
            <v>重庆红宇精密工业集团有限公司</v>
          </cell>
          <cell r="Q862">
            <v>120</v>
          </cell>
          <cell r="R862">
            <v>45736</v>
          </cell>
        </row>
        <row r="862">
          <cell r="U862">
            <v>10000788878</v>
          </cell>
          <cell r="V862" t="str">
            <v>LIZHIFENG</v>
          </cell>
        </row>
        <row r="862">
          <cell r="X862" t="str">
            <v>CP-108-A</v>
          </cell>
        </row>
        <row r="862">
          <cell r="Z862">
            <v>1902</v>
          </cell>
          <cell r="AA862">
            <v>1100142026</v>
          </cell>
          <cell r="AB862">
            <v>4500</v>
          </cell>
        </row>
        <row r="862">
          <cell r="AD862">
            <v>0.68</v>
          </cell>
          <cell r="AE862" t="str">
            <v>G-100015451-250221-0008</v>
          </cell>
        </row>
        <row r="863">
          <cell r="B863" t="str">
            <v>7100923043</v>
          </cell>
          <cell r="C863" t="str">
            <v>G2412-0120</v>
          </cell>
          <cell r="D863" t="str">
            <v>000042944044008950</v>
          </cell>
          <cell r="E863" t="str">
            <v>钛合金十字槽沉头螺钉</v>
          </cell>
          <cell r="F863" t="str">
            <v>QJ2584-1993</v>
          </cell>
          <cell r="G863" t="str">
            <v>M5×10</v>
          </cell>
          <cell r="H863" t="str">
            <v>σb≥800MPa</v>
          </cell>
          <cell r="I863" t="str">
            <v>蓝色阳极氧化</v>
          </cell>
          <cell r="J863" t="str">
            <v>TB3</v>
          </cell>
          <cell r="K863">
            <v>350</v>
          </cell>
          <cell r="L863">
            <v>45737</v>
          </cell>
          <cell r="M863" t="str">
            <v>4-检验完成</v>
          </cell>
        </row>
        <row r="863">
          <cell r="O863">
            <v>0</v>
          </cell>
          <cell r="P863" t="str">
            <v>重庆红宇精密工业集团有限公司</v>
          </cell>
          <cell r="Q863" t="str">
            <v>90</v>
          </cell>
          <cell r="R863">
            <v>45739</v>
          </cell>
        </row>
        <row r="863">
          <cell r="U863" t="str">
            <v>010000757624</v>
          </cell>
          <cell r="V863" t="str">
            <v>PANQIFANG</v>
          </cell>
          <cell r="W863" t="str">
            <v/>
          </cell>
          <cell r="X863" t="str">
            <v>CP-108-A</v>
          </cell>
          <cell r="Y863" t="str">
            <v/>
          </cell>
          <cell r="Z863" t="str">
            <v>1902</v>
          </cell>
          <cell r="AA863" t="str">
            <v>1100137282</v>
          </cell>
          <cell r="AB863">
            <v>350</v>
          </cell>
          <cell r="AC863" t="str">
            <v/>
          </cell>
          <cell r="AD863">
            <v>9.04</v>
          </cell>
          <cell r="AE863" t="str">
            <v>G-100015451-241115-0044</v>
          </cell>
        </row>
        <row r="864">
          <cell r="B864" t="str">
            <v>7100924150</v>
          </cell>
          <cell r="C864" t="str">
            <v>G2502-9037</v>
          </cell>
          <cell r="D864" t="str">
            <v>000042944044002237</v>
          </cell>
          <cell r="E864" t="str">
            <v>十字槽沉头螺钉</v>
          </cell>
          <cell r="F864" t="str">
            <v>GB/T819.1-2000</v>
          </cell>
          <cell r="G864" t="str">
            <v>M3×8</v>
          </cell>
          <cell r="H864" t="str">
            <v>4.8</v>
          </cell>
          <cell r="I864" t="str">
            <v>Ep·Zn-Ni·c2C</v>
          </cell>
          <cell r="J864" t="str">
            <v>ML25</v>
          </cell>
          <cell r="K864">
            <v>153</v>
          </cell>
          <cell r="L864">
            <v>45740</v>
          </cell>
          <cell r="M864" t="str">
            <v>4-检验完成</v>
          </cell>
        </row>
        <row r="864">
          <cell r="O864">
            <v>0</v>
          </cell>
          <cell r="P864" t="str">
            <v>重庆红宇精密工业集团有限公司</v>
          </cell>
          <cell r="Q864" t="str">
            <v>40</v>
          </cell>
          <cell r="R864">
            <v>45740</v>
          </cell>
        </row>
        <row r="864">
          <cell r="U864" t="str">
            <v>010000789288</v>
          </cell>
          <cell r="V864" t="str">
            <v>HANXIAOLAN</v>
          </cell>
          <cell r="W864" t="str">
            <v/>
          </cell>
          <cell r="X864" t="str">
            <v>CP-108-A</v>
          </cell>
          <cell r="Y864" t="str">
            <v/>
          </cell>
          <cell r="Z864" t="str">
            <v>1902</v>
          </cell>
          <cell r="AA864" t="str">
            <v>1100142026</v>
          </cell>
          <cell r="AB864">
            <v>900</v>
          </cell>
          <cell r="AC864" t="str">
            <v/>
          </cell>
          <cell r="AD864">
            <v>0.68</v>
          </cell>
          <cell r="AE864" t="str">
            <v>G-100015451-250221-0008</v>
          </cell>
        </row>
        <row r="865">
          <cell r="B865" t="str">
            <v>7100924156</v>
          </cell>
          <cell r="C865" t="str">
            <v>G1903-6156</v>
          </cell>
          <cell r="D865" t="str">
            <v>000042944043002538</v>
          </cell>
          <cell r="E865" t="str">
            <v>开槽盘头螺钉</v>
          </cell>
          <cell r="F865" t="str">
            <v>GB/T67-2000</v>
          </cell>
          <cell r="G865" t="str">
            <v>M3×23</v>
          </cell>
          <cell r="H865" t="str">
            <v>A2-70</v>
          </cell>
          <cell r="I865" t="str">
            <v>ECP</v>
          </cell>
          <cell r="J865" t="str">
            <v>ML1Cr18Ni9Ti</v>
          </cell>
          <cell r="K865">
            <v>20</v>
          </cell>
          <cell r="L865">
            <v>45740</v>
          </cell>
          <cell r="M865" t="str">
            <v>3-配货完成</v>
          </cell>
        </row>
        <row r="865">
          <cell r="O865">
            <v>0</v>
          </cell>
          <cell r="P865" t="str">
            <v>重庆红宇精密工业集团有限公司</v>
          </cell>
          <cell r="Q865" t="str">
            <v>20</v>
          </cell>
        </row>
        <row r="865">
          <cell r="U865" t="str">
            <v/>
          </cell>
          <cell r="V865" t="str">
            <v>QIAOXUPENG</v>
          </cell>
          <cell r="W865" t="str">
            <v/>
          </cell>
          <cell r="X865" t="str">
            <v>MJ5-2-1-9</v>
          </cell>
          <cell r="Y865" t="str">
            <v/>
          </cell>
          <cell r="Z865" t="str">
            <v>1902</v>
          </cell>
          <cell r="AA865" t="str">
            <v>1400004783</v>
          </cell>
          <cell r="AB865">
            <v>20</v>
          </cell>
          <cell r="AC865" t="str">
            <v/>
          </cell>
          <cell r="AD865">
            <v>0</v>
          </cell>
          <cell r="AE865" t="str">
            <v>G-100015451-250324-0016XH</v>
          </cell>
        </row>
        <row r="866">
          <cell r="B866" t="str">
            <v>7100924156</v>
          </cell>
          <cell r="C866" t="str">
            <v>H2004-6069</v>
          </cell>
          <cell r="D866" t="str">
            <v>000042944043002552</v>
          </cell>
          <cell r="E866" t="str">
            <v>开槽盘头螺钉</v>
          </cell>
          <cell r="F866" t="str">
            <v>GB/T67-2000</v>
          </cell>
          <cell r="G866" t="str">
            <v>M3×25</v>
          </cell>
          <cell r="H866" t="str">
            <v>8.8</v>
          </cell>
          <cell r="I866" t="str">
            <v>Ep·Zn·c2C</v>
          </cell>
          <cell r="J866" t="str">
            <v>ML30CrMnSiA</v>
          </cell>
          <cell r="K866">
            <v>20</v>
          </cell>
          <cell r="L866">
            <v>45740</v>
          </cell>
          <cell r="M866" t="str">
            <v>3-配货完成</v>
          </cell>
        </row>
        <row r="866">
          <cell r="O866">
            <v>0</v>
          </cell>
          <cell r="P866" t="str">
            <v>重庆红宇精密工业集团有限公司</v>
          </cell>
          <cell r="Q866" t="str">
            <v>10</v>
          </cell>
        </row>
        <row r="866">
          <cell r="U866" t="str">
            <v/>
          </cell>
          <cell r="V866" t="str">
            <v>QIAOXUPENG</v>
          </cell>
          <cell r="W866" t="str">
            <v/>
          </cell>
          <cell r="X866" t="str">
            <v>MJ4-2-1-10</v>
          </cell>
          <cell r="Y866" t="str">
            <v/>
          </cell>
          <cell r="Z866" t="str">
            <v>1902</v>
          </cell>
          <cell r="AA866" t="str">
            <v>1400004783</v>
          </cell>
          <cell r="AB866">
            <v>20</v>
          </cell>
          <cell r="AC866" t="str">
            <v/>
          </cell>
          <cell r="AD866">
            <v>0</v>
          </cell>
          <cell r="AE866" t="str">
            <v>G-100015451-250324-0016XH</v>
          </cell>
        </row>
        <row r="867">
          <cell r="B867" t="str">
            <v>7100924210</v>
          </cell>
          <cell r="C867" t="str">
            <v>G1903-6228</v>
          </cell>
          <cell r="D867" t="str">
            <v>000042944401051611</v>
          </cell>
          <cell r="E867" t="str">
            <v>平垫圈</v>
          </cell>
          <cell r="F867" t="str">
            <v>GB/T97.1-2002</v>
          </cell>
          <cell r="G867" t="str">
            <v>3</v>
          </cell>
          <cell r="H867" t="str">
            <v>200HV</v>
          </cell>
          <cell r="I867" t="str">
            <v>Ep·Zn·c2C</v>
          </cell>
          <cell r="J867" t="str">
            <v>ML30CrMnSiA</v>
          </cell>
          <cell r="K867">
            <v>20</v>
          </cell>
          <cell r="L867">
            <v>45740</v>
          </cell>
          <cell r="M867" t="str">
            <v>3-配货完成</v>
          </cell>
        </row>
        <row r="867">
          <cell r="O867">
            <v>0</v>
          </cell>
          <cell r="P867" t="str">
            <v>重庆红宇精密工业集团有限公司</v>
          </cell>
          <cell r="Q867" t="str">
            <v>30</v>
          </cell>
        </row>
        <row r="867">
          <cell r="U867" t="str">
            <v/>
          </cell>
          <cell r="V867" t="str">
            <v>PANQIFANG</v>
          </cell>
          <cell r="W867" t="str">
            <v/>
          </cell>
          <cell r="X867" t="str">
            <v>MJ9-3-1-1/CP-21-4-3-18</v>
          </cell>
          <cell r="Y867" t="str">
            <v/>
          </cell>
          <cell r="Z867" t="str">
            <v>1902</v>
          </cell>
          <cell r="AA867" t="str">
            <v>1400004783</v>
          </cell>
          <cell r="AB867">
            <v>20</v>
          </cell>
          <cell r="AC867" t="str">
            <v/>
          </cell>
          <cell r="AD867">
            <v>0</v>
          </cell>
          <cell r="AE867" t="str">
            <v>G-100015451-250324-0016XH</v>
          </cell>
        </row>
        <row r="868">
          <cell r="B868" t="str">
            <v>7100924884</v>
          </cell>
          <cell r="C868" t="str">
            <v>G1903-6228</v>
          </cell>
          <cell r="D868" t="str">
            <v>000042944401051611</v>
          </cell>
          <cell r="E868" t="str">
            <v>平垫圈</v>
          </cell>
          <cell r="F868" t="str">
            <v>GB/T97.1-2002</v>
          </cell>
          <cell r="G868" t="str">
            <v>3</v>
          </cell>
          <cell r="H868" t="str">
            <v>200HV</v>
          </cell>
          <cell r="I868" t="str">
            <v>Ep·Zn·c2C</v>
          </cell>
          <cell r="J868" t="str">
            <v>ML30CrMnSiA</v>
          </cell>
          <cell r="K868">
            <v>20</v>
          </cell>
          <cell r="L868">
            <v>45741</v>
          </cell>
          <cell r="M868" t="str">
            <v>3-配货完成</v>
          </cell>
        </row>
        <row r="868">
          <cell r="O868">
            <v>0</v>
          </cell>
          <cell r="P868" t="str">
            <v>重庆红宇精密工业集团有限公司</v>
          </cell>
          <cell r="Q868" t="str">
            <v>30</v>
          </cell>
        </row>
        <row r="868">
          <cell r="U868" t="str">
            <v/>
          </cell>
          <cell r="V868" t="str">
            <v>QIAOXUPENG</v>
          </cell>
          <cell r="W868" t="str">
            <v/>
          </cell>
          <cell r="X868" t="str">
            <v>MJ9-3-1-1/CP-21-4-3-18</v>
          </cell>
          <cell r="Y868" t="str">
            <v/>
          </cell>
          <cell r="Z868" t="str">
            <v>1902</v>
          </cell>
          <cell r="AA868" t="str">
            <v>1100143935</v>
          </cell>
          <cell r="AB868">
            <v>20</v>
          </cell>
          <cell r="AC868" t="str">
            <v/>
          </cell>
          <cell r="AD868">
            <v>0</v>
          </cell>
          <cell r="AE868" t="str">
            <v>G-100015451-250324-0015XH</v>
          </cell>
        </row>
        <row r="869">
          <cell r="B869">
            <v>7100926188</v>
          </cell>
          <cell r="C869" t="str">
            <v>G2501-2000</v>
          </cell>
          <cell r="D869">
            <v>42944288000715</v>
          </cell>
          <cell r="E869" t="str">
            <v>气密双耳托板自锁螺母</v>
          </cell>
          <cell r="F869" t="str">
            <v>GB933-1988</v>
          </cell>
          <cell r="G869" t="str">
            <v>M8</v>
          </cell>
          <cell r="H869" t="str">
            <v>30-36HRC</v>
          </cell>
          <cell r="I869" t="str">
            <v>Ep·Cd·c2C</v>
          </cell>
          <cell r="J869" t="str">
            <v>组件(螺母体ML30CrMnSiA)</v>
          </cell>
          <cell r="K869">
            <v>394</v>
          </cell>
          <cell r="L869">
            <v>45742</v>
          </cell>
          <cell r="M869" t="str">
            <v>4-检验完成</v>
          </cell>
        </row>
        <row r="869">
          <cell r="P869" t="str">
            <v>重庆红宇精密工业集团有限公司</v>
          </cell>
          <cell r="Q869">
            <v>10</v>
          </cell>
          <cell r="R869">
            <v>45742</v>
          </cell>
        </row>
        <row r="869">
          <cell r="U869">
            <v>10000775642</v>
          </cell>
          <cell r="V869" t="str">
            <v>PANMINGTAO</v>
          </cell>
        </row>
        <row r="869">
          <cell r="X869" t="str">
            <v>XC-1-1-10</v>
          </cell>
        </row>
        <row r="869">
          <cell r="Z869">
            <v>1902</v>
          </cell>
          <cell r="AA869">
            <v>1100140268</v>
          </cell>
          <cell r="AB869">
            <v>600</v>
          </cell>
        </row>
        <row r="869">
          <cell r="AD869">
            <v>11.3</v>
          </cell>
          <cell r="AE869" t="str">
            <v>G-100015451-250113-0004-2</v>
          </cell>
        </row>
        <row r="870">
          <cell r="B870">
            <v>7100926187</v>
          </cell>
          <cell r="C870" t="str">
            <v>G2501-2000</v>
          </cell>
          <cell r="D870">
            <v>42944288000715</v>
          </cell>
          <cell r="E870" t="str">
            <v>气密双耳托板自锁螺母</v>
          </cell>
          <cell r="F870" t="str">
            <v>GB933-1988</v>
          </cell>
          <cell r="G870" t="str">
            <v>M8</v>
          </cell>
          <cell r="H870" t="str">
            <v>30-36HRC</v>
          </cell>
          <cell r="I870" t="str">
            <v>Ep·Cd·c2C</v>
          </cell>
          <cell r="J870" t="str">
            <v>组件(螺母体ML30CrMnSiA)</v>
          </cell>
          <cell r="K870">
            <v>200</v>
          </cell>
          <cell r="L870">
            <v>45742</v>
          </cell>
          <cell r="M870" t="str">
            <v>4-检验完成</v>
          </cell>
        </row>
        <row r="870">
          <cell r="P870" t="str">
            <v>重庆红宇精密工业集团有限公司</v>
          </cell>
          <cell r="Q870">
            <v>10</v>
          </cell>
          <cell r="R870">
            <v>45742</v>
          </cell>
        </row>
        <row r="870">
          <cell r="U870">
            <v>10000775642</v>
          </cell>
          <cell r="V870" t="str">
            <v>PANMINGTAO</v>
          </cell>
        </row>
        <row r="870">
          <cell r="X870" t="str">
            <v>XC-1-1-10</v>
          </cell>
        </row>
        <row r="870">
          <cell r="Z870">
            <v>1902</v>
          </cell>
          <cell r="AA870">
            <v>1100138263</v>
          </cell>
          <cell r="AB870">
            <v>1100</v>
          </cell>
        </row>
        <row r="870">
          <cell r="AD870">
            <v>11.3</v>
          </cell>
          <cell r="AE870" t="str">
            <v>G-100015451-241205-0047</v>
          </cell>
        </row>
        <row r="871">
          <cell r="B871" t="str">
            <v>7100926038</v>
          </cell>
          <cell r="C871" t="str">
            <v>G2502-2277</v>
          </cell>
          <cell r="D871" t="str">
            <v>000042944044008983</v>
          </cell>
          <cell r="E871" t="str">
            <v>钛合金十字槽沉头螺钉</v>
          </cell>
          <cell r="F871" t="str">
            <v>QJ2584-1993</v>
          </cell>
          <cell r="G871" t="str">
            <v>M5×6</v>
          </cell>
          <cell r="H871" t="str">
            <v>σb≥800MPa</v>
          </cell>
          <cell r="I871" t="str">
            <v>蓝色阳极氧化</v>
          </cell>
          <cell r="J871" t="str">
            <v>TB3</v>
          </cell>
          <cell r="K871">
            <v>322</v>
          </cell>
          <cell r="L871">
            <v>45742</v>
          </cell>
          <cell r="M871" t="str">
            <v>4-检验完成</v>
          </cell>
        </row>
        <row r="871">
          <cell r="O871">
            <v>0</v>
          </cell>
          <cell r="P871" t="str">
            <v>重庆红宇精密工业集团有限公司</v>
          </cell>
          <cell r="Q871" t="str">
            <v>70</v>
          </cell>
          <cell r="R871">
            <v>45743</v>
          </cell>
        </row>
        <row r="871">
          <cell r="U871" t="str">
            <v>010000786648</v>
          </cell>
          <cell r="V871" t="str">
            <v>HANXIAOLAN</v>
          </cell>
          <cell r="W871" t="str">
            <v/>
          </cell>
          <cell r="X871" t="str">
            <v>CP-108-A</v>
          </cell>
          <cell r="Y871" t="str">
            <v/>
          </cell>
          <cell r="Z871" t="str">
            <v>1902</v>
          </cell>
          <cell r="AA871" t="str">
            <v>1100137282</v>
          </cell>
          <cell r="AB871">
            <v>400</v>
          </cell>
          <cell r="AC871" t="str">
            <v/>
          </cell>
          <cell r="AD871">
            <v>9.04</v>
          </cell>
          <cell r="AE871" t="str">
            <v>G-100015451-241115-0044</v>
          </cell>
        </row>
        <row r="872">
          <cell r="B872" t="str">
            <v>7100925424</v>
          </cell>
          <cell r="C872" t="str">
            <v>G1903-6156</v>
          </cell>
          <cell r="D872" t="str">
            <v>000042944043002538</v>
          </cell>
          <cell r="E872" t="str">
            <v>开槽盘头螺钉</v>
          </cell>
          <cell r="F872" t="str">
            <v>GB/T67-2000</v>
          </cell>
          <cell r="G872" t="str">
            <v>M3×23</v>
          </cell>
          <cell r="H872" t="str">
            <v>A2-70</v>
          </cell>
          <cell r="I872" t="str">
            <v>ECP</v>
          </cell>
          <cell r="J872" t="str">
            <v>ML1Cr18Ni9Ti</v>
          </cell>
          <cell r="K872">
            <v>20</v>
          </cell>
          <cell r="L872">
            <v>45741</v>
          </cell>
          <cell r="M872" t="str">
            <v>4-检验完成</v>
          </cell>
        </row>
        <row r="872">
          <cell r="O872">
            <v>0</v>
          </cell>
          <cell r="P872" t="str">
            <v>重庆红宇精密工业集团有限公司</v>
          </cell>
          <cell r="Q872" t="str">
            <v>20</v>
          </cell>
          <cell r="R872">
            <v>45744</v>
          </cell>
        </row>
        <row r="872">
          <cell r="U872" t="str">
            <v/>
          </cell>
          <cell r="V872" t="str">
            <v>HANXIAOLAN</v>
          </cell>
          <cell r="W872" t="str">
            <v/>
          </cell>
          <cell r="X872" t="str">
            <v>MJ5-2-1-9</v>
          </cell>
          <cell r="Y872" t="str">
            <v/>
          </cell>
          <cell r="Z872" t="str">
            <v>1902</v>
          </cell>
          <cell r="AA872" t="str">
            <v>1100143935</v>
          </cell>
          <cell r="AB872">
            <v>20</v>
          </cell>
          <cell r="AC872" t="str">
            <v/>
          </cell>
          <cell r="AD872">
            <v>0</v>
          </cell>
          <cell r="AE872" t="str">
            <v>G-100015451-250324-0015XH</v>
          </cell>
        </row>
        <row r="873">
          <cell r="B873" t="str">
            <v>7100925423</v>
          </cell>
          <cell r="C873" t="str">
            <v>H2004-6069</v>
          </cell>
          <cell r="D873" t="str">
            <v>000042944043002552</v>
          </cell>
          <cell r="E873" t="str">
            <v>开槽盘头螺钉</v>
          </cell>
          <cell r="F873" t="str">
            <v>GB/T67-2000</v>
          </cell>
          <cell r="G873" t="str">
            <v>M3×25</v>
          </cell>
          <cell r="H873" t="str">
            <v>8.8</v>
          </cell>
          <cell r="I873" t="str">
            <v>Ep·Zn·c2C</v>
          </cell>
          <cell r="J873" t="str">
            <v>ML30CrMnSiA</v>
          </cell>
          <cell r="K873">
            <v>20</v>
          </cell>
          <cell r="L873">
            <v>45741</v>
          </cell>
          <cell r="M873" t="str">
            <v>4-检验完成</v>
          </cell>
        </row>
        <row r="873">
          <cell r="O873">
            <v>0</v>
          </cell>
          <cell r="P873" t="str">
            <v>重庆红宇精密工业集团有限公司</v>
          </cell>
          <cell r="Q873" t="str">
            <v>10</v>
          </cell>
          <cell r="R873">
            <v>45743</v>
          </cell>
        </row>
        <row r="873">
          <cell r="U873" t="str">
            <v/>
          </cell>
          <cell r="V873" t="str">
            <v>HANXIAOLAN</v>
          </cell>
          <cell r="W873" t="str">
            <v/>
          </cell>
          <cell r="X873" t="str">
            <v>MJ4-2-1-10</v>
          </cell>
          <cell r="Y873" t="str">
            <v/>
          </cell>
          <cell r="Z873" t="str">
            <v>1902</v>
          </cell>
          <cell r="AA873" t="str">
            <v>1100143935</v>
          </cell>
          <cell r="AB873">
            <v>20</v>
          </cell>
          <cell r="AC873" t="str">
            <v/>
          </cell>
          <cell r="AD873">
            <v>0</v>
          </cell>
          <cell r="AE873" t="str">
            <v>G-100015451-250324-0015XH</v>
          </cell>
        </row>
        <row r="874">
          <cell r="B874" t="str">
            <v>7100924884</v>
          </cell>
          <cell r="C874" t="str">
            <v>G1903-6228</v>
          </cell>
          <cell r="D874" t="str">
            <v>000042944401051611</v>
          </cell>
          <cell r="E874" t="str">
            <v>平垫圈</v>
          </cell>
          <cell r="F874" t="str">
            <v>GB/T97.1-2002</v>
          </cell>
          <cell r="G874" t="str">
            <v>3</v>
          </cell>
          <cell r="H874" t="str">
            <v>200HV</v>
          </cell>
          <cell r="I874" t="str">
            <v>Ep·Zn·c2C</v>
          </cell>
          <cell r="J874" t="str">
            <v>ML30CrMnSiA</v>
          </cell>
          <cell r="K874">
            <v>20</v>
          </cell>
          <cell r="L874">
            <v>45741</v>
          </cell>
          <cell r="M874" t="str">
            <v>4-检验完成</v>
          </cell>
        </row>
        <row r="874">
          <cell r="O874">
            <v>0</v>
          </cell>
          <cell r="P874" t="str">
            <v>重庆红宇精密工业集团有限公司</v>
          </cell>
          <cell r="Q874" t="str">
            <v>30</v>
          </cell>
          <cell r="R874">
            <v>45741</v>
          </cell>
        </row>
        <row r="874">
          <cell r="U874" t="str">
            <v/>
          </cell>
          <cell r="V874" t="str">
            <v>QIAOXUPENG</v>
          </cell>
          <cell r="W874" t="str">
            <v/>
          </cell>
          <cell r="X874" t="str">
            <v>MJ9-3-1-1/CP-21-4-3-18</v>
          </cell>
          <cell r="Y874" t="str">
            <v/>
          </cell>
          <cell r="Z874" t="str">
            <v>1902</v>
          </cell>
          <cell r="AA874" t="str">
            <v>1100143935</v>
          </cell>
          <cell r="AB874">
            <v>20</v>
          </cell>
          <cell r="AC874" t="str">
            <v/>
          </cell>
          <cell r="AD874">
            <v>0</v>
          </cell>
          <cell r="AE874" t="str">
            <v>G-100015451-250324-0015XH</v>
          </cell>
        </row>
        <row r="875">
          <cell r="B875" t="str">
            <v>7100924210</v>
          </cell>
          <cell r="C875" t="str">
            <v>G1903-6228</v>
          </cell>
          <cell r="D875" t="str">
            <v>000042944401051611</v>
          </cell>
          <cell r="E875" t="str">
            <v>平垫圈</v>
          </cell>
          <cell r="F875" t="str">
            <v>GB/T97.1-2002</v>
          </cell>
          <cell r="G875" t="str">
            <v>3</v>
          </cell>
          <cell r="H875" t="str">
            <v>200HV</v>
          </cell>
          <cell r="I875" t="str">
            <v>Ep·Zn·c2C</v>
          </cell>
          <cell r="J875" t="str">
            <v>ML30CrMnSiA</v>
          </cell>
          <cell r="K875">
            <v>20</v>
          </cell>
          <cell r="L875">
            <v>45740</v>
          </cell>
          <cell r="M875" t="str">
            <v>4-检验完成</v>
          </cell>
        </row>
        <row r="875">
          <cell r="O875">
            <v>0</v>
          </cell>
          <cell r="P875" t="str">
            <v>重庆红宇精密工业集团有限公司</v>
          </cell>
          <cell r="Q875" t="str">
            <v>30</v>
          </cell>
          <cell r="R875">
            <v>45741</v>
          </cell>
        </row>
        <row r="875">
          <cell r="U875" t="str">
            <v/>
          </cell>
          <cell r="V875" t="str">
            <v>PANQIFANG</v>
          </cell>
          <cell r="W875" t="str">
            <v/>
          </cell>
          <cell r="X875" t="str">
            <v>MJ9-3-1-1/CP-21-4-3-18</v>
          </cell>
          <cell r="Y875" t="str">
            <v/>
          </cell>
          <cell r="Z875" t="str">
            <v>1902</v>
          </cell>
          <cell r="AA875" t="str">
            <v>1400004783</v>
          </cell>
          <cell r="AB875">
            <v>20</v>
          </cell>
          <cell r="AC875" t="str">
            <v/>
          </cell>
          <cell r="AD875">
            <v>0</v>
          </cell>
          <cell r="AE875" t="str">
            <v>G-100015451-250324-0016XH</v>
          </cell>
        </row>
        <row r="876">
          <cell r="B876" t="str">
            <v>7100924156</v>
          </cell>
          <cell r="C876" t="str">
            <v>G1903-6156</v>
          </cell>
          <cell r="D876" t="str">
            <v>000042944043002538</v>
          </cell>
          <cell r="E876" t="str">
            <v>开槽盘头螺钉</v>
          </cell>
          <cell r="F876" t="str">
            <v>GB/T67-2000</v>
          </cell>
          <cell r="G876" t="str">
            <v>M3×23</v>
          </cell>
          <cell r="H876" t="str">
            <v>A2-70</v>
          </cell>
          <cell r="I876" t="str">
            <v>ECP</v>
          </cell>
          <cell r="J876" t="str">
            <v>ML1Cr18Ni9Ti</v>
          </cell>
          <cell r="K876">
            <v>20</v>
          </cell>
          <cell r="L876">
            <v>45740</v>
          </cell>
          <cell r="M876" t="str">
            <v>4-检验完成</v>
          </cell>
        </row>
        <row r="876">
          <cell r="O876">
            <v>0</v>
          </cell>
          <cell r="P876" t="str">
            <v>重庆红宇精密工业集团有限公司</v>
          </cell>
          <cell r="Q876" t="str">
            <v>20</v>
          </cell>
          <cell r="R876">
            <v>45742</v>
          </cell>
        </row>
        <row r="876">
          <cell r="U876" t="str">
            <v/>
          </cell>
          <cell r="V876" t="str">
            <v>QIAOXUPENG</v>
          </cell>
          <cell r="W876" t="str">
            <v/>
          </cell>
          <cell r="X876" t="str">
            <v>MJ5-2-1-9</v>
          </cell>
          <cell r="Y876" t="str">
            <v/>
          </cell>
          <cell r="Z876" t="str">
            <v>1902</v>
          </cell>
          <cell r="AA876" t="str">
            <v>1400004783</v>
          </cell>
          <cell r="AB876">
            <v>20</v>
          </cell>
          <cell r="AC876" t="str">
            <v/>
          </cell>
          <cell r="AD876">
            <v>0</v>
          </cell>
          <cell r="AE876" t="str">
            <v>G-100015451-250324-0016XH</v>
          </cell>
        </row>
        <row r="877">
          <cell r="B877" t="str">
            <v>7100924156</v>
          </cell>
          <cell r="C877" t="str">
            <v>H2004-6069</v>
          </cell>
          <cell r="D877" t="str">
            <v>000042944043002552</v>
          </cell>
          <cell r="E877" t="str">
            <v>开槽盘头螺钉</v>
          </cell>
          <cell r="F877" t="str">
            <v>GB/T67-2000</v>
          </cell>
          <cell r="G877" t="str">
            <v>M3×25</v>
          </cell>
          <cell r="H877" t="str">
            <v>8.8</v>
          </cell>
          <cell r="I877" t="str">
            <v>Ep·Zn·c2C</v>
          </cell>
          <cell r="J877" t="str">
            <v>ML30CrMnSiA</v>
          </cell>
          <cell r="K877">
            <v>20</v>
          </cell>
          <cell r="L877">
            <v>45740</v>
          </cell>
          <cell r="M877" t="str">
            <v>4-检验完成</v>
          </cell>
        </row>
        <row r="877">
          <cell r="O877">
            <v>0</v>
          </cell>
          <cell r="P877" t="str">
            <v>重庆红宇精密工业集团有限公司</v>
          </cell>
          <cell r="Q877" t="str">
            <v>10</v>
          </cell>
          <cell r="R877">
            <v>45742</v>
          </cell>
        </row>
        <row r="877">
          <cell r="U877" t="str">
            <v/>
          </cell>
          <cell r="V877" t="str">
            <v>QIAOXUPENG</v>
          </cell>
          <cell r="W877" t="str">
            <v/>
          </cell>
          <cell r="X877" t="str">
            <v>MJ4-2-1-10</v>
          </cell>
          <cell r="Y877" t="str">
            <v/>
          </cell>
          <cell r="Z877" t="str">
            <v>1902</v>
          </cell>
          <cell r="AA877" t="str">
            <v>1400004783</v>
          </cell>
          <cell r="AB877">
            <v>20</v>
          </cell>
          <cell r="AC877" t="str">
            <v/>
          </cell>
          <cell r="AD877">
            <v>0</v>
          </cell>
          <cell r="AE877" t="str">
            <v>G-100015451-250324-0016XH</v>
          </cell>
        </row>
        <row r="878">
          <cell r="B878" t="str">
            <v>7100930132</v>
          </cell>
          <cell r="C878" t="str">
            <v>G2409-1747</v>
          </cell>
          <cell r="D878" t="str">
            <v>000042944360141194</v>
          </cell>
          <cell r="E878" t="str">
            <v>滑块定位销</v>
          </cell>
          <cell r="F878" t="str">
            <v>2B04-1K.0-111</v>
          </cell>
          <cell r="G878" t="str">
            <v>-</v>
          </cell>
          <cell r="H878" t="str">
            <v>35-40HRC</v>
          </cell>
          <cell r="I878" t="str">
            <v>Ct·P</v>
          </cell>
          <cell r="J878" t="str">
            <v>1Cr17Ni2</v>
          </cell>
          <cell r="K878">
            <v>30</v>
          </cell>
          <cell r="L878">
            <v>45753</v>
          </cell>
          <cell r="M878" t="str">
            <v>1-已打印</v>
          </cell>
        </row>
        <row r="878">
          <cell r="O878">
            <v>0</v>
          </cell>
          <cell r="P878" t="str">
            <v>重庆红宇精密工业集团有限公司</v>
          </cell>
          <cell r="Q878" t="str">
            <v>120</v>
          </cell>
        </row>
        <row r="878">
          <cell r="U878" t="str">
            <v>010000736383</v>
          </cell>
          <cell r="V878" t="str">
            <v/>
          </cell>
          <cell r="W878" t="str">
            <v/>
          </cell>
          <cell r="X878" t="str">
            <v>CP-108-A</v>
          </cell>
          <cell r="Y878" t="str">
            <v/>
          </cell>
          <cell r="Z878" t="str">
            <v>1902</v>
          </cell>
          <cell r="AA878" t="str">
            <v>1100144619</v>
          </cell>
          <cell r="AB878">
            <v>30</v>
          </cell>
          <cell r="AC878" t="str">
            <v/>
          </cell>
          <cell r="AD878">
            <v>15.82</v>
          </cell>
          <cell r="AE878" t="str">
            <v>G-100015451-250402-0020</v>
          </cell>
        </row>
        <row r="879">
          <cell r="B879" t="str">
            <v>7100929975</v>
          </cell>
          <cell r="C879" t="str">
            <v>G2501-9182</v>
          </cell>
          <cell r="D879" t="str">
            <v>000042944439000528</v>
          </cell>
          <cell r="E879" t="str">
            <v>小垫圈</v>
          </cell>
          <cell r="F879" t="str">
            <v>GB/T848-2002</v>
          </cell>
          <cell r="G879" t="str">
            <v>6</v>
          </cell>
          <cell r="H879" t="str">
            <v>200HV</v>
          </cell>
          <cell r="I879" t="str">
            <v>ECP</v>
          </cell>
          <cell r="J879" t="str">
            <v>1Cr18Ni9Ti</v>
          </cell>
          <cell r="K879">
            <v>500</v>
          </cell>
          <cell r="L879">
            <v>45753</v>
          </cell>
          <cell r="M879" t="str">
            <v>1-已打印</v>
          </cell>
        </row>
        <row r="879">
          <cell r="O879">
            <v>0</v>
          </cell>
          <cell r="P879" t="str">
            <v>重庆红宇精密工业集团有限公司</v>
          </cell>
          <cell r="Q879" t="str">
            <v>50</v>
          </cell>
        </row>
        <row r="879">
          <cell r="U879" t="str">
            <v>010000778863</v>
          </cell>
          <cell r="V879" t="str">
            <v/>
          </cell>
          <cell r="W879" t="str">
            <v/>
          </cell>
          <cell r="X879" t="str">
            <v>CP-46-3-1-3</v>
          </cell>
          <cell r="Y879" t="str">
            <v/>
          </cell>
          <cell r="Z879" t="str">
            <v>1902</v>
          </cell>
          <cell r="AA879" t="str">
            <v>1100144619</v>
          </cell>
          <cell r="AB879">
            <v>500</v>
          </cell>
          <cell r="AC879" t="str">
            <v/>
          </cell>
          <cell r="AD879">
            <v>0.57</v>
          </cell>
          <cell r="AE879" t="str">
            <v>G-100015451-250402-0020</v>
          </cell>
        </row>
        <row r="880">
          <cell r="B880" t="str">
            <v>7100929828</v>
          </cell>
          <cell r="C880" t="str">
            <v>G2502-9036</v>
          </cell>
          <cell r="D880" t="str">
            <v>000042944044001149</v>
          </cell>
          <cell r="E880" t="str">
            <v>十字槽盘头螺钉</v>
          </cell>
          <cell r="F880" t="str">
            <v>GB/T818-2000</v>
          </cell>
          <cell r="G880" t="str">
            <v>M3×6</v>
          </cell>
          <cell r="H880" t="str">
            <v>4.8</v>
          </cell>
          <cell r="I880" t="str">
            <v>Ep·Zn-Ni·c2C</v>
          </cell>
          <cell r="J880" t="str">
            <v>ML25</v>
          </cell>
          <cell r="K880">
            <v>3255</v>
          </cell>
          <cell r="L880">
            <v>45752</v>
          </cell>
          <cell r="M880" t="str">
            <v>3-配货完成</v>
          </cell>
        </row>
        <row r="880">
          <cell r="O880">
            <v>0</v>
          </cell>
          <cell r="P880" t="str">
            <v>重庆红宇精密工业集团有限公司</v>
          </cell>
          <cell r="Q880" t="str">
            <v>110</v>
          </cell>
        </row>
        <row r="880">
          <cell r="U880" t="str">
            <v>010000789287</v>
          </cell>
          <cell r="V880" t="str">
            <v>HANXIAOLAN</v>
          </cell>
          <cell r="W880" t="str">
            <v/>
          </cell>
          <cell r="X880" t="str">
            <v>CP-108-A</v>
          </cell>
          <cell r="Y880" t="str">
            <v/>
          </cell>
          <cell r="Z880" t="str">
            <v>1902</v>
          </cell>
          <cell r="AA880" t="str">
            <v>1100142026</v>
          </cell>
          <cell r="AB880">
            <v>3600</v>
          </cell>
          <cell r="AC880" t="str">
            <v/>
          </cell>
          <cell r="AD880">
            <v>0.68</v>
          </cell>
          <cell r="AE880" t="str">
            <v>G-100015451-250221-0008</v>
          </cell>
        </row>
        <row r="881">
          <cell r="B881" t="str">
            <v>7100928323</v>
          </cell>
          <cell r="C881" t="str">
            <v>G2309-6021</v>
          </cell>
          <cell r="D881" t="str">
            <v>000042944044122004</v>
          </cell>
          <cell r="E881" t="str">
            <v>十字槽沉头螺钉</v>
          </cell>
          <cell r="F881" t="str">
            <v>GB/T819.1-2016</v>
          </cell>
          <cell r="G881" t="str">
            <v>M4×10</v>
          </cell>
          <cell r="H881" t="str">
            <v>4.8</v>
          </cell>
          <cell r="I881" t="str">
            <v>Ep·Zn·c2C</v>
          </cell>
          <cell r="J881" t="str">
            <v>ML25</v>
          </cell>
          <cell r="K881">
            <v>562</v>
          </cell>
          <cell r="L881">
            <v>45748</v>
          </cell>
          <cell r="M881" t="str">
            <v>3-配货完成</v>
          </cell>
        </row>
        <row r="881">
          <cell r="O881">
            <v>0</v>
          </cell>
          <cell r="P881" t="str">
            <v>重庆红宇精密工业集团有限公司</v>
          </cell>
          <cell r="Q881" t="str">
            <v>10</v>
          </cell>
        </row>
        <row r="881">
          <cell r="U881" t="str">
            <v/>
          </cell>
          <cell r="V881" t="str">
            <v>HANXIAOLAN</v>
          </cell>
          <cell r="W881" t="str">
            <v/>
          </cell>
          <cell r="X881" t="str">
            <v>XH-000</v>
          </cell>
          <cell r="Y881" t="str">
            <v/>
          </cell>
          <cell r="Z881" t="str">
            <v>1902</v>
          </cell>
          <cell r="AA881" t="str">
            <v>1100144327</v>
          </cell>
          <cell r="AB881">
            <v>900</v>
          </cell>
          <cell r="AC881" t="str">
            <v/>
          </cell>
          <cell r="AD881">
            <v>0.5</v>
          </cell>
          <cell r="AE881" t="str">
            <v>G-100015451-250328-0017</v>
          </cell>
        </row>
        <row r="882">
          <cell r="B882">
            <v>7100930988</v>
          </cell>
          <cell r="C882" t="str">
            <v>G2409-2019</v>
          </cell>
          <cell r="D882">
            <v>42944360141197</v>
          </cell>
          <cell r="E882" t="str">
            <v>定位销</v>
          </cell>
          <cell r="F882" t="str">
            <v>WA24060.F2.0-20-19</v>
          </cell>
          <cell r="G882" t="str">
            <v>-</v>
          </cell>
          <cell r="H882" t="str">
            <v>35-40HRC</v>
          </cell>
          <cell r="I882" t="str">
            <v>Ct·P</v>
          </cell>
          <cell r="J882" t="str">
            <v>14Cr17Ni2</v>
          </cell>
          <cell r="K882">
            <v>45</v>
          </cell>
          <cell r="L882">
            <v>45755</v>
          </cell>
          <cell r="M882" t="str">
            <v>4-检验完成</v>
          </cell>
        </row>
        <row r="882">
          <cell r="P882" t="str">
            <v>重庆红宇精密工业集团有限公司</v>
          </cell>
          <cell r="Q882">
            <v>130</v>
          </cell>
          <cell r="R882">
            <v>45755</v>
          </cell>
        </row>
        <row r="882">
          <cell r="U882">
            <v>10000736672</v>
          </cell>
          <cell r="V882" t="str">
            <v>HANXIAOLAN</v>
          </cell>
        </row>
        <row r="882">
          <cell r="X882" t="str">
            <v>CP-108-A</v>
          </cell>
        </row>
        <row r="882">
          <cell r="Z882">
            <v>1902</v>
          </cell>
          <cell r="AA882">
            <v>1100144619</v>
          </cell>
          <cell r="AB882">
            <v>85</v>
          </cell>
        </row>
        <row r="882">
          <cell r="AD882">
            <v>9.04</v>
          </cell>
          <cell r="AE882" t="str">
            <v>G-100015451-250402-0020</v>
          </cell>
        </row>
        <row r="883">
          <cell r="B883">
            <v>7100930988</v>
          </cell>
          <cell r="C883" t="str">
            <v>G2409-2018</v>
          </cell>
          <cell r="D883">
            <v>42944360141195</v>
          </cell>
          <cell r="E883" t="str">
            <v>定位销</v>
          </cell>
          <cell r="F883" t="str">
            <v>2B04-1K.0-19</v>
          </cell>
          <cell r="G883" t="str">
            <v>-</v>
          </cell>
          <cell r="H883" t="str">
            <v>35-40HRC</v>
          </cell>
          <cell r="I883" t="str">
            <v>Ct·P</v>
          </cell>
          <cell r="J883" t="str">
            <v>14Cr17Ni2</v>
          </cell>
          <cell r="K883">
            <v>30</v>
          </cell>
          <cell r="L883">
            <v>45755</v>
          </cell>
          <cell r="M883" t="str">
            <v>4-检验完成</v>
          </cell>
        </row>
        <row r="883">
          <cell r="P883" t="str">
            <v>重庆红宇精密工业集团有限公司</v>
          </cell>
          <cell r="Q883">
            <v>110</v>
          </cell>
          <cell r="R883">
            <v>45755</v>
          </cell>
        </row>
        <row r="883">
          <cell r="U883">
            <v>10000736671</v>
          </cell>
          <cell r="V883" t="str">
            <v>HANXIAOLAN</v>
          </cell>
        </row>
        <row r="883">
          <cell r="X883" t="str">
            <v>CP-108-A</v>
          </cell>
        </row>
        <row r="883">
          <cell r="Z883">
            <v>1902</v>
          </cell>
          <cell r="AA883">
            <v>1100144619</v>
          </cell>
          <cell r="AB883">
            <v>400</v>
          </cell>
        </row>
        <row r="883">
          <cell r="AD883">
            <v>9.04</v>
          </cell>
          <cell r="AE883" t="str">
            <v>G-100015451-250402-0020</v>
          </cell>
        </row>
        <row r="884">
          <cell r="B884" t="str">
            <v>7100928323</v>
          </cell>
          <cell r="C884" t="str">
            <v>G2309-6021</v>
          </cell>
          <cell r="D884" t="str">
            <v>000042944044122004</v>
          </cell>
          <cell r="E884" t="str">
            <v>十字槽沉头螺钉</v>
          </cell>
          <cell r="F884" t="str">
            <v>GB/T819.1-2016</v>
          </cell>
          <cell r="G884" t="str">
            <v>M4×10</v>
          </cell>
          <cell r="H884" t="str">
            <v>4.8</v>
          </cell>
          <cell r="I884" t="str">
            <v>Ep·Zn·c2C</v>
          </cell>
          <cell r="J884" t="str">
            <v>ML25</v>
          </cell>
          <cell r="K884">
            <v>562</v>
          </cell>
          <cell r="L884">
            <v>45748</v>
          </cell>
          <cell r="M884" t="str">
            <v>4-检验完成</v>
          </cell>
        </row>
        <row r="884">
          <cell r="O884">
            <v>0</v>
          </cell>
          <cell r="P884" t="str">
            <v>重庆红宇精密工业集团有限公司</v>
          </cell>
          <cell r="Q884" t="str">
            <v>10</v>
          </cell>
          <cell r="R884">
            <v>45755</v>
          </cell>
        </row>
        <row r="884">
          <cell r="U884" t="str">
            <v/>
          </cell>
          <cell r="V884" t="str">
            <v>HANXIAOLAN</v>
          </cell>
          <cell r="W884" t="str">
            <v/>
          </cell>
          <cell r="X884" t="str">
            <v>XH-000</v>
          </cell>
          <cell r="Y884" t="str">
            <v/>
          </cell>
          <cell r="Z884" t="str">
            <v>1902</v>
          </cell>
          <cell r="AA884" t="str">
            <v>1100144327</v>
          </cell>
          <cell r="AB884">
            <v>900</v>
          </cell>
          <cell r="AC884" t="str">
            <v/>
          </cell>
          <cell r="AD884">
            <v>0.5</v>
          </cell>
          <cell r="AE884" t="str">
            <v>G-100015451-250328-0017</v>
          </cell>
        </row>
        <row r="885">
          <cell r="B885" t="str">
            <v>7100929975</v>
          </cell>
          <cell r="C885" t="str">
            <v>G2501-9182</v>
          </cell>
          <cell r="D885" t="str">
            <v>000042944439000528</v>
          </cell>
          <cell r="E885" t="str">
            <v>小垫圈</v>
          </cell>
          <cell r="F885" t="str">
            <v>GB/T848-2002</v>
          </cell>
          <cell r="G885" t="str">
            <v>6</v>
          </cell>
          <cell r="H885" t="str">
            <v>200HV</v>
          </cell>
          <cell r="I885" t="str">
            <v>ECP</v>
          </cell>
          <cell r="J885" t="str">
            <v>1Cr18Ni9Ti</v>
          </cell>
          <cell r="K885">
            <v>500</v>
          </cell>
          <cell r="L885">
            <v>45753</v>
          </cell>
          <cell r="M885" t="str">
            <v>3-配货完成</v>
          </cell>
        </row>
        <row r="885">
          <cell r="O885">
            <v>0</v>
          </cell>
          <cell r="P885" t="str">
            <v>重庆红宇精密工业集团有限公司</v>
          </cell>
          <cell r="Q885" t="str">
            <v>50</v>
          </cell>
        </row>
        <row r="885">
          <cell r="U885" t="str">
            <v>010000778863</v>
          </cell>
          <cell r="V885" t="str">
            <v>LIZHIFENG</v>
          </cell>
          <cell r="W885" t="str">
            <v/>
          </cell>
          <cell r="X885" t="str">
            <v>CP-46-3-1-3</v>
          </cell>
          <cell r="Y885" t="str">
            <v/>
          </cell>
          <cell r="Z885" t="str">
            <v>1902</v>
          </cell>
          <cell r="AA885" t="str">
            <v>1100144619</v>
          </cell>
          <cell r="AB885">
            <v>500</v>
          </cell>
          <cell r="AC885" t="str">
            <v/>
          </cell>
          <cell r="AD885">
            <v>0.57</v>
          </cell>
          <cell r="AE885" t="str">
            <v>G-100015451-250402-0020</v>
          </cell>
        </row>
        <row r="886">
          <cell r="B886" t="str">
            <v>7100930132</v>
          </cell>
          <cell r="C886" t="str">
            <v>G2409-1747</v>
          </cell>
          <cell r="D886" t="str">
            <v>000042944360141194</v>
          </cell>
          <cell r="E886" t="str">
            <v>滑块定位销</v>
          </cell>
          <cell r="F886" t="str">
            <v>2B04-1K.0-111</v>
          </cell>
          <cell r="G886" t="str">
            <v>-</v>
          </cell>
          <cell r="H886" t="str">
            <v>35-40HRC</v>
          </cell>
          <cell r="I886" t="str">
            <v>Ct·P</v>
          </cell>
          <cell r="J886" t="str">
            <v>1Cr17Ni2</v>
          </cell>
          <cell r="K886">
            <v>30</v>
          </cell>
          <cell r="L886">
            <v>45753</v>
          </cell>
          <cell r="M886" t="str">
            <v>4-检验完成</v>
          </cell>
        </row>
        <row r="886">
          <cell r="O886">
            <v>0</v>
          </cell>
          <cell r="P886" t="str">
            <v>重庆红宇精密工业集团有限公司</v>
          </cell>
          <cell r="Q886" t="str">
            <v>120</v>
          </cell>
          <cell r="R886">
            <v>45756</v>
          </cell>
        </row>
        <row r="886">
          <cell r="U886" t="str">
            <v>010000736383</v>
          </cell>
          <cell r="V886" t="str">
            <v>HANXIAOLAN</v>
          </cell>
          <cell r="W886" t="str">
            <v/>
          </cell>
          <cell r="X886" t="str">
            <v>CP-108-A</v>
          </cell>
          <cell r="Y886" t="str">
            <v/>
          </cell>
          <cell r="Z886" t="str">
            <v>1902</v>
          </cell>
          <cell r="AA886" t="str">
            <v>1100144619</v>
          </cell>
          <cell r="AB886">
            <v>30</v>
          </cell>
          <cell r="AC886" t="str">
            <v/>
          </cell>
          <cell r="AD886">
            <v>15.82</v>
          </cell>
          <cell r="AE886" t="str">
            <v>G-100015451-250402-0020</v>
          </cell>
        </row>
        <row r="887">
          <cell r="B887" t="str">
            <v>7100930438</v>
          </cell>
          <cell r="C887" t="str">
            <v>G2004-6293</v>
          </cell>
          <cell r="D887" t="str">
            <v>000042944044070398</v>
          </cell>
          <cell r="E887" t="str">
            <v>十字槽盘头螺钉</v>
          </cell>
          <cell r="F887" t="str">
            <v>GB/T818-2000</v>
          </cell>
          <cell r="G887" t="str">
            <v>M6×16</v>
          </cell>
          <cell r="H887" t="str">
            <v>4.8</v>
          </cell>
          <cell r="I887" t="str">
            <v>Ep·Zn-Ni5-12·c2C</v>
          </cell>
          <cell r="J887" t="str">
            <v>ML25</v>
          </cell>
          <cell r="K887">
            <v>3</v>
          </cell>
          <cell r="L887">
            <v>45754</v>
          </cell>
          <cell r="M887" t="str">
            <v>4-检验完成</v>
          </cell>
        </row>
        <row r="887">
          <cell r="O887">
            <v>0</v>
          </cell>
          <cell r="P887" t="str">
            <v>重庆红宇精密工业集团有限公司</v>
          </cell>
          <cell r="Q887" t="str">
            <v>50</v>
          </cell>
          <cell r="R887">
            <v>45757</v>
          </cell>
        </row>
        <row r="887">
          <cell r="U887" t="str">
            <v/>
          </cell>
          <cell r="V887" t="str">
            <v>LIZHIFENG</v>
          </cell>
          <cell r="W887" t="str">
            <v/>
          </cell>
          <cell r="X887" t="str">
            <v>XH-000</v>
          </cell>
          <cell r="Y887" t="str">
            <v/>
          </cell>
          <cell r="Z887" t="str">
            <v>1902</v>
          </cell>
          <cell r="AA887" t="str">
            <v>1100144700</v>
          </cell>
          <cell r="AB887">
            <v>3</v>
          </cell>
          <cell r="AC887" t="str">
            <v/>
          </cell>
          <cell r="AD887">
            <v>1.5</v>
          </cell>
          <cell r="AE887" t="str">
            <v>G-100015451-250403-0022</v>
          </cell>
        </row>
        <row r="888">
          <cell r="B888" t="str">
            <v>7100930438</v>
          </cell>
          <cell r="C888" t="str">
            <v>G2302-9032</v>
          </cell>
          <cell r="D888" t="str">
            <v>000042944044001251</v>
          </cell>
          <cell r="E888" t="str">
            <v>十字槽盘头螺钉</v>
          </cell>
          <cell r="F888" t="str">
            <v>GB/T818-2000</v>
          </cell>
          <cell r="G888" t="str">
            <v>M4×10</v>
          </cell>
          <cell r="H888" t="str">
            <v>4.8</v>
          </cell>
          <cell r="I888" t="str">
            <v>Ep·Zn·c2C</v>
          </cell>
          <cell r="J888" t="str">
            <v>ML25</v>
          </cell>
          <cell r="K888">
            <v>5</v>
          </cell>
          <cell r="L888">
            <v>45754</v>
          </cell>
          <cell r="M888" t="str">
            <v>4-检验完成</v>
          </cell>
        </row>
        <row r="888">
          <cell r="O888">
            <v>0</v>
          </cell>
          <cell r="P888" t="str">
            <v>重庆红宇精密工业集团有限公司</v>
          </cell>
          <cell r="Q888" t="str">
            <v>30</v>
          </cell>
          <cell r="R888">
            <v>45757</v>
          </cell>
        </row>
        <row r="888">
          <cell r="U888" t="str">
            <v/>
          </cell>
          <cell r="V888" t="str">
            <v>LIZHIFENG</v>
          </cell>
          <cell r="W888" t="str">
            <v/>
          </cell>
          <cell r="X888" t="str">
            <v>XH-000</v>
          </cell>
          <cell r="Y888" t="str">
            <v/>
          </cell>
          <cell r="Z888" t="str">
            <v>1902</v>
          </cell>
          <cell r="AA888" t="str">
            <v>1100144700</v>
          </cell>
          <cell r="AB888">
            <v>5</v>
          </cell>
          <cell r="AC888" t="str">
            <v/>
          </cell>
          <cell r="AD888">
            <v>0.8</v>
          </cell>
          <cell r="AE888" t="str">
            <v>G-100015451-250403-0022</v>
          </cell>
        </row>
        <row r="889">
          <cell r="B889" t="str">
            <v>7100930440</v>
          </cell>
          <cell r="C889" t="str">
            <v>G2205-6100</v>
          </cell>
          <cell r="D889" t="str">
            <v>000042944288000566</v>
          </cell>
          <cell r="E889" t="str">
            <v>双耳托板自锁螺母</v>
          </cell>
          <cell r="F889" t="str">
            <v>GB930-1988</v>
          </cell>
          <cell r="G889" t="str">
            <v>M5</v>
          </cell>
          <cell r="H889" t="str">
            <v>33-39HRC</v>
          </cell>
          <cell r="I889" t="str">
            <v>Ep·Cd·c2C</v>
          </cell>
          <cell r="J889" t="str">
            <v>ML25</v>
          </cell>
          <cell r="K889">
            <v>1500</v>
          </cell>
          <cell r="L889">
            <v>45754</v>
          </cell>
          <cell r="M889" t="str">
            <v>3-配货完成</v>
          </cell>
        </row>
        <row r="889">
          <cell r="O889">
            <v>0</v>
          </cell>
          <cell r="P889" t="str">
            <v>重庆红宇精密工业集团有限公司</v>
          </cell>
          <cell r="Q889" t="str">
            <v>40</v>
          </cell>
        </row>
        <row r="889">
          <cell r="U889" t="str">
            <v/>
          </cell>
          <cell r="V889" t="str">
            <v>LIZHIFENG</v>
          </cell>
          <cell r="W889" t="str">
            <v/>
          </cell>
          <cell r="X889" t="str">
            <v>XH-000</v>
          </cell>
          <cell r="Y889" t="str">
            <v/>
          </cell>
          <cell r="Z889" t="str">
            <v>1902</v>
          </cell>
          <cell r="AA889" t="str">
            <v>1100144619</v>
          </cell>
          <cell r="AB889">
            <v>1500</v>
          </cell>
          <cell r="AC889" t="str">
            <v/>
          </cell>
          <cell r="AD889">
            <v>4</v>
          </cell>
          <cell r="AE889" t="str">
            <v>G-100015451-250402-0020</v>
          </cell>
        </row>
        <row r="890">
          <cell r="B890" t="str">
            <v>7100930440</v>
          </cell>
          <cell r="C890" t="str">
            <v>G2205-6100</v>
          </cell>
          <cell r="D890" t="str">
            <v>000042944288000566</v>
          </cell>
          <cell r="E890" t="str">
            <v>双耳托板自锁螺母</v>
          </cell>
          <cell r="F890" t="str">
            <v>GB930-1988</v>
          </cell>
          <cell r="G890" t="str">
            <v>M5</v>
          </cell>
          <cell r="H890" t="str">
            <v>33-39HRC</v>
          </cell>
          <cell r="I890" t="str">
            <v>Ep·Cd·c2C</v>
          </cell>
          <cell r="J890" t="str">
            <v>ML25</v>
          </cell>
          <cell r="K890">
            <v>1100</v>
          </cell>
          <cell r="L890">
            <v>45754</v>
          </cell>
          <cell r="M890" t="str">
            <v>3-配货完成</v>
          </cell>
        </row>
        <row r="890">
          <cell r="O890">
            <v>0</v>
          </cell>
          <cell r="P890" t="str">
            <v>重庆红宇精密工业集团有限公司</v>
          </cell>
          <cell r="Q890" t="str">
            <v>30</v>
          </cell>
        </row>
        <row r="890">
          <cell r="U890" t="str">
            <v/>
          </cell>
          <cell r="V890" t="str">
            <v>LIZHIFENG</v>
          </cell>
          <cell r="W890" t="str">
            <v/>
          </cell>
          <cell r="X890" t="str">
            <v>XH-000</v>
          </cell>
          <cell r="Y890" t="str">
            <v/>
          </cell>
          <cell r="Z890" t="str">
            <v>1902</v>
          </cell>
          <cell r="AA890" t="str">
            <v>1100144619</v>
          </cell>
          <cell r="AB890">
            <v>1100</v>
          </cell>
          <cell r="AC890" t="str">
            <v/>
          </cell>
          <cell r="AD890">
            <v>4</v>
          </cell>
          <cell r="AE890" t="str">
            <v>G-100015451-250402-0020</v>
          </cell>
        </row>
        <row r="891">
          <cell r="B891" t="str">
            <v>7100930440</v>
          </cell>
          <cell r="C891" t="str">
            <v>G2110-6110</v>
          </cell>
          <cell r="D891" t="str">
            <v>000042944044002251</v>
          </cell>
          <cell r="E891" t="str">
            <v>十字槽沉头螺钉</v>
          </cell>
          <cell r="F891" t="str">
            <v>GB/T819.1-2000</v>
          </cell>
          <cell r="G891" t="str">
            <v>M4×10</v>
          </cell>
          <cell r="H891" t="str">
            <v>4.8</v>
          </cell>
          <cell r="I891" t="str">
            <v>Ep·Zn·c2C</v>
          </cell>
          <cell r="J891" t="str">
            <v>ML25</v>
          </cell>
          <cell r="K891">
            <v>1700</v>
          </cell>
          <cell r="L891">
            <v>45754</v>
          </cell>
          <cell r="M891" t="str">
            <v>3-配货完成</v>
          </cell>
        </row>
        <row r="891">
          <cell r="O891">
            <v>0</v>
          </cell>
          <cell r="P891" t="str">
            <v>重庆红宇精密工业集团有限公司</v>
          </cell>
          <cell r="Q891" t="str">
            <v>20</v>
          </cell>
        </row>
        <row r="891">
          <cell r="U891" t="str">
            <v/>
          </cell>
          <cell r="V891" t="str">
            <v>LIZHIFENG</v>
          </cell>
          <cell r="W891" t="str">
            <v/>
          </cell>
          <cell r="X891" t="str">
            <v>XH-000</v>
          </cell>
          <cell r="Y891" t="str">
            <v/>
          </cell>
          <cell r="Z891" t="str">
            <v>1902</v>
          </cell>
          <cell r="AA891" t="str">
            <v>1100144619</v>
          </cell>
          <cell r="AB891">
            <v>1700</v>
          </cell>
          <cell r="AC891" t="str">
            <v/>
          </cell>
          <cell r="AD891">
            <v>0.57</v>
          </cell>
          <cell r="AE891" t="str">
            <v>G-100015451-250402-0020</v>
          </cell>
        </row>
        <row r="892">
          <cell r="B892">
            <v>7100935314</v>
          </cell>
          <cell r="C892" t="str">
            <v>G2312-1160</v>
          </cell>
          <cell r="D892">
            <v>42944044124856</v>
          </cell>
          <cell r="E892" t="str">
            <v>十字槽沉头螺钉</v>
          </cell>
          <cell r="F892" t="str">
            <v>GB/T819.2-2016(CQHY)</v>
          </cell>
          <cell r="G892" t="str">
            <v>M6×8</v>
          </cell>
          <cell r="H892">
            <v>8.8</v>
          </cell>
          <cell r="I892" t="str">
            <v>Ep·Zn·c2C</v>
          </cell>
          <cell r="J892" t="str">
            <v>30CrMnSiA</v>
          </cell>
          <cell r="K892">
            <v>22</v>
          </cell>
          <cell r="L892">
            <v>45764</v>
          </cell>
          <cell r="M892" t="str">
            <v>4-检验完成</v>
          </cell>
        </row>
        <row r="892">
          <cell r="P892" t="str">
            <v>重庆红宇精密工业集团有限公司</v>
          </cell>
          <cell r="Q892">
            <v>10</v>
          </cell>
          <cell r="R892">
            <v>45764</v>
          </cell>
        </row>
        <row r="892">
          <cell r="U892">
            <v>10000659462</v>
          </cell>
          <cell r="V892" t="str">
            <v>HANXIAOLAN</v>
          </cell>
        </row>
        <row r="892">
          <cell r="X892" t="str">
            <v>CP-35-3-3-12</v>
          </cell>
        </row>
        <row r="892">
          <cell r="Z892">
            <v>1902</v>
          </cell>
          <cell r="AA892">
            <v>1100145444</v>
          </cell>
          <cell r="AB892">
            <v>46</v>
          </cell>
        </row>
        <row r="892">
          <cell r="AD892">
            <v>0.57</v>
          </cell>
          <cell r="AE892" t="str">
            <v>G-100015451-250417-0026XH</v>
          </cell>
        </row>
        <row r="893">
          <cell r="B893">
            <v>7100935314</v>
          </cell>
          <cell r="C893" t="str">
            <v>G2311-1541</v>
          </cell>
          <cell r="D893">
            <v>42944044124856</v>
          </cell>
          <cell r="E893" t="str">
            <v>十字槽沉头螺钉</v>
          </cell>
          <cell r="F893" t="str">
            <v>GB/T819.2-2016(CQHY)</v>
          </cell>
          <cell r="G893" t="str">
            <v>M6×8</v>
          </cell>
          <cell r="H893">
            <v>8.8</v>
          </cell>
          <cell r="I893" t="str">
            <v>Ep·Zn·c2C</v>
          </cell>
          <cell r="J893" t="str">
            <v>30CrMnSiA</v>
          </cell>
          <cell r="K893">
            <v>24</v>
          </cell>
          <cell r="L893">
            <v>45764</v>
          </cell>
          <cell r="M893" t="str">
            <v>4-检验完成</v>
          </cell>
        </row>
        <row r="893">
          <cell r="P893" t="str">
            <v>重庆红宇精密工业集团有限公司</v>
          </cell>
          <cell r="Q893">
            <v>10</v>
          </cell>
          <cell r="R893">
            <v>45764</v>
          </cell>
        </row>
        <row r="893">
          <cell r="U893">
            <v>10000652110</v>
          </cell>
          <cell r="V893" t="str">
            <v>HANXIAOLAN</v>
          </cell>
        </row>
        <row r="893">
          <cell r="X893" t="str">
            <v>CP-35-3-1-8</v>
          </cell>
        </row>
        <row r="893">
          <cell r="Z893">
            <v>1902</v>
          </cell>
          <cell r="AA893">
            <v>1100145444</v>
          </cell>
          <cell r="AB893">
            <v>46</v>
          </cell>
        </row>
        <row r="893">
          <cell r="AD893">
            <v>0.57</v>
          </cell>
          <cell r="AE893" t="str">
            <v>G-100015451-250417-0026XH</v>
          </cell>
        </row>
        <row r="894">
          <cell r="B894" t="str">
            <v>7100937989</v>
          </cell>
          <cell r="C894" t="str">
            <v>G2503-9059</v>
          </cell>
          <cell r="D894" t="str">
            <v>000042944044000735</v>
          </cell>
          <cell r="E894" t="str">
            <v>十字槽盘头螺钉</v>
          </cell>
          <cell r="F894" t="str">
            <v>GB/T818-2000</v>
          </cell>
          <cell r="G894" t="str">
            <v>M2×6</v>
          </cell>
          <cell r="H894" t="str">
            <v>4.8</v>
          </cell>
          <cell r="I894" t="str">
            <v>Ep·Zn-Ni·c2C</v>
          </cell>
          <cell r="J894" t="str">
            <v>ML25</v>
          </cell>
          <cell r="K894">
            <v>15</v>
          </cell>
          <cell r="L894">
            <v>45769</v>
          </cell>
          <cell r="M894" t="str">
            <v>3-配货完成</v>
          </cell>
        </row>
        <row r="894">
          <cell r="O894">
            <v>0</v>
          </cell>
          <cell r="P894" t="str">
            <v>重庆红宇精密工业集团有限公司</v>
          </cell>
          <cell r="Q894" t="str">
            <v>20</v>
          </cell>
        </row>
        <row r="894">
          <cell r="U894" t="str">
            <v>010000801710</v>
          </cell>
          <cell r="V894" t="str">
            <v>HANXIAOLAN</v>
          </cell>
          <cell r="W894" t="str">
            <v/>
          </cell>
          <cell r="X894" t="str">
            <v>CP-108-A</v>
          </cell>
          <cell r="Y894" t="str">
            <v/>
          </cell>
          <cell r="Z894" t="str">
            <v>1902</v>
          </cell>
          <cell r="AA894" t="str">
            <v>1100142026</v>
          </cell>
          <cell r="AB894">
            <v>1300</v>
          </cell>
          <cell r="AC894" t="str">
            <v/>
          </cell>
          <cell r="AD894">
            <v>0.68</v>
          </cell>
          <cell r="AE894" t="str">
            <v>G-100015451-250221-0008</v>
          </cell>
        </row>
        <row r="895">
          <cell r="B895" t="str">
            <v>7100935070</v>
          </cell>
          <cell r="C895" t="str">
            <v>G2306-9097</v>
          </cell>
          <cell r="D895" t="str">
            <v>000042944044061515</v>
          </cell>
          <cell r="E895" t="str">
            <v>十字槽沉头螺钉</v>
          </cell>
          <cell r="F895" t="str">
            <v>GB/T819.2-2016</v>
          </cell>
          <cell r="G895" t="str">
            <v>M3×8</v>
          </cell>
          <cell r="H895" t="str">
            <v>A2-70</v>
          </cell>
          <cell r="I895" t="str">
            <v>ECP</v>
          </cell>
          <cell r="J895" t="str">
            <v>ML1Cr18Ni9Ti</v>
          </cell>
          <cell r="K895">
            <v>1800</v>
          </cell>
          <cell r="L895">
            <v>45764</v>
          </cell>
          <cell r="M895" t="str">
            <v>4-检验完成</v>
          </cell>
        </row>
        <row r="895">
          <cell r="O895">
            <v>0</v>
          </cell>
          <cell r="P895" t="str">
            <v>重庆红宇精密工业集团有限公司</v>
          </cell>
          <cell r="Q895" t="str">
            <v>10</v>
          </cell>
          <cell r="R895">
            <v>45765</v>
          </cell>
        </row>
        <row r="895">
          <cell r="U895" t="str">
            <v/>
          </cell>
          <cell r="V895" t="str">
            <v>LIZHIFENG</v>
          </cell>
          <cell r="W895" t="str">
            <v/>
          </cell>
          <cell r="X895" t="str">
            <v>XH-000</v>
          </cell>
          <cell r="Y895" t="str">
            <v/>
          </cell>
          <cell r="Z895" t="str">
            <v>1902</v>
          </cell>
          <cell r="AA895" t="str">
            <v>1100145388</v>
          </cell>
          <cell r="AB895">
            <v>1800</v>
          </cell>
          <cell r="AC895" t="str">
            <v/>
          </cell>
          <cell r="AD895">
            <v>0.57</v>
          </cell>
          <cell r="AE895" t="str">
            <v>G-100015451-250416-0025</v>
          </cell>
        </row>
        <row r="896">
          <cell r="B896" t="str">
            <v>7100932852</v>
          </cell>
          <cell r="C896" t="str">
            <v>G2104-6255</v>
          </cell>
          <cell r="D896" t="str">
            <v>000042944044002132</v>
          </cell>
          <cell r="E896" t="str">
            <v>十字槽沉头螺钉</v>
          </cell>
          <cell r="F896" t="str">
            <v>GB/T819.1-2000</v>
          </cell>
          <cell r="G896" t="str">
            <v>M3×10</v>
          </cell>
          <cell r="H896" t="str">
            <v>4.8</v>
          </cell>
          <cell r="I896" t="str">
            <v>Ep·Zn·c2C</v>
          </cell>
          <cell r="J896" t="str">
            <v>ML25</v>
          </cell>
          <cell r="K896">
            <v>3000</v>
          </cell>
          <cell r="L896">
            <v>45758</v>
          </cell>
          <cell r="M896" t="str">
            <v>4-检验完成</v>
          </cell>
        </row>
        <row r="896">
          <cell r="O896">
            <v>0</v>
          </cell>
          <cell r="P896" t="str">
            <v>重庆红宇精密工业集团有限公司</v>
          </cell>
          <cell r="Q896" t="str">
            <v>10</v>
          </cell>
          <cell r="R896">
            <v>45761</v>
          </cell>
        </row>
        <row r="896">
          <cell r="U896" t="str">
            <v/>
          </cell>
          <cell r="V896" t="str">
            <v>HANXIAOLAN</v>
          </cell>
          <cell r="W896" t="str">
            <v/>
          </cell>
          <cell r="X896" t="str">
            <v>XH-000</v>
          </cell>
          <cell r="Y896" t="str">
            <v/>
          </cell>
          <cell r="Z896" t="str">
            <v>1902</v>
          </cell>
          <cell r="AA896" t="str">
            <v>1100144997</v>
          </cell>
          <cell r="AB896">
            <v>3000</v>
          </cell>
          <cell r="AC896" t="str">
            <v/>
          </cell>
          <cell r="AD896">
            <v>0.57</v>
          </cell>
          <cell r="AE896" t="str">
            <v>G-100015451-250409-0023-1</v>
          </cell>
        </row>
        <row r="897">
          <cell r="B897" t="str">
            <v>7100939333</v>
          </cell>
          <cell r="C897" t="str">
            <v>G2503-2648</v>
          </cell>
          <cell r="D897" t="str">
            <v>000042944288000715</v>
          </cell>
          <cell r="E897" t="str">
            <v>气密双耳托板自锁螺母</v>
          </cell>
          <cell r="F897" t="str">
            <v>GB933-1988</v>
          </cell>
          <cell r="G897" t="str">
            <v>M8</v>
          </cell>
          <cell r="H897" t="str">
            <v>30-36HRC</v>
          </cell>
          <cell r="I897" t="str">
            <v>Ep·Cd·c2C</v>
          </cell>
          <cell r="J897" t="str">
            <v>组件(螺母体ML30CrMnSiA)</v>
          </cell>
          <cell r="K897">
            <v>944</v>
          </cell>
          <cell r="L897">
            <v>45771</v>
          </cell>
          <cell r="M897" t="str">
            <v>4-检验完成</v>
          </cell>
        </row>
        <row r="897">
          <cell r="O897">
            <v>0</v>
          </cell>
          <cell r="P897" t="str">
            <v>重庆红宇精密工业集团有限公司</v>
          </cell>
          <cell r="Q897" t="str">
            <v>30</v>
          </cell>
          <cell r="R897">
            <v>45772</v>
          </cell>
        </row>
        <row r="897">
          <cell r="U897" t="str">
            <v>010000801422</v>
          </cell>
          <cell r="V897" t="str">
            <v>PANMINGTAO</v>
          </cell>
          <cell r="W897" t="str">
            <v/>
          </cell>
          <cell r="X897" t="str">
            <v>XC-1-1-10</v>
          </cell>
          <cell r="Y897" t="str">
            <v/>
          </cell>
          <cell r="Z897" t="str">
            <v>1902</v>
          </cell>
          <cell r="AA897" t="str">
            <v>1100144327</v>
          </cell>
          <cell r="AB897">
            <v>1100</v>
          </cell>
          <cell r="AC897" t="str">
            <v/>
          </cell>
          <cell r="AD897">
            <v>10</v>
          </cell>
          <cell r="AE897" t="str">
            <v>G-100015451-250328-0017</v>
          </cell>
        </row>
        <row r="898">
          <cell r="B898" t="str">
            <v>7100939332</v>
          </cell>
          <cell r="C898" t="str">
            <v>G2503-2648</v>
          </cell>
          <cell r="D898" t="str">
            <v>000042944288000715</v>
          </cell>
          <cell r="E898" t="str">
            <v>气密双耳托板自锁螺母</v>
          </cell>
          <cell r="F898" t="str">
            <v>GB933-1988</v>
          </cell>
          <cell r="G898" t="str">
            <v>M8</v>
          </cell>
          <cell r="H898" t="str">
            <v>30-36HRC</v>
          </cell>
          <cell r="I898" t="str">
            <v>Ep·Cd·c2C</v>
          </cell>
          <cell r="J898" t="str">
            <v>组件(螺母体ML30CrMnSiA)</v>
          </cell>
          <cell r="K898">
            <v>206</v>
          </cell>
          <cell r="L898">
            <v>45771</v>
          </cell>
          <cell r="M898" t="str">
            <v>4-检验完成</v>
          </cell>
        </row>
        <row r="898">
          <cell r="O898">
            <v>0</v>
          </cell>
          <cell r="P898" t="str">
            <v>重庆红宇精密工业集团有限公司</v>
          </cell>
          <cell r="Q898" t="str">
            <v>10</v>
          </cell>
          <cell r="R898">
            <v>45772</v>
          </cell>
        </row>
        <row r="898">
          <cell r="U898" t="str">
            <v>010000801422</v>
          </cell>
          <cell r="V898" t="str">
            <v>PANMINGTAO</v>
          </cell>
          <cell r="W898" t="str">
            <v/>
          </cell>
          <cell r="X898" t="str">
            <v>XC-1-1-10</v>
          </cell>
          <cell r="Y898" t="str">
            <v/>
          </cell>
          <cell r="Z898" t="str">
            <v>1902</v>
          </cell>
          <cell r="AA898" t="str">
            <v>1100140268</v>
          </cell>
          <cell r="AB898">
            <v>600</v>
          </cell>
          <cell r="AC898" t="str">
            <v/>
          </cell>
          <cell r="AD898">
            <v>11.3</v>
          </cell>
          <cell r="AE898" t="str">
            <v>G-100015451-250113-0004-2</v>
          </cell>
        </row>
        <row r="899">
          <cell r="B899" t="str">
            <v>7100935070</v>
          </cell>
          <cell r="C899" t="str">
            <v>G2306-9097</v>
          </cell>
          <cell r="D899" t="str">
            <v>000042944044061515</v>
          </cell>
          <cell r="E899" t="str">
            <v>十字槽沉头螺钉</v>
          </cell>
          <cell r="F899" t="str">
            <v>GB/T819.2-2016</v>
          </cell>
          <cell r="G899" t="str">
            <v>M3×8</v>
          </cell>
          <cell r="H899" t="str">
            <v>A2-70</v>
          </cell>
          <cell r="I899" t="str">
            <v>ECP</v>
          </cell>
          <cell r="J899" t="str">
            <v>ML1Cr18Ni9Ti</v>
          </cell>
          <cell r="K899">
            <v>1800</v>
          </cell>
          <cell r="L899">
            <v>45764</v>
          </cell>
          <cell r="M899" t="str">
            <v>4-检验完成</v>
          </cell>
        </row>
        <row r="899">
          <cell r="O899">
            <v>0</v>
          </cell>
          <cell r="P899" t="str">
            <v>重庆红宇精密工业集团有限公司</v>
          </cell>
          <cell r="Q899" t="str">
            <v>10</v>
          </cell>
          <cell r="R899">
            <v>45765</v>
          </cell>
        </row>
        <row r="899">
          <cell r="U899" t="str">
            <v/>
          </cell>
          <cell r="V899" t="str">
            <v>LIZHIFENG</v>
          </cell>
          <cell r="W899" t="str">
            <v/>
          </cell>
          <cell r="X899" t="str">
            <v>XH-000</v>
          </cell>
          <cell r="Y899" t="str">
            <v/>
          </cell>
          <cell r="Z899" t="str">
            <v>1902</v>
          </cell>
          <cell r="AA899" t="str">
            <v>1100145388</v>
          </cell>
          <cell r="AB899">
            <v>1800</v>
          </cell>
          <cell r="AC899" t="str">
            <v/>
          </cell>
          <cell r="AD899">
            <v>0.57</v>
          </cell>
          <cell r="AE899" t="str">
            <v>G-100015451-250416-0025</v>
          </cell>
        </row>
        <row r="900">
          <cell r="B900" t="str">
            <v>7100941382</v>
          </cell>
          <cell r="C900" t="str">
            <v>G2503-9058</v>
          </cell>
          <cell r="D900" t="str">
            <v>000042944043000520</v>
          </cell>
          <cell r="E900" t="str">
            <v>开槽圆柱头螺钉</v>
          </cell>
          <cell r="F900" t="str">
            <v>GB/T65-2000</v>
          </cell>
          <cell r="G900" t="str">
            <v>M2×6</v>
          </cell>
          <cell r="H900" t="str">
            <v>5.8</v>
          </cell>
          <cell r="I900" t="str">
            <v>Ep·Zn·c2C</v>
          </cell>
          <cell r="J900" t="str">
            <v>ML25</v>
          </cell>
          <cell r="K900">
            <v>13</v>
          </cell>
          <cell r="L900">
            <v>45774</v>
          </cell>
          <cell r="M900" t="str">
            <v>4-检验完成</v>
          </cell>
        </row>
        <row r="900">
          <cell r="O900">
            <v>0</v>
          </cell>
          <cell r="P900" t="str">
            <v>重庆红宇精密工业集团有限公司</v>
          </cell>
          <cell r="Q900" t="str">
            <v>100</v>
          </cell>
          <cell r="R900">
            <v>45776</v>
          </cell>
        </row>
        <row r="900">
          <cell r="U900" t="str">
            <v>010000801709</v>
          </cell>
          <cell r="V900" t="str">
            <v>PANQIFANG</v>
          </cell>
          <cell r="W900" t="str">
            <v/>
          </cell>
          <cell r="X900" t="str">
            <v>CP-108-A</v>
          </cell>
          <cell r="Y900" t="str">
            <v/>
          </cell>
          <cell r="Z900" t="str">
            <v>1902</v>
          </cell>
          <cell r="AA900" t="str">
            <v>1100142026</v>
          </cell>
          <cell r="AB900">
            <v>700</v>
          </cell>
          <cell r="AC900" t="str">
            <v/>
          </cell>
          <cell r="AD900">
            <v>0.68</v>
          </cell>
          <cell r="AE900" t="str">
            <v>G-100015451-250221-0008</v>
          </cell>
        </row>
        <row r="901">
          <cell r="B901" t="str">
            <v>7100935070</v>
          </cell>
          <cell r="C901" t="str">
            <v>G2306-9097</v>
          </cell>
          <cell r="D901" t="str">
            <v>000042944044061515</v>
          </cell>
          <cell r="E901" t="str">
            <v>十字槽沉头螺钉</v>
          </cell>
          <cell r="F901" t="str">
            <v>GB/T819.2-2016</v>
          </cell>
          <cell r="G901" t="str">
            <v>M3×8</v>
          </cell>
          <cell r="H901" t="str">
            <v>A2-70</v>
          </cell>
          <cell r="I901" t="str">
            <v>ECP</v>
          </cell>
          <cell r="J901" t="str">
            <v>ML1Cr18Ni9Ti</v>
          </cell>
          <cell r="K901">
            <v>1800</v>
          </cell>
          <cell r="L901">
            <v>45764</v>
          </cell>
          <cell r="M901" t="str">
            <v>4-检验完成</v>
          </cell>
        </row>
        <row r="901">
          <cell r="O901">
            <v>0</v>
          </cell>
          <cell r="P901" t="str">
            <v>重庆红宇精密工业集团有限公司</v>
          </cell>
          <cell r="Q901" t="str">
            <v>10</v>
          </cell>
          <cell r="R901">
            <v>45765</v>
          </cell>
        </row>
        <row r="901">
          <cell r="U901" t="str">
            <v/>
          </cell>
          <cell r="V901" t="str">
            <v>LIZHIFENG</v>
          </cell>
          <cell r="W901" t="str">
            <v/>
          </cell>
          <cell r="X901" t="str">
            <v>XH-000</v>
          </cell>
          <cell r="Y901" t="str">
            <v/>
          </cell>
          <cell r="Z901" t="str">
            <v>1902</v>
          </cell>
          <cell r="AA901" t="str">
            <v>1100145388</v>
          </cell>
          <cell r="AB901">
            <v>1800</v>
          </cell>
          <cell r="AC901" t="str">
            <v/>
          </cell>
          <cell r="AD901">
            <v>0.57</v>
          </cell>
          <cell r="AE901" t="str">
            <v>G-100015451-250416-0025</v>
          </cell>
        </row>
        <row r="902">
          <cell r="B902" t="str">
            <v>7100944640</v>
          </cell>
          <cell r="C902" t="str">
            <v>G2503-0043</v>
          </cell>
          <cell r="D902" t="str">
            <v>000042944044148934</v>
          </cell>
          <cell r="E902" t="str">
            <v>十字槽盘头螺钉</v>
          </cell>
          <cell r="F902" t="str">
            <v>GB/T818-2016</v>
          </cell>
          <cell r="G902" t="str">
            <v>M6×10</v>
          </cell>
          <cell r="H902" t="str">
            <v>4.8</v>
          </cell>
          <cell r="I902" t="str">
            <v>Ep·Zn-Ni·c2C</v>
          </cell>
          <cell r="J902" t="str">
            <v>ML25</v>
          </cell>
          <cell r="K902">
            <v>4300</v>
          </cell>
          <cell r="L902">
            <v>45784</v>
          </cell>
          <cell r="M902" t="str">
            <v>3-配货完成</v>
          </cell>
        </row>
        <row r="902">
          <cell r="O902">
            <v>0</v>
          </cell>
          <cell r="P902" t="str">
            <v>重庆红宇精密工业集团有限公司</v>
          </cell>
          <cell r="Q902" t="str">
            <v>40</v>
          </cell>
        </row>
        <row r="902">
          <cell r="U902" t="str">
            <v>010000790917</v>
          </cell>
          <cell r="V902" t="str">
            <v>ANXINGYOU</v>
          </cell>
          <cell r="W902" t="str">
            <v/>
          </cell>
          <cell r="X902" t="str">
            <v>CP-108-A</v>
          </cell>
          <cell r="Y902" t="str">
            <v/>
          </cell>
          <cell r="Z902" t="str">
            <v>1902</v>
          </cell>
          <cell r="AA902" t="str">
            <v>1100142033</v>
          </cell>
          <cell r="AB902">
            <v>4300</v>
          </cell>
          <cell r="AC902" t="str">
            <v/>
          </cell>
          <cell r="AD902">
            <v>0.62</v>
          </cell>
          <cell r="AE902" t="str">
            <v>G-100015451-250221-0009</v>
          </cell>
        </row>
        <row r="903">
          <cell r="B903" t="str">
            <v>7100944289</v>
          </cell>
          <cell r="C903" t="str">
            <v>G2410-1314</v>
          </cell>
          <cell r="D903" t="str">
            <v>000042944043028915</v>
          </cell>
          <cell r="E903" t="str">
            <v>开槽凹端紧定螺钉</v>
          </cell>
          <cell r="F903" t="str">
            <v>GB74-85</v>
          </cell>
          <cell r="G903" t="str">
            <v>M10×12</v>
          </cell>
          <cell r="H903" t="str">
            <v>22H</v>
          </cell>
          <cell r="I903" t="str">
            <v>Ep·Zn·c2C</v>
          </cell>
          <cell r="J903" t="str">
            <v>45A</v>
          </cell>
          <cell r="K903">
            <v>63</v>
          </cell>
          <cell r="L903">
            <v>45784</v>
          </cell>
          <cell r="M903" t="str">
            <v>3-配货完成</v>
          </cell>
        </row>
        <row r="903">
          <cell r="O903">
            <v>0</v>
          </cell>
          <cell r="P903" t="str">
            <v>重庆红宇精密工业集团有限公司</v>
          </cell>
          <cell r="Q903" t="str">
            <v>30</v>
          </cell>
        </row>
        <row r="903">
          <cell r="U903" t="str">
            <v>010000742644</v>
          </cell>
          <cell r="V903" t="str">
            <v>PANQIFANG</v>
          </cell>
          <cell r="W903" t="str">
            <v/>
          </cell>
          <cell r="X903" t="str">
            <v>CP-108-A</v>
          </cell>
          <cell r="Y903" t="str">
            <v/>
          </cell>
          <cell r="Z903" t="str">
            <v>1902</v>
          </cell>
          <cell r="AA903" t="str">
            <v>1100146429</v>
          </cell>
          <cell r="AB903">
            <v>900</v>
          </cell>
          <cell r="AC903" t="str">
            <v/>
          </cell>
          <cell r="AD903">
            <v>4.52</v>
          </cell>
          <cell r="AE903" t="str">
            <v>G-100015451-250503-0031</v>
          </cell>
        </row>
        <row r="904">
          <cell r="B904" t="str">
            <v>7100949687</v>
          </cell>
          <cell r="C904" t="str">
            <v>G2411-0935</v>
          </cell>
          <cell r="D904" t="str">
            <v>000042944000003913</v>
          </cell>
          <cell r="E904" t="str">
            <v>通用卡箍-双面固定卡箍</v>
          </cell>
          <cell r="F904" t="str">
            <v>QJ177.12A-1995</v>
          </cell>
          <cell r="G904" t="str">
            <v>1</v>
          </cell>
          <cell r="H904" t="str">
            <v>σb≥400MPa</v>
          </cell>
          <cell r="I904" t="str">
            <v>Et·A(S)·Cs</v>
          </cell>
          <cell r="J904" t="str">
            <v>LY12</v>
          </cell>
          <cell r="K904">
            <v>58</v>
          </cell>
          <cell r="L904">
            <v>45794</v>
          </cell>
          <cell r="M904" t="str">
            <v>1-已打印</v>
          </cell>
        </row>
        <row r="904">
          <cell r="O904">
            <v>0</v>
          </cell>
          <cell r="P904" t="str">
            <v>重庆红宇精密工业集团有限公司</v>
          </cell>
          <cell r="Q904" t="str">
            <v>60</v>
          </cell>
        </row>
        <row r="904">
          <cell r="U904" t="str">
            <v>010000750398</v>
          </cell>
          <cell r="V904" t="str">
            <v/>
          </cell>
          <cell r="W904" t="str">
            <v/>
          </cell>
          <cell r="X904" t="str">
            <v>CP-69-2-1-5</v>
          </cell>
          <cell r="Y904" t="str">
            <v/>
          </cell>
          <cell r="Z904" t="str">
            <v>1902</v>
          </cell>
          <cell r="AA904" t="str">
            <v>1100147165</v>
          </cell>
          <cell r="AB904">
            <v>100</v>
          </cell>
          <cell r="AC904" t="str">
            <v/>
          </cell>
          <cell r="AD904">
            <v>8.48</v>
          </cell>
          <cell r="AE904" t="str">
            <v>G-100015451-250516-0033</v>
          </cell>
        </row>
        <row r="905">
          <cell r="B905" t="str">
            <v>7100949644</v>
          </cell>
          <cell r="C905" t="str">
            <v>G2503-2828</v>
          </cell>
          <cell r="D905" t="str">
            <v>000042944044018456</v>
          </cell>
          <cell r="E905" t="str">
            <v>十字槽沉头螺钉</v>
          </cell>
          <cell r="F905" t="str">
            <v>GB/T819.2-2016</v>
          </cell>
          <cell r="G905" t="str">
            <v>M4×8</v>
          </cell>
          <cell r="H905" t="str">
            <v>A2-70</v>
          </cell>
          <cell r="I905" t="str">
            <v>ECP</v>
          </cell>
          <cell r="J905" t="str">
            <v>ML1Cr18Ni9Ti</v>
          </cell>
          <cell r="K905">
            <v>222</v>
          </cell>
          <cell r="L905">
            <v>45794</v>
          </cell>
          <cell r="M905" t="str">
            <v>3-配货完成</v>
          </cell>
        </row>
        <row r="905">
          <cell r="O905">
            <v>0</v>
          </cell>
          <cell r="P905" t="str">
            <v>重庆红宇精密工业集团有限公司</v>
          </cell>
          <cell r="Q905" t="str">
            <v>50</v>
          </cell>
        </row>
        <row r="905">
          <cell r="U905" t="str">
            <v>010000802421</v>
          </cell>
          <cell r="V905" t="str">
            <v>HANXIAOLAN</v>
          </cell>
          <cell r="W905" t="str">
            <v/>
          </cell>
          <cell r="X905" t="str">
            <v>CP-43-2-2-2</v>
          </cell>
          <cell r="Y905" t="str">
            <v/>
          </cell>
          <cell r="Z905" t="str">
            <v>1902</v>
          </cell>
          <cell r="AA905" t="str">
            <v>1100147165</v>
          </cell>
          <cell r="AB905">
            <v>2000</v>
          </cell>
          <cell r="AC905" t="str">
            <v/>
          </cell>
          <cell r="AD905">
            <v>0.57</v>
          </cell>
          <cell r="AE905" t="str">
            <v>G-100015451-250516-0033</v>
          </cell>
        </row>
        <row r="906">
          <cell r="B906" t="str">
            <v>7100947679</v>
          </cell>
          <cell r="C906" t="str">
            <v>G2503-3259</v>
          </cell>
          <cell r="D906">
            <v>42944320005097</v>
          </cell>
          <cell r="E906" t="str">
            <v>120°沉头铆钉</v>
          </cell>
          <cell r="F906" t="str">
            <v>GB954-1986</v>
          </cell>
          <cell r="G906" t="str">
            <v>3×12</v>
          </cell>
          <cell r="H906" t="str">
            <v>淬火时效</v>
          </cell>
          <cell r="I906" t="str">
            <v>Ct·P</v>
          </cell>
          <cell r="J906" t="str">
            <v>2A10</v>
          </cell>
          <cell r="K906">
            <v>2383</v>
          </cell>
          <cell r="L906">
            <v>45790</v>
          </cell>
          <cell r="M906" t="str">
            <v>4-检验完成</v>
          </cell>
        </row>
        <row r="906">
          <cell r="O906">
            <v>0</v>
          </cell>
          <cell r="P906" t="str">
            <v>重庆红宇精密工业集团有限公司</v>
          </cell>
          <cell r="Q906" t="str">
            <v>40</v>
          </cell>
          <cell r="R906">
            <v>45791</v>
          </cell>
        </row>
        <row r="906">
          <cell r="U906" t="str">
            <v>010000803882</v>
          </cell>
          <cell r="V906" t="str">
            <v>PANQIFANG</v>
          </cell>
          <cell r="W906" t="str">
            <v/>
          </cell>
          <cell r="X906" t="str">
            <v>CP-108-A</v>
          </cell>
          <cell r="Y906" t="str">
            <v/>
          </cell>
          <cell r="Z906" t="str">
            <v>1902</v>
          </cell>
          <cell r="AA906" t="str">
            <v>1100144327</v>
          </cell>
          <cell r="AB906">
            <v>4000</v>
          </cell>
          <cell r="AC906" t="str">
            <v/>
          </cell>
          <cell r="AD906">
            <v>0.3</v>
          </cell>
          <cell r="AE906" t="str">
            <v>G-100015451-250328-0017</v>
          </cell>
        </row>
        <row r="907">
          <cell r="B907" t="str">
            <v>7100947387</v>
          </cell>
          <cell r="C907" t="str">
            <v>G02504-174</v>
          </cell>
          <cell r="D907" t="str">
            <v>000042944402148933</v>
          </cell>
          <cell r="E907" t="str">
            <v>轻型弹簧垫圈</v>
          </cell>
          <cell r="F907" t="str">
            <v>GB859-1987</v>
          </cell>
          <cell r="G907" t="str">
            <v>18</v>
          </cell>
          <cell r="H907" t="str">
            <v>42-50HRC</v>
          </cell>
          <cell r="I907" t="str">
            <v>Ep·Zn-Ni·c2C</v>
          </cell>
          <cell r="J907" t="str">
            <v>65Mn</v>
          </cell>
          <cell r="K907">
            <v>4200</v>
          </cell>
          <cell r="L907">
            <v>45790</v>
          </cell>
          <cell r="M907" t="str">
            <v>4-检验完成</v>
          </cell>
        </row>
        <row r="907">
          <cell r="O907">
            <v>0</v>
          </cell>
          <cell r="P907" t="str">
            <v>重庆红宇精密工业集团有限公司</v>
          </cell>
          <cell r="Q907" t="str">
            <v>30</v>
          </cell>
          <cell r="R907">
            <v>45791</v>
          </cell>
        </row>
        <row r="907">
          <cell r="U907" t="str">
            <v/>
          </cell>
          <cell r="V907" t="str">
            <v>PANQIFANG</v>
          </cell>
          <cell r="W907" t="str">
            <v/>
          </cell>
          <cell r="X907" t="str">
            <v>XH-000</v>
          </cell>
          <cell r="Y907" t="str">
            <v/>
          </cell>
          <cell r="Z907" t="str">
            <v>1902</v>
          </cell>
          <cell r="AA907" t="str">
            <v>1100142033</v>
          </cell>
          <cell r="AB907">
            <v>4200</v>
          </cell>
          <cell r="AC907" t="str">
            <v/>
          </cell>
          <cell r="AD907">
            <v>1.92</v>
          </cell>
          <cell r="AE907" t="str">
            <v>G-100015451-250221-0009</v>
          </cell>
        </row>
        <row r="908">
          <cell r="B908" t="str">
            <v>7100947248</v>
          </cell>
          <cell r="C908" t="str">
            <v>G2504-9007</v>
          </cell>
          <cell r="D908" t="str">
            <v>000042944044001149</v>
          </cell>
          <cell r="E908" t="str">
            <v>十字槽盘头螺钉</v>
          </cell>
          <cell r="F908" t="str">
            <v>GB/T818-2000</v>
          </cell>
          <cell r="G908" t="str">
            <v>M3×6</v>
          </cell>
          <cell r="H908" t="str">
            <v>4.8</v>
          </cell>
          <cell r="I908" t="str">
            <v>Ep·Zn-Ni·c2C</v>
          </cell>
          <cell r="J908" t="str">
            <v>ML25</v>
          </cell>
          <cell r="K908">
            <v>345</v>
          </cell>
          <cell r="L908">
            <v>45790</v>
          </cell>
          <cell r="M908" t="str">
            <v>4-检验完成</v>
          </cell>
        </row>
        <row r="908">
          <cell r="O908">
            <v>0</v>
          </cell>
          <cell r="P908" t="str">
            <v>重庆红宇精密工业集团有限公司</v>
          </cell>
          <cell r="Q908" t="str">
            <v>110</v>
          </cell>
          <cell r="R908">
            <v>45791</v>
          </cell>
        </row>
        <row r="908">
          <cell r="U908" t="str">
            <v>010000809996</v>
          </cell>
          <cell r="V908" t="str">
            <v>PANQIFANG</v>
          </cell>
          <cell r="W908" t="str">
            <v/>
          </cell>
          <cell r="X908" t="str">
            <v>CP-108-A</v>
          </cell>
          <cell r="Y908" t="str">
            <v/>
          </cell>
          <cell r="Z908" t="str">
            <v>1902</v>
          </cell>
          <cell r="AA908" t="str">
            <v>1100142026</v>
          </cell>
          <cell r="AB908">
            <v>3600</v>
          </cell>
          <cell r="AC908" t="str">
            <v/>
          </cell>
          <cell r="AD908">
            <v>0.68</v>
          </cell>
          <cell r="AE908" t="str">
            <v>G-100015451-250221-0008</v>
          </cell>
        </row>
        <row r="909">
          <cell r="B909" t="str">
            <v>7100952110</v>
          </cell>
          <cell r="C909" t="str">
            <v>G2504-3847</v>
          </cell>
          <cell r="D909" t="str">
            <v>000042944288000674</v>
          </cell>
          <cell r="E909" t="str">
            <v>气密双耳托板自锁螺母</v>
          </cell>
          <cell r="F909" t="str">
            <v>GB933-88</v>
          </cell>
          <cell r="G909" t="str">
            <v>GM5</v>
          </cell>
          <cell r="H909" t="str">
            <v>30-36HRC</v>
          </cell>
          <cell r="I909" t="str">
            <v>Ep·Cd·c2C</v>
          </cell>
          <cell r="J909" t="str">
            <v>组件(螺母体30CrMnSiA)</v>
          </cell>
          <cell r="K909">
            <v>300</v>
          </cell>
          <cell r="L909">
            <v>45798</v>
          </cell>
          <cell r="M909" t="str">
            <v>3-配货完成</v>
          </cell>
        </row>
        <row r="909">
          <cell r="O909">
            <v>0</v>
          </cell>
          <cell r="P909" t="str">
            <v>重庆红宇精密工业集团有限公司</v>
          </cell>
          <cell r="Q909" t="str">
            <v>60</v>
          </cell>
        </row>
        <row r="909">
          <cell r="U909" t="str">
            <v>010000815959</v>
          </cell>
          <cell r="V909" t="str">
            <v>PANMINGTAO</v>
          </cell>
          <cell r="W909" t="str">
            <v/>
          </cell>
          <cell r="X909" t="str">
            <v>XC-1-1-10</v>
          </cell>
          <cell r="Y909" t="str">
            <v/>
          </cell>
          <cell r="Z909" t="str">
            <v>1902</v>
          </cell>
          <cell r="AA909" t="str">
            <v>1100145525</v>
          </cell>
          <cell r="AB909">
            <v>300</v>
          </cell>
          <cell r="AC909" t="str">
            <v/>
          </cell>
          <cell r="AD909">
            <v>10.96</v>
          </cell>
          <cell r="AE909" t="str">
            <v>G-100015451-250417-0027</v>
          </cell>
        </row>
        <row r="910">
          <cell r="B910" t="str">
            <v>7100952349</v>
          </cell>
          <cell r="C910" t="str">
            <v>G2504-3734</v>
          </cell>
          <cell r="D910" t="str">
            <v>000042944320008214</v>
          </cell>
          <cell r="E910" t="str">
            <v>90°沉头铆钉</v>
          </cell>
          <cell r="F910" t="str">
            <v>HB6306-2002</v>
          </cell>
          <cell r="G910" t="str">
            <v>2.5×8</v>
          </cell>
          <cell r="H910" t="str">
            <v>淬火及时效</v>
          </cell>
          <cell r="I910" t="str">
            <v>Ct·O</v>
          </cell>
          <cell r="J910" t="str">
            <v>LY10</v>
          </cell>
          <cell r="K910">
            <v>800</v>
          </cell>
          <cell r="L910">
            <v>45798</v>
          </cell>
          <cell r="M910" t="str">
            <v>3-配货完成</v>
          </cell>
        </row>
        <row r="910">
          <cell r="O910">
            <v>0</v>
          </cell>
          <cell r="P910" t="str">
            <v>重庆红宇精密工业集团有限公司</v>
          </cell>
          <cell r="Q910" t="str">
            <v>40</v>
          </cell>
        </row>
        <row r="910">
          <cell r="U910" t="str">
            <v>010000815581</v>
          </cell>
          <cell r="V910" t="str">
            <v>PANQIFANG</v>
          </cell>
          <cell r="W910" t="str">
            <v/>
          </cell>
          <cell r="X910" t="str">
            <v>CP-108-A</v>
          </cell>
          <cell r="Y910" t="str">
            <v/>
          </cell>
          <cell r="Z910" t="str">
            <v>1902</v>
          </cell>
          <cell r="AA910" t="str">
            <v>1100145525</v>
          </cell>
          <cell r="AB910">
            <v>800</v>
          </cell>
          <cell r="AC910" t="str">
            <v/>
          </cell>
          <cell r="AD910">
            <v>0.45</v>
          </cell>
          <cell r="AE910" t="str">
            <v>G-100015451-250417-0027</v>
          </cell>
        </row>
        <row r="911">
          <cell r="B911">
            <v>7100952494</v>
          </cell>
          <cell r="C911" t="str">
            <v>G2505-9003</v>
          </cell>
          <cell r="D911">
            <v>42944044148147</v>
          </cell>
          <cell r="E911" t="str">
            <v>十字槽沉头螺钉</v>
          </cell>
          <cell r="F911" t="str">
            <v>GB/T819.2-2016(CQHY)</v>
          </cell>
          <cell r="G911" t="str">
            <v>M4×8</v>
          </cell>
          <cell r="H911">
            <v>8.8</v>
          </cell>
          <cell r="I911" t="str">
            <v>Ep·Zn-Ni·c2C</v>
          </cell>
          <cell r="J911" t="str">
            <v>ML30CrMnSiA</v>
          </cell>
          <cell r="K911">
            <v>777</v>
          </cell>
          <cell r="L911">
            <v>45798</v>
          </cell>
          <cell r="M911" t="str">
            <v>4-检验完成</v>
          </cell>
        </row>
        <row r="911">
          <cell r="P911" t="str">
            <v>重庆红宇精密工业集团有限公司</v>
          </cell>
          <cell r="Q911">
            <v>10</v>
          </cell>
          <cell r="R911">
            <v>45798</v>
          </cell>
        </row>
        <row r="911">
          <cell r="U911">
            <v>10000821207</v>
          </cell>
          <cell r="V911" t="str">
            <v>PANQIFANG</v>
          </cell>
        </row>
        <row r="911">
          <cell r="X911" t="str">
            <v>CP-108-A</v>
          </cell>
        </row>
        <row r="911">
          <cell r="Z911">
            <v>1902</v>
          </cell>
          <cell r="AA911">
            <v>1100145182</v>
          </cell>
          <cell r="AB911">
            <v>1000</v>
          </cell>
        </row>
        <row r="911">
          <cell r="AD911">
            <v>1.13</v>
          </cell>
          <cell r="AE911" t="str">
            <v>G-100015451-250411-0024</v>
          </cell>
        </row>
        <row r="912">
          <cell r="B912">
            <v>7100952493</v>
          </cell>
          <cell r="C912" t="str">
            <v>G2505-9003</v>
          </cell>
          <cell r="D912">
            <v>42944044148147</v>
          </cell>
          <cell r="E912" t="str">
            <v>十字槽沉头螺钉</v>
          </cell>
          <cell r="F912" t="str">
            <v>GB/T819.2-2016(CQHY)</v>
          </cell>
          <cell r="G912" t="str">
            <v>M4×8</v>
          </cell>
          <cell r="H912">
            <v>8.8</v>
          </cell>
          <cell r="I912" t="str">
            <v>Ep·Zn-Ni·c2C</v>
          </cell>
          <cell r="J912" t="str">
            <v>ML30CrMnSiA</v>
          </cell>
          <cell r="K912">
            <v>300</v>
          </cell>
          <cell r="L912">
            <v>45798</v>
          </cell>
          <cell r="M912" t="str">
            <v>3-配货完成</v>
          </cell>
        </row>
        <row r="912">
          <cell r="P912" t="str">
            <v>重庆红宇精密工业集团有限公司</v>
          </cell>
          <cell r="Q912">
            <v>10</v>
          </cell>
        </row>
        <row r="912">
          <cell r="U912">
            <v>10000821207</v>
          </cell>
          <cell r="V912" t="str">
            <v>PANQIFANG</v>
          </cell>
        </row>
        <row r="912">
          <cell r="X912" t="str">
            <v>CP-108-A</v>
          </cell>
        </row>
        <row r="912">
          <cell r="Z912">
            <v>1902</v>
          </cell>
          <cell r="AA912">
            <v>1100141530</v>
          </cell>
          <cell r="AB912">
            <v>300</v>
          </cell>
        </row>
        <row r="912">
          <cell r="AD912">
            <v>1.13</v>
          </cell>
          <cell r="AE912" t="str">
            <v>G-100015451-250214-0007</v>
          </cell>
        </row>
        <row r="913">
          <cell r="B913" t="str">
            <v>7100954142</v>
          </cell>
          <cell r="C913" t="str">
            <v>G2504-9068</v>
          </cell>
          <cell r="D913" t="str">
            <v>000042944043101004</v>
          </cell>
          <cell r="E913" t="str">
            <v>开槽圆柱头螺钉</v>
          </cell>
          <cell r="F913" t="str">
            <v>GB/T65-2016</v>
          </cell>
          <cell r="G913" t="str">
            <v>M4×8</v>
          </cell>
          <cell r="H913" t="str">
            <v>4.8</v>
          </cell>
          <cell r="I913" t="str">
            <v>Ep·Zn·c2C</v>
          </cell>
          <cell r="J913" t="str">
            <v>ML25</v>
          </cell>
          <cell r="K913">
            <v>1000</v>
          </cell>
          <cell r="L913">
            <v>45801</v>
          </cell>
          <cell r="M913" t="str">
            <v>4-检验完成</v>
          </cell>
        </row>
        <row r="913">
          <cell r="O913">
            <v>0</v>
          </cell>
          <cell r="P913" t="str">
            <v>重庆红宇精密工业集团有限公司</v>
          </cell>
          <cell r="Q913" t="str">
            <v>20</v>
          </cell>
          <cell r="R913">
            <v>45802</v>
          </cell>
        </row>
        <row r="913">
          <cell r="U913" t="str">
            <v>010000819639</v>
          </cell>
          <cell r="V913" t="str">
            <v>PANQIFANG</v>
          </cell>
          <cell r="W913" t="str">
            <v/>
          </cell>
          <cell r="X913" t="str">
            <v>CP-108-A</v>
          </cell>
          <cell r="Y913" t="str">
            <v/>
          </cell>
          <cell r="Z913" t="str">
            <v>1902</v>
          </cell>
          <cell r="AA913" t="str">
            <v>1100144327</v>
          </cell>
          <cell r="AB913">
            <v>1000</v>
          </cell>
          <cell r="AC913" t="str">
            <v/>
          </cell>
          <cell r="AD913">
            <v>0.7</v>
          </cell>
          <cell r="AE913" t="str">
            <v>G-100015451-250328-0017</v>
          </cell>
        </row>
        <row r="914">
          <cell r="B914" t="str">
            <v>7100954057</v>
          </cell>
          <cell r="C914" t="str">
            <v>G2504-9059</v>
          </cell>
          <cell r="D914" t="str">
            <v>000042944044148147</v>
          </cell>
          <cell r="E914" t="str">
            <v>十字槽沉头螺钉</v>
          </cell>
          <cell r="F914" t="str">
            <v>GB/T819.2-2016(CQHY)</v>
          </cell>
          <cell r="G914" t="str">
            <v>M4×8</v>
          </cell>
          <cell r="H914" t="str">
            <v>8.8</v>
          </cell>
          <cell r="I914" t="str">
            <v>Ep·Zn-Ni·c2C</v>
          </cell>
          <cell r="J914" t="str">
            <v>ML30CrMnSiA</v>
          </cell>
          <cell r="K914">
            <v>1034</v>
          </cell>
          <cell r="L914">
            <v>45801</v>
          </cell>
          <cell r="M914" t="str">
            <v>4-检验完成</v>
          </cell>
        </row>
        <row r="914">
          <cell r="O914">
            <v>0</v>
          </cell>
          <cell r="P914" t="str">
            <v>重庆红宇精密工业集团有限公司</v>
          </cell>
          <cell r="Q914" t="str">
            <v>30</v>
          </cell>
          <cell r="R914">
            <v>45802</v>
          </cell>
        </row>
        <row r="914">
          <cell r="U914" t="str">
            <v>010000815798</v>
          </cell>
          <cell r="V914" t="str">
            <v>PANQIFANG</v>
          </cell>
          <cell r="W914" t="str">
            <v/>
          </cell>
          <cell r="X914" t="str">
            <v>CP-108-A</v>
          </cell>
          <cell r="Y914" t="str">
            <v/>
          </cell>
          <cell r="Z914" t="str">
            <v>1902</v>
          </cell>
          <cell r="AA914" t="str">
            <v>1100145525</v>
          </cell>
          <cell r="AB914">
            <v>1200</v>
          </cell>
          <cell r="AC914" t="str">
            <v/>
          </cell>
          <cell r="AD914">
            <v>1.13</v>
          </cell>
          <cell r="AE914" t="str">
            <v>G-100015451-250417-0027</v>
          </cell>
        </row>
        <row r="915">
          <cell r="B915" t="str">
            <v>7100954056</v>
          </cell>
          <cell r="C915" t="str">
            <v>G2504-9059</v>
          </cell>
          <cell r="D915" t="str">
            <v>000042944044148147</v>
          </cell>
          <cell r="E915" t="str">
            <v>十字槽沉头螺钉</v>
          </cell>
          <cell r="F915" t="str">
            <v>GB/T819.2-2016(CQHY)</v>
          </cell>
          <cell r="G915" t="str">
            <v>M4×8</v>
          </cell>
          <cell r="H915" t="str">
            <v>8.8</v>
          </cell>
          <cell r="I915" t="str">
            <v>Ep·Zn-Ni·c2C</v>
          </cell>
          <cell r="J915" t="str">
            <v>ML30CrMnSiA</v>
          </cell>
          <cell r="K915">
            <v>223</v>
          </cell>
          <cell r="L915">
            <v>45801</v>
          </cell>
          <cell r="M915" t="str">
            <v>4-检验完成</v>
          </cell>
        </row>
        <row r="915">
          <cell r="O915">
            <v>0</v>
          </cell>
          <cell r="P915" t="str">
            <v>重庆红宇精密工业集团有限公司</v>
          </cell>
          <cell r="Q915" t="str">
            <v>10</v>
          </cell>
          <cell r="R915">
            <v>45802</v>
          </cell>
        </row>
        <row r="915">
          <cell r="U915" t="str">
            <v>010000815798</v>
          </cell>
          <cell r="V915" t="str">
            <v>PANQIFANG</v>
          </cell>
          <cell r="W915" t="str">
            <v/>
          </cell>
          <cell r="X915" t="str">
            <v>CP-108-A</v>
          </cell>
          <cell r="Y915" t="str">
            <v/>
          </cell>
          <cell r="Z915" t="str">
            <v>1902</v>
          </cell>
          <cell r="AA915" t="str">
            <v>1100145182</v>
          </cell>
          <cell r="AB915">
            <v>1000</v>
          </cell>
          <cell r="AC915" t="str">
            <v/>
          </cell>
          <cell r="AD915">
            <v>1.13</v>
          </cell>
          <cell r="AE915" t="str">
            <v>G-100015451-250411-0024</v>
          </cell>
        </row>
        <row r="916">
          <cell r="B916" t="str">
            <v>7100955798</v>
          </cell>
          <cell r="C916" t="str">
            <v>G2505-9002</v>
          </cell>
          <cell r="D916" t="str">
            <v>000042944044142694</v>
          </cell>
          <cell r="E916" t="str">
            <v>十字槽沉头螺钉</v>
          </cell>
          <cell r="F916" t="str">
            <v>GB/T819.2-2016</v>
          </cell>
          <cell r="G916" t="str">
            <v>M3×16</v>
          </cell>
          <cell r="H916" t="str">
            <v>8.8</v>
          </cell>
          <cell r="I916" t="str">
            <v>Ep·Zn·c2C</v>
          </cell>
          <cell r="J916" t="str">
            <v>ML30CrMnSiA</v>
          </cell>
          <cell r="K916">
            <v>500</v>
          </cell>
          <cell r="L916">
            <v>45803</v>
          </cell>
          <cell r="M916" t="str">
            <v>3-配货完成</v>
          </cell>
        </row>
        <row r="916">
          <cell r="O916">
            <v>0</v>
          </cell>
          <cell r="P916" t="str">
            <v>重庆红宇精密工业集团有限公司</v>
          </cell>
          <cell r="Q916" t="str">
            <v>50</v>
          </cell>
        </row>
        <row r="916">
          <cell r="U916" t="str">
            <v>010000821021</v>
          </cell>
          <cell r="V916" t="str">
            <v>PANQIFANG</v>
          </cell>
          <cell r="W916" t="str">
            <v/>
          </cell>
          <cell r="X916" t="str">
            <v>CP-108-A</v>
          </cell>
          <cell r="Y916" t="str">
            <v/>
          </cell>
          <cell r="Z916" t="str">
            <v>1902</v>
          </cell>
          <cell r="AA916" t="str">
            <v>1100145525</v>
          </cell>
          <cell r="AB916">
            <v>500</v>
          </cell>
          <cell r="AC916" t="str">
            <v/>
          </cell>
          <cell r="AD916">
            <v>0.68</v>
          </cell>
          <cell r="AE916" t="str">
            <v>G-100015451-250417-0027</v>
          </cell>
        </row>
        <row r="917">
          <cell r="B917" t="str">
            <v>7100956897</v>
          </cell>
          <cell r="C917" t="str">
            <v>G2505-0156</v>
          </cell>
          <cell r="D917" t="str">
            <v>000042944320008241</v>
          </cell>
          <cell r="E917" t="str">
            <v>90°沉头铆钉</v>
          </cell>
          <cell r="F917" t="str">
            <v>HB6306-2002</v>
          </cell>
          <cell r="G917" t="str">
            <v>3×13</v>
          </cell>
          <cell r="H917" t="str">
            <v>淬火及时效</v>
          </cell>
          <cell r="I917" t="str">
            <v>Ct·O</v>
          </cell>
          <cell r="J917" t="str">
            <v>LY10</v>
          </cell>
          <cell r="K917">
            <v>6100</v>
          </cell>
          <cell r="L917">
            <v>45806</v>
          </cell>
          <cell r="M917" t="str">
            <v>4-检验完成</v>
          </cell>
        </row>
        <row r="917">
          <cell r="O917">
            <v>0</v>
          </cell>
          <cell r="P917" t="str">
            <v>重庆红宇精密工业集团有限公司</v>
          </cell>
          <cell r="Q917" t="str">
            <v>10</v>
          </cell>
          <cell r="R917">
            <v>45809</v>
          </cell>
        </row>
        <row r="917">
          <cell r="U917" t="str">
            <v>010000821122</v>
          </cell>
          <cell r="V917" t="str">
            <v>PANQIFANG</v>
          </cell>
          <cell r="W917" t="str">
            <v/>
          </cell>
          <cell r="X917" t="str">
            <v>CP-108-A</v>
          </cell>
          <cell r="Y917" t="str">
            <v/>
          </cell>
          <cell r="Z917" t="str">
            <v>1902</v>
          </cell>
          <cell r="AA917" t="str">
            <v>1100146429</v>
          </cell>
          <cell r="AB917">
            <v>6100</v>
          </cell>
          <cell r="AC917" t="str">
            <v/>
          </cell>
          <cell r="AD917">
            <v>0.45</v>
          </cell>
          <cell r="AE917" t="str">
            <v>G-100015451-250503-0031</v>
          </cell>
        </row>
        <row r="918">
          <cell r="B918" t="str">
            <v>7100956961</v>
          </cell>
          <cell r="C918" t="str">
            <v>G2502-2523</v>
          </cell>
          <cell r="D918" t="str">
            <v>000042944044148147</v>
          </cell>
          <cell r="E918" t="str">
            <v>十字槽沉头螺钉</v>
          </cell>
          <cell r="F918" t="str">
            <v>GB/T819.2-2016(CQHY)</v>
          </cell>
          <cell r="G918" t="str">
            <v>M4×8</v>
          </cell>
          <cell r="H918" t="str">
            <v>8.8</v>
          </cell>
          <cell r="I918" t="str">
            <v>Ep·Zn-Ni·c2C</v>
          </cell>
          <cell r="J918" t="str">
            <v>ML30CrMnSiA</v>
          </cell>
          <cell r="K918">
            <v>166</v>
          </cell>
          <cell r="L918">
            <v>45806</v>
          </cell>
          <cell r="M918" t="str">
            <v>4-检验完成</v>
          </cell>
        </row>
        <row r="918">
          <cell r="O918">
            <v>0</v>
          </cell>
          <cell r="P918" t="str">
            <v>重庆红宇精密工业集团有限公司</v>
          </cell>
          <cell r="Q918" t="str">
            <v>30</v>
          </cell>
          <cell r="R918">
            <v>45811</v>
          </cell>
        </row>
        <row r="918">
          <cell r="U918" t="str">
            <v>010000787363</v>
          </cell>
          <cell r="V918" t="str">
            <v>PANQIFANG</v>
          </cell>
          <cell r="W918" t="str">
            <v/>
          </cell>
          <cell r="X918" t="str">
            <v>CP-108-A</v>
          </cell>
          <cell r="Y918" t="str">
            <v/>
          </cell>
          <cell r="Z918" t="str">
            <v>1902</v>
          </cell>
          <cell r="AA918" t="str">
            <v>1100145525</v>
          </cell>
          <cell r="AB918">
            <v>1200</v>
          </cell>
          <cell r="AC918" t="str">
            <v/>
          </cell>
          <cell r="AD918">
            <v>1.13</v>
          </cell>
          <cell r="AE918" t="str">
            <v>G-100015451-250417-0027</v>
          </cell>
        </row>
        <row r="919">
          <cell r="B919" t="str">
            <v>7100957211</v>
          </cell>
          <cell r="C919" t="str">
            <v>GW2505-141</v>
          </cell>
          <cell r="D919" t="str">
            <v>000042944320008196</v>
          </cell>
          <cell r="E919" t="str">
            <v>90°沉头铆钉</v>
          </cell>
          <cell r="F919" t="str">
            <v>HB6306-2002</v>
          </cell>
          <cell r="G919" t="str">
            <v>2.5×10</v>
          </cell>
          <cell r="H919" t="str">
            <v>淬火及时效</v>
          </cell>
          <cell r="I919" t="str">
            <v>Ct·O</v>
          </cell>
          <cell r="J919" t="str">
            <v>LY10</v>
          </cell>
          <cell r="K919">
            <v>290</v>
          </cell>
          <cell r="L919">
            <v>45806</v>
          </cell>
          <cell r="M919" t="str">
            <v>4-检验完成</v>
          </cell>
        </row>
        <row r="919">
          <cell r="O919">
            <v>0</v>
          </cell>
          <cell r="P919" t="str">
            <v>重庆红宇精密工业集团有限公司</v>
          </cell>
          <cell r="Q919" t="str">
            <v>10</v>
          </cell>
          <cell r="R919">
            <v>45812</v>
          </cell>
        </row>
        <row r="919">
          <cell r="U919" t="str">
            <v/>
          </cell>
          <cell r="V919" t="str">
            <v>PANQIFANG</v>
          </cell>
          <cell r="W919" t="str">
            <v/>
          </cell>
          <cell r="X919" t="str">
            <v>XH-000</v>
          </cell>
          <cell r="Y919" t="str">
            <v/>
          </cell>
          <cell r="Z919" t="str">
            <v>1902</v>
          </cell>
          <cell r="AA919" t="str">
            <v>1100144998</v>
          </cell>
          <cell r="AB919">
            <v>300</v>
          </cell>
          <cell r="AC919" t="str">
            <v/>
          </cell>
          <cell r="AD919">
            <v>0.45</v>
          </cell>
          <cell r="AE919" t="str">
            <v>G-100015451-250409-0023-2-T</v>
          </cell>
        </row>
        <row r="920">
          <cell r="B920" t="str">
            <v>7100959495</v>
          </cell>
          <cell r="C920" t="str">
            <v>G2504-4486</v>
          </cell>
          <cell r="D920" t="str">
            <v>000042944041152124</v>
          </cell>
          <cell r="E920" t="str">
            <v>内六角圆柱头螺钉</v>
          </cell>
          <cell r="F920" t="str">
            <v>GB/T70.1-2000(CQHY)</v>
          </cell>
          <cell r="G920" t="str">
            <v>M6×16</v>
          </cell>
          <cell r="H920" t="str">
            <v>10.9</v>
          </cell>
          <cell r="I920" t="str">
            <v>Ep·Zn·c2C</v>
          </cell>
          <cell r="J920" t="str">
            <v>ML30CrMnSiA</v>
          </cell>
          <cell r="K920">
            <v>2300</v>
          </cell>
          <cell r="L920">
            <v>45813</v>
          </cell>
          <cell r="M920" t="str">
            <v>3-配货完成</v>
          </cell>
        </row>
        <row r="920">
          <cell r="O920">
            <v>0</v>
          </cell>
          <cell r="P920" t="str">
            <v>重庆红宇精密工业集团有限公司</v>
          </cell>
          <cell r="Q920" t="str">
            <v>10</v>
          </cell>
        </row>
        <row r="920">
          <cell r="U920" t="str">
            <v>010000819074</v>
          </cell>
          <cell r="V920" t="str">
            <v>PANQIFANG</v>
          </cell>
          <cell r="W920" t="str">
            <v/>
          </cell>
          <cell r="X920" t="str">
            <v>CP-108-A</v>
          </cell>
          <cell r="Y920" t="str">
            <v/>
          </cell>
          <cell r="Z920" t="str">
            <v>1902</v>
          </cell>
          <cell r="AA920" t="str">
            <v>1100144633</v>
          </cell>
          <cell r="AB920">
            <v>2300</v>
          </cell>
          <cell r="AC920" t="str">
            <v/>
          </cell>
          <cell r="AD920">
            <v>2.7</v>
          </cell>
          <cell r="AE920" t="str">
            <v>G-100015451-250402-0021</v>
          </cell>
        </row>
        <row r="921">
          <cell r="B921" t="str">
            <v>7100962881</v>
          </cell>
          <cell r="C921" t="str">
            <v>G2505-0739</v>
          </cell>
          <cell r="D921" t="str">
            <v>000042944320005097</v>
          </cell>
          <cell r="E921" t="str">
            <v>120°沉头铆钉</v>
          </cell>
          <cell r="F921" t="str">
            <v>GB954-1986</v>
          </cell>
          <cell r="G921" t="str">
            <v>3×12</v>
          </cell>
          <cell r="H921" t="str">
            <v>淬火时效</v>
          </cell>
          <cell r="I921" t="str">
            <v>Ct·P</v>
          </cell>
          <cell r="J921" t="str">
            <v>2A10</v>
          </cell>
          <cell r="K921">
            <v>1522</v>
          </cell>
          <cell r="L921">
            <v>45820</v>
          </cell>
          <cell r="M921" t="str">
            <v>4-检验完成</v>
          </cell>
        </row>
        <row r="921">
          <cell r="O921">
            <v>0</v>
          </cell>
          <cell r="P921" t="str">
            <v>重庆红宇精密工业集团有限公司</v>
          </cell>
          <cell r="Q921" t="str">
            <v>100</v>
          </cell>
          <cell r="R921">
            <v>45821</v>
          </cell>
        </row>
        <row r="921">
          <cell r="U921" t="str">
            <v>010000824303</v>
          </cell>
          <cell r="V921" t="str">
            <v>PANQIFANG</v>
          </cell>
          <cell r="W921" t="str">
            <v/>
          </cell>
          <cell r="X921" t="str">
            <v>CP-108-A</v>
          </cell>
          <cell r="Y921" t="str">
            <v/>
          </cell>
          <cell r="Z921" t="str">
            <v>1902</v>
          </cell>
          <cell r="AA921" t="str">
            <v>1100144619</v>
          </cell>
          <cell r="AB921">
            <v>2300</v>
          </cell>
          <cell r="AC921" t="str">
            <v/>
          </cell>
          <cell r="AD921">
            <v>0.34</v>
          </cell>
          <cell r="AE921" t="str">
            <v>G-100015451-250402-0020</v>
          </cell>
        </row>
        <row r="922">
          <cell r="B922" t="str">
            <v>7100968480</v>
          </cell>
          <cell r="C922" t="str">
            <v>GW2506-180</v>
          </cell>
          <cell r="D922" t="str">
            <v>000042944044008950</v>
          </cell>
          <cell r="E922" t="str">
            <v>钛合金十字槽沉头螺钉</v>
          </cell>
          <cell r="F922" t="str">
            <v>QJ2584-1993</v>
          </cell>
          <cell r="G922" t="str">
            <v>M5×10</v>
          </cell>
          <cell r="H922" t="str">
            <v>σb≥800MPa</v>
          </cell>
          <cell r="I922" t="str">
            <v>蓝色阳极氧化</v>
          </cell>
          <cell r="J922" t="str">
            <v>TB3</v>
          </cell>
          <cell r="K922">
            <v>545</v>
          </cell>
          <cell r="L922">
            <v>45832</v>
          </cell>
          <cell r="M922" t="str">
            <v>4-检验完成</v>
          </cell>
        </row>
        <row r="922">
          <cell r="O922">
            <v>0</v>
          </cell>
          <cell r="P922" t="str">
            <v>重庆红宇精密工业集团有限公司</v>
          </cell>
          <cell r="Q922" t="str">
            <v>10</v>
          </cell>
          <cell r="R922">
            <v>45832</v>
          </cell>
        </row>
        <row r="922">
          <cell r="U922" t="str">
            <v/>
          </cell>
          <cell r="V922" t="str">
            <v>PANQIFANG</v>
          </cell>
          <cell r="W922" t="str">
            <v/>
          </cell>
          <cell r="X922" t="str">
            <v>XH-000</v>
          </cell>
          <cell r="Y922" t="str">
            <v/>
          </cell>
          <cell r="Z922" t="str">
            <v>1902</v>
          </cell>
          <cell r="AA922" t="str">
            <v>1100148944</v>
          </cell>
          <cell r="AB922">
            <v>575</v>
          </cell>
          <cell r="AC922" t="str">
            <v/>
          </cell>
          <cell r="AD922">
            <v>8.48</v>
          </cell>
          <cell r="AE922" t="str">
            <v>G-100015451-250620-0040-1-H-XH</v>
          </cell>
        </row>
        <row r="923">
          <cell r="B923" t="str">
            <v>7100969504</v>
          </cell>
          <cell r="C923" t="str">
            <v>G2404-1692</v>
          </cell>
          <cell r="D923" t="str">
            <v>000042944041130407</v>
          </cell>
          <cell r="E923" t="str">
            <v>内六角圆柱头螺钉</v>
          </cell>
          <cell r="F923" t="str">
            <v>GB/T70.1-2000(CQHY)</v>
          </cell>
          <cell r="G923" t="str">
            <v>M6×30</v>
          </cell>
          <cell r="H923" t="str">
            <v>10.9</v>
          </cell>
          <cell r="I923" t="str">
            <v>Ep·Zn·c2C</v>
          </cell>
          <cell r="J923" t="str">
            <v>30CrMnSiA</v>
          </cell>
          <cell r="K923">
            <v>63</v>
          </cell>
          <cell r="L923">
            <v>45833</v>
          </cell>
          <cell r="M923" t="str">
            <v>4-检验完成</v>
          </cell>
        </row>
        <row r="923">
          <cell r="O923">
            <v>0</v>
          </cell>
          <cell r="P923" t="str">
            <v>重庆红宇精密工业集团有限公司</v>
          </cell>
          <cell r="Q923" t="str">
            <v>10</v>
          </cell>
          <cell r="R923">
            <v>45833</v>
          </cell>
        </row>
        <row r="923">
          <cell r="U923" t="str">
            <v>010000692849</v>
          </cell>
          <cell r="V923" t="str">
            <v>PANQIFANG</v>
          </cell>
          <cell r="W923" t="str">
            <v/>
          </cell>
          <cell r="X923" t="str">
            <v>CP-108-A</v>
          </cell>
          <cell r="Y923" t="str">
            <v/>
          </cell>
          <cell r="Z923" t="str">
            <v>1902</v>
          </cell>
          <cell r="AA923" t="str">
            <v>1100144619</v>
          </cell>
          <cell r="AB923">
            <v>2300</v>
          </cell>
          <cell r="AC923" t="str">
            <v/>
          </cell>
          <cell r="AD923">
            <v>2.7</v>
          </cell>
          <cell r="AE923" t="str">
            <v>G-100015451-250402-0020</v>
          </cell>
        </row>
        <row r="924">
          <cell r="B924" t="str">
            <v>7100972882</v>
          </cell>
          <cell r="C924" t="str">
            <v>G2504-4487</v>
          </cell>
          <cell r="D924" t="str">
            <v>000042944041152125</v>
          </cell>
          <cell r="E924" t="str">
            <v>内六角圆柱头螺钉</v>
          </cell>
          <cell r="F924" t="str">
            <v>GB/T70.1-2000(CQHY)</v>
          </cell>
          <cell r="G924" t="str">
            <v>M8×25</v>
          </cell>
          <cell r="H924" t="str">
            <v>10.9</v>
          </cell>
          <cell r="I924" t="str">
            <v>Ep·Zn·c2C</v>
          </cell>
          <cell r="J924" t="str">
            <v>ML30CrMnSiA</v>
          </cell>
          <cell r="K924">
            <v>2300</v>
          </cell>
          <cell r="L924">
            <v>45840</v>
          </cell>
          <cell r="M924" t="str">
            <v>4-检验完成</v>
          </cell>
        </row>
        <row r="924">
          <cell r="O924">
            <v>0</v>
          </cell>
          <cell r="P924" t="str">
            <v>重庆红宇精密工业集团有限公司</v>
          </cell>
          <cell r="Q924" t="str">
            <v>20</v>
          </cell>
          <cell r="R924">
            <v>45840</v>
          </cell>
        </row>
        <row r="924">
          <cell r="U924" t="str">
            <v>010000819076</v>
          </cell>
          <cell r="V924" t="str">
            <v>PANQIFANG</v>
          </cell>
          <cell r="W924" t="str">
            <v/>
          </cell>
          <cell r="X924" t="str">
            <v>CP-108-A</v>
          </cell>
          <cell r="Y924" t="str">
            <v/>
          </cell>
          <cell r="Z924" t="str">
            <v>1902</v>
          </cell>
          <cell r="AA924" t="str">
            <v>1100144633</v>
          </cell>
          <cell r="AB924">
            <v>2300</v>
          </cell>
          <cell r="AC924" t="str">
            <v/>
          </cell>
          <cell r="AD924">
            <v>4</v>
          </cell>
          <cell r="AE924" t="str">
            <v>G-100015451-250402-0021</v>
          </cell>
        </row>
        <row r="925">
          <cell r="B925" t="str">
            <v>7100972353</v>
          </cell>
          <cell r="C925" t="str">
            <v>G2504-0939</v>
          </cell>
          <cell r="D925" t="str">
            <v>000042944041130407</v>
          </cell>
          <cell r="E925" t="str">
            <v>内六角圆柱头螺钉</v>
          </cell>
          <cell r="F925" t="str">
            <v>GB/T70.1-2000(CQHY)</v>
          </cell>
          <cell r="G925" t="str">
            <v>M6×30</v>
          </cell>
          <cell r="H925" t="str">
            <v>10.9</v>
          </cell>
          <cell r="I925" t="str">
            <v>Ep·Zn·c2C</v>
          </cell>
          <cell r="J925" t="str">
            <v>ML30CrMnSiA</v>
          </cell>
          <cell r="K925">
            <v>2182</v>
          </cell>
          <cell r="L925">
            <v>45839</v>
          </cell>
          <cell r="M925" t="str">
            <v>4-检验完成</v>
          </cell>
        </row>
        <row r="925">
          <cell r="O925">
            <v>0</v>
          </cell>
          <cell r="P925" t="str">
            <v>重庆红宇精密工业集团有限公司</v>
          </cell>
          <cell r="Q925" t="str">
            <v>10</v>
          </cell>
          <cell r="R925">
            <v>45840</v>
          </cell>
        </row>
        <row r="925">
          <cell r="U925" t="str">
            <v>010000807016</v>
          </cell>
          <cell r="V925" t="str">
            <v>PANQIFANG</v>
          </cell>
          <cell r="W925" t="str">
            <v/>
          </cell>
          <cell r="X925" t="str">
            <v>CP-108-A</v>
          </cell>
          <cell r="Y925" t="str">
            <v/>
          </cell>
          <cell r="Z925" t="str">
            <v>1902</v>
          </cell>
          <cell r="AA925" t="str">
            <v>1100144619</v>
          </cell>
          <cell r="AB925">
            <v>2300</v>
          </cell>
          <cell r="AC925" t="str">
            <v/>
          </cell>
          <cell r="AD925">
            <v>2.7</v>
          </cell>
          <cell r="AE925" t="str">
            <v>G-100015451-250402-0020</v>
          </cell>
        </row>
        <row r="926">
          <cell r="B926" t="str">
            <v>7100971763</v>
          </cell>
          <cell r="C926" t="str">
            <v>G2501-9073</v>
          </cell>
          <cell r="D926" t="str">
            <v>000042944044079369</v>
          </cell>
          <cell r="E926" t="str">
            <v>十字槽小盘头螺钉</v>
          </cell>
          <cell r="F926" t="str">
            <v>GB/T823-2016</v>
          </cell>
          <cell r="G926" t="str">
            <v>M4×6</v>
          </cell>
          <cell r="H926" t="str">
            <v>A1-50</v>
          </cell>
          <cell r="I926" t="str">
            <v>ECP</v>
          </cell>
          <cell r="J926" t="str">
            <v>ML1Cr18Ni9Ti</v>
          </cell>
          <cell r="K926">
            <v>18052</v>
          </cell>
          <cell r="L926">
            <v>45838</v>
          </cell>
          <cell r="M926" t="str">
            <v>4-检验完成</v>
          </cell>
        </row>
        <row r="926">
          <cell r="O926">
            <v>0</v>
          </cell>
          <cell r="P926" t="str">
            <v>重庆红宇精密工业集团有限公司</v>
          </cell>
          <cell r="Q926" t="str">
            <v>40</v>
          </cell>
          <cell r="R926">
            <v>45840</v>
          </cell>
        </row>
        <row r="926">
          <cell r="U926" t="str">
            <v>010000777871</v>
          </cell>
          <cell r="V926" t="str">
            <v>PANQIFANG</v>
          </cell>
          <cell r="W926" t="str">
            <v/>
          </cell>
          <cell r="X926" t="str">
            <v>CP-108-A</v>
          </cell>
          <cell r="Y926" t="str">
            <v/>
          </cell>
          <cell r="Z926" t="str">
            <v>1902</v>
          </cell>
          <cell r="AA926" t="str">
            <v>1100139596</v>
          </cell>
          <cell r="AB926">
            <v>35900</v>
          </cell>
          <cell r="AC926" t="str">
            <v/>
          </cell>
          <cell r="AD926">
            <v>0.57</v>
          </cell>
          <cell r="AE926" t="str">
            <v>G-100015451-250102-0002</v>
          </cell>
        </row>
        <row r="927">
          <cell r="B927" t="str">
            <v>7100974406</v>
          </cell>
          <cell r="C927" t="str">
            <v>G02505-081</v>
          </cell>
          <cell r="D927" t="str">
            <v>000042944039000064</v>
          </cell>
          <cell r="E927" t="str">
            <v>普通型有折断槽钢丝螺套</v>
          </cell>
          <cell r="F927" t="str">
            <v>GJB119.1A-2001</v>
          </cell>
          <cell r="G927" t="str">
            <v>3×0.5×4</v>
          </cell>
          <cell r="H927" t="str">
            <v/>
          </cell>
          <cell r="I927" t="str">
            <v>Ep·Cd·c2C</v>
          </cell>
          <cell r="J927" t="str">
            <v>1Cr18Ni9Ti</v>
          </cell>
          <cell r="K927">
            <v>600</v>
          </cell>
          <cell r="L927">
            <v>45842</v>
          </cell>
          <cell r="M927" t="str">
            <v>1-已打印</v>
          </cell>
        </row>
        <row r="927">
          <cell r="O927">
            <v>0</v>
          </cell>
          <cell r="P927" t="str">
            <v>重庆红宇精密工业集团有限公司</v>
          </cell>
          <cell r="Q927" t="str">
            <v>10</v>
          </cell>
        </row>
        <row r="927">
          <cell r="U927" t="str">
            <v/>
          </cell>
          <cell r="V927" t="str">
            <v/>
          </cell>
          <cell r="W927" t="str">
            <v/>
          </cell>
          <cell r="X927" t="str">
            <v>YF-52-3-4-8</v>
          </cell>
          <cell r="Y927" t="str">
            <v/>
          </cell>
          <cell r="Z927" t="str">
            <v>1902</v>
          </cell>
          <cell r="AA927" t="str">
            <v>1100148743</v>
          </cell>
          <cell r="AB927">
            <v>2000</v>
          </cell>
          <cell r="AC927" t="str">
            <v/>
          </cell>
          <cell r="AD927">
            <v>5.84</v>
          </cell>
          <cell r="AE927" t="str">
            <v>G-100015451-250613-0037</v>
          </cell>
        </row>
        <row r="928">
          <cell r="B928" t="str">
            <v>7100975018</v>
          </cell>
          <cell r="C928" t="str">
            <v>G2504-0958</v>
          </cell>
          <cell r="D928" t="str">
            <v>000042944360141197</v>
          </cell>
          <cell r="E928" t="str">
            <v>定位销</v>
          </cell>
          <cell r="F928" t="str">
            <v>WA24060.F2.0-20-19</v>
          </cell>
          <cell r="G928" t="str">
            <v>-</v>
          </cell>
          <cell r="H928" t="str">
            <v>35-40HRC</v>
          </cell>
          <cell r="I928" t="str">
            <v>Ct·P</v>
          </cell>
          <cell r="J928" t="str">
            <v>14Cr17Ni2</v>
          </cell>
          <cell r="K928">
            <v>40</v>
          </cell>
          <cell r="L928">
            <v>45844</v>
          </cell>
          <cell r="M928" t="str">
            <v>4-检验完成</v>
          </cell>
        </row>
        <row r="928">
          <cell r="O928">
            <v>0</v>
          </cell>
          <cell r="P928" t="str">
            <v>重庆红宇精密工业集团有限公司</v>
          </cell>
          <cell r="Q928" t="str">
            <v>130</v>
          </cell>
          <cell r="R928">
            <v>45846</v>
          </cell>
        </row>
        <row r="928">
          <cell r="U928" t="str">
            <v>010000807055</v>
          </cell>
          <cell r="V928" t="str">
            <v>PANQIFANG</v>
          </cell>
          <cell r="W928" t="str">
            <v/>
          </cell>
          <cell r="X928" t="str">
            <v>CP-108-A</v>
          </cell>
          <cell r="Y928" t="str">
            <v/>
          </cell>
          <cell r="Z928" t="str">
            <v>1902</v>
          </cell>
          <cell r="AA928" t="str">
            <v>1100144619</v>
          </cell>
          <cell r="AB928">
            <v>85</v>
          </cell>
          <cell r="AC928" t="str">
            <v/>
          </cell>
          <cell r="AD928">
            <v>9.04</v>
          </cell>
          <cell r="AE928" t="str">
            <v>G-100015451-250402-0020</v>
          </cell>
        </row>
        <row r="929">
          <cell r="B929" t="str">
            <v>7100975424</v>
          </cell>
          <cell r="C929" t="str">
            <v>G2504-0957</v>
          </cell>
          <cell r="D929" t="str">
            <v>000042944360141195</v>
          </cell>
          <cell r="E929" t="str">
            <v>定位销</v>
          </cell>
          <cell r="F929" t="str">
            <v>2B04-1K.0-19</v>
          </cell>
          <cell r="G929" t="str">
            <v>-</v>
          </cell>
          <cell r="H929" t="str">
            <v>35-40HRC</v>
          </cell>
          <cell r="I929" t="str">
            <v>Ct·P</v>
          </cell>
          <cell r="J929" t="str">
            <v>14Cr17Ni2</v>
          </cell>
          <cell r="K929">
            <v>370</v>
          </cell>
          <cell r="L929">
            <v>45845</v>
          </cell>
          <cell r="M929" t="str">
            <v>4-检验完成</v>
          </cell>
        </row>
        <row r="929">
          <cell r="O929">
            <v>0</v>
          </cell>
          <cell r="P929" t="str">
            <v>重庆红宇精密工业集团有限公司</v>
          </cell>
          <cell r="Q929" t="str">
            <v>110</v>
          </cell>
          <cell r="R929">
            <v>45847</v>
          </cell>
        </row>
        <row r="929">
          <cell r="U929" t="str">
            <v>010000807054</v>
          </cell>
          <cell r="V929" t="str">
            <v>PANQIFANG</v>
          </cell>
          <cell r="W929" t="str">
            <v/>
          </cell>
          <cell r="X929" t="str">
            <v>CP-108-A</v>
          </cell>
          <cell r="Y929" t="str">
            <v/>
          </cell>
          <cell r="Z929" t="str">
            <v>1902</v>
          </cell>
          <cell r="AA929" t="str">
            <v>1100144619</v>
          </cell>
          <cell r="AB929">
            <v>400</v>
          </cell>
          <cell r="AC929" t="str">
            <v/>
          </cell>
          <cell r="AD929">
            <v>9.04</v>
          </cell>
          <cell r="AE929" t="str">
            <v>G-100015451-250402-0020</v>
          </cell>
        </row>
        <row r="930">
          <cell r="B930" t="str">
            <v>7100977226</v>
          </cell>
          <cell r="C930" t="str">
            <v>G02203-169</v>
          </cell>
          <cell r="D930" t="str">
            <v>000042944402000393</v>
          </cell>
          <cell r="E930" t="str">
            <v>专用弹簧垫圈-标准型不锈钢弹簧垫圈</v>
          </cell>
          <cell r="F930" t="str">
            <v>QJ2963.2-1997</v>
          </cell>
          <cell r="G930" t="str">
            <v>5</v>
          </cell>
          <cell r="H930" t="str">
            <v/>
          </cell>
          <cell r="I930" t="str">
            <v>ECP</v>
          </cell>
          <cell r="J930" t="str">
            <v>1Cr18Ni9Ti</v>
          </cell>
          <cell r="K930">
            <v>400</v>
          </cell>
          <cell r="L930">
            <v>45849</v>
          </cell>
          <cell r="M930" t="str">
            <v>3-配货完成</v>
          </cell>
        </row>
        <row r="930">
          <cell r="O930">
            <v>0</v>
          </cell>
          <cell r="P930" t="str">
            <v>重庆红宇精密工业集团有限公司</v>
          </cell>
          <cell r="Q930" t="str">
            <v>10</v>
          </cell>
        </row>
        <row r="930">
          <cell r="U930" t="str">
            <v/>
          </cell>
          <cell r="V930" t="str">
            <v>PANQIFANG</v>
          </cell>
          <cell r="W930" t="str">
            <v/>
          </cell>
          <cell r="X930" t="str">
            <v>BK-3-1-1/CP-20-1-3-3</v>
          </cell>
          <cell r="Y930" t="str">
            <v/>
          </cell>
          <cell r="Z930" t="str">
            <v>1902</v>
          </cell>
          <cell r="AA930" t="str">
            <v>1100149893</v>
          </cell>
          <cell r="AB930">
            <v>400</v>
          </cell>
          <cell r="AC930" t="str">
            <v/>
          </cell>
          <cell r="AD930">
            <v>0.9</v>
          </cell>
          <cell r="AE930" t="str">
            <v>G-100015451-250709-0046XH</v>
          </cell>
        </row>
        <row r="931">
          <cell r="B931" t="str">
            <v>7100977275</v>
          </cell>
          <cell r="C931" t="str">
            <v>G2504-9004</v>
          </cell>
          <cell r="D931" t="str">
            <v>000042944044122004</v>
          </cell>
          <cell r="E931" t="str">
            <v>十字槽沉头螺钉</v>
          </cell>
          <cell r="F931" t="str">
            <v>GB/T819.1-2016</v>
          </cell>
          <cell r="G931" t="str">
            <v>M4×10</v>
          </cell>
          <cell r="H931" t="str">
            <v>4.8</v>
          </cell>
          <cell r="I931" t="str">
            <v>Ep·Zn·c2C</v>
          </cell>
          <cell r="J931" t="str">
            <v>ML25</v>
          </cell>
          <cell r="K931">
            <v>438</v>
          </cell>
          <cell r="L931">
            <v>45849</v>
          </cell>
          <cell r="M931" t="str">
            <v>3-配货完成</v>
          </cell>
        </row>
        <row r="931">
          <cell r="O931">
            <v>0</v>
          </cell>
          <cell r="P931" t="str">
            <v>重庆红宇精密工业集团有限公司</v>
          </cell>
          <cell r="Q931" t="str">
            <v>10</v>
          </cell>
        </row>
        <row r="931">
          <cell r="U931" t="str">
            <v>010000807035</v>
          </cell>
          <cell r="V931" t="str">
            <v>PANQIFANG</v>
          </cell>
          <cell r="W931" t="str">
            <v/>
          </cell>
          <cell r="X931" t="str">
            <v>CP-108-A</v>
          </cell>
          <cell r="Y931" t="str">
            <v/>
          </cell>
          <cell r="Z931" t="str">
            <v>1902</v>
          </cell>
          <cell r="AA931" t="str">
            <v>1100144327</v>
          </cell>
          <cell r="AB931">
            <v>1000</v>
          </cell>
          <cell r="AC931" t="str">
            <v/>
          </cell>
          <cell r="AD931">
            <v>0.5</v>
          </cell>
          <cell r="AE931" t="str">
            <v>G-100015451-250328-0017</v>
          </cell>
        </row>
        <row r="932">
          <cell r="B932" t="str">
            <v>7100977276</v>
          </cell>
          <cell r="C932" t="str">
            <v>G2504-9004</v>
          </cell>
          <cell r="D932" t="str">
            <v>000042944044122004</v>
          </cell>
          <cell r="E932" t="str">
            <v>十字槽沉头螺钉</v>
          </cell>
          <cell r="F932" t="str">
            <v>GB/T819.1-2016</v>
          </cell>
          <cell r="G932" t="str">
            <v>M4×10</v>
          </cell>
          <cell r="H932" t="str">
            <v>4.8</v>
          </cell>
          <cell r="I932" t="str">
            <v>Ep·Zn·c2C</v>
          </cell>
          <cell r="J932" t="str">
            <v>ML25</v>
          </cell>
          <cell r="K932">
            <v>869</v>
          </cell>
          <cell r="L932">
            <v>45849</v>
          </cell>
          <cell r="M932" t="str">
            <v>3-配货完成</v>
          </cell>
        </row>
        <row r="932">
          <cell r="O932">
            <v>0</v>
          </cell>
          <cell r="P932" t="str">
            <v>重庆红宇精密工业集团有限公司</v>
          </cell>
          <cell r="Q932" t="str">
            <v>70</v>
          </cell>
        </row>
        <row r="932">
          <cell r="U932" t="str">
            <v>010000807035</v>
          </cell>
          <cell r="V932" t="str">
            <v>PANQIFANG</v>
          </cell>
          <cell r="W932" t="str">
            <v/>
          </cell>
          <cell r="X932" t="str">
            <v>CP-108-A</v>
          </cell>
          <cell r="Y932" t="str">
            <v/>
          </cell>
          <cell r="Z932" t="str">
            <v>1902</v>
          </cell>
          <cell r="AA932" t="str">
            <v>1100144619</v>
          </cell>
          <cell r="AB932">
            <v>900</v>
          </cell>
          <cell r="AC932" t="str">
            <v/>
          </cell>
          <cell r="AD932">
            <v>0.57</v>
          </cell>
          <cell r="AE932" t="str">
            <v>G-100015451-250402-0020</v>
          </cell>
        </row>
        <row r="933">
          <cell r="B933" t="str">
            <v>7100977352</v>
          </cell>
          <cell r="C933" t="str">
            <v>GW2108-176</v>
          </cell>
          <cell r="D933" t="str">
            <v>000042944402000386</v>
          </cell>
          <cell r="E933" t="str">
            <v>专用弹簧垫圈-标准型不锈钢弹簧垫圈</v>
          </cell>
          <cell r="F933" t="str">
            <v>QJ2963.2-1997</v>
          </cell>
          <cell r="G933" t="str">
            <v>3</v>
          </cell>
          <cell r="H933" t="str">
            <v/>
          </cell>
          <cell r="I933" t="str">
            <v>ECP</v>
          </cell>
          <cell r="J933" t="str">
            <v>1Cr18Ni9Ti</v>
          </cell>
          <cell r="K933">
            <v>30</v>
          </cell>
          <cell r="L933">
            <v>45849</v>
          </cell>
          <cell r="M933" t="str">
            <v>3-配货完成</v>
          </cell>
        </row>
        <row r="933">
          <cell r="O933">
            <v>0</v>
          </cell>
          <cell r="P933" t="str">
            <v>重庆红宇精密工业集团有限公司</v>
          </cell>
          <cell r="Q933" t="str">
            <v>20</v>
          </cell>
        </row>
        <row r="933">
          <cell r="U933" t="str">
            <v/>
          </cell>
          <cell r="V933" t="str">
            <v>PANQIFANG</v>
          </cell>
          <cell r="W933" t="str">
            <v/>
          </cell>
          <cell r="X933" t="str">
            <v>CP-C2-3-2-1</v>
          </cell>
          <cell r="Y933" t="str">
            <v/>
          </cell>
          <cell r="Z933" t="str">
            <v>1902</v>
          </cell>
          <cell r="AA933" t="str">
            <v>1100149893</v>
          </cell>
          <cell r="AB933">
            <v>400</v>
          </cell>
          <cell r="AC933" t="str">
            <v/>
          </cell>
          <cell r="AD933">
            <v>0.79</v>
          </cell>
          <cell r="AE933" t="str">
            <v>G-100015451-250709-0046XH</v>
          </cell>
        </row>
        <row r="934">
          <cell r="B934" t="str">
            <v>7100977352</v>
          </cell>
          <cell r="C934" t="str">
            <v>G02203-175</v>
          </cell>
          <cell r="D934" t="str">
            <v>000042944402000386</v>
          </cell>
          <cell r="E934" t="str">
            <v>专用弹簧垫圈-标准型不锈钢弹簧垫圈</v>
          </cell>
          <cell r="F934" t="str">
            <v>QJ2963.2-1997</v>
          </cell>
          <cell r="G934" t="str">
            <v>3</v>
          </cell>
          <cell r="H934" t="str">
            <v/>
          </cell>
          <cell r="I934" t="str">
            <v>ECP</v>
          </cell>
          <cell r="J934" t="str">
            <v>1Cr18Ni9Ti</v>
          </cell>
          <cell r="K934">
            <v>370</v>
          </cell>
          <cell r="L934">
            <v>45849</v>
          </cell>
          <cell r="M934" t="str">
            <v>3-配货完成</v>
          </cell>
        </row>
        <row r="934">
          <cell r="O934">
            <v>0</v>
          </cell>
          <cell r="P934" t="str">
            <v>重庆红宇精密工业集团有限公司</v>
          </cell>
          <cell r="Q934" t="str">
            <v>20</v>
          </cell>
        </row>
        <row r="934">
          <cell r="U934" t="str">
            <v/>
          </cell>
          <cell r="V934" t="str">
            <v>PANQIFANG</v>
          </cell>
          <cell r="W934" t="str">
            <v/>
          </cell>
          <cell r="X934" t="str">
            <v>BK-2-1-6/CP-C8-3-3-4</v>
          </cell>
          <cell r="Y934" t="str">
            <v/>
          </cell>
          <cell r="Z934" t="str">
            <v>1902</v>
          </cell>
          <cell r="AA934" t="str">
            <v>1100149893</v>
          </cell>
          <cell r="AB934">
            <v>400</v>
          </cell>
          <cell r="AC934" t="str">
            <v/>
          </cell>
          <cell r="AD934">
            <v>0.79</v>
          </cell>
          <cell r="AE934" t="str">
            <v>G-100015451-250709-0046XH</v>
          </cell>
        </row>
        <row r="935">
          <cell r="B935" t="str">
            <v>7100979956</v>
          </cell>
          <cell r="C935" t="str">
            <v>G2412-1573</v>
          </cell>
          <cell r="D935" t="str">
            <v>000042944041093532</v>
          </cell>
          <cell r="E935" t="str">
            <v>内六角圆柱头螺钉</v>
          </cell>
          <cell r="F935" t="str">
            <v>GB/T70.1-2008(CQHY)</v>
          </cell>
          <cell r="G935" t="str">
            <v>M10×28</v>
          </cell>
          <cell r="H935" t="str">
            <v>12.9</v>
          </cell>
          <cell r="I935" t="str">
            <v>Ct·P</v>
          </cell>
          <cell r="J935" t="str">
            <v>17-4PH</v>
          </cell>
          <cell r="K935">
            <v>500</v>
          </cell>
          <cell r="L935">
            <v>45854</v>
          </cell>
          <cell r="M935" t="str">
            <v>3-配货完成</v>
          </cell>
        </row>
        <row r="935">
          <cell r="O935">
            <v>0</v>
          </cell>
          <cell r="P935" t="str">
            <v>重庆红宇精密工业集团有限公司</v>
          </cell>
          <cell r="Q935" t="str">
            <v>10</v>
          </cell>
        </row>
        <row r="935">
          <cell r="U935" t="str">
            <v>010000761087</v>
          </cell>
          <cell r="V935" t="str">
            <v>PANQIFANG</v>
          </cell>
          <cell r="W935" t="str">
            <v/>
          </cell>
          <cell r="X935" t="str">
            <v>CP-108-A</v>
          </cell>
          <cell r="Y935" t="str">
            <v/>
          </cell>
          <cell r="Z935" t="str">
            <v>1902</v>
          </cell>
          <cell r="AA935" t="str">
            <v>1100138437</v>
          </cell>
          <cell r="AB935">
            <v>500</v>
          </cell>
          <cell r="AC935" t="str">
            <v/>
          </cell>
          <cell r="AD935">
            <v>22.37</v>
          </cell>
          <cell r="AE935" t="str">
            <v>G-100015451-241206-0048</v>
          </cell>
        </row>
        <row r="936">
          <cell r="B936" t="str">
            <v>7100979808</v>
          </cell>
          <cell r="C936" t="str">
            <v>G2505-0305</v>
          </cell>
          <cell r="D936" t="str">
            <v>000042944288000715</v>
          </cell>
          <cell r="E936" t="str">
            <v>气密双耳托板自锁螺母</v>
          </cell>
          <cell r="F936" t="str">
            <v>GB933-1988</v>
          </cell>
          <cell r="G936" t="str">
            <v>M8</v>
          </cell>
          <cell r="H936" t="str">
            <v>30-36HRC</v>
          </cell>
          <cell r="I936" t="str">
            <v>Ep·Cd·c2C</v>
          </cell>
          <cell r="J936" t="str">
            <v>组件(螺母体ML30CrMnSiA)</v>
          </cell>
          <cell r="K936">
            <v>860</v>
          </cell>
          <cell r="L936">
            <v>45854</v>
          </cell>
          <cell r="M936" t="str">
            <v>3-配货完成</v>
          </cell>
        </row>
        <row r="936">
          <cell r="O936">
            <v>0</v>
          </cell>
          <cell r="P936" t="str">
            <v>重庆红宇精密工业集团有限公司</v>
          </cell>
          <cell r="Q936" t="str">
            <v>30</v>
          </cell>
        </row>
        <row r="936">
          <cell r="U936" t="str">
            <v>010000821869</v>
          </cell>
          <cell r="V936" t="str">
            <v>PANMINGTAO</v>
          </cell>
          <cell r="W936" t="str">
            <v/>
          </cell>
          <cell r="X936" t="str">
            <v>XC-1-1-10</v>
          </cell>
          <cell r="Y936" t="str">
            <v/>
          </cell>
          <cell r="Z936" t="str">
            <v>1902</v>
          </cell>
          <cell r="AA936" t="str">
            <v>1100144327</v>
          </cell>
          <cell r="AB936">
            <v>2000</v>
          </cell>
          <cell r="AC936" t="str">
            <v/>
          </cell>
          <cell r="AD936">
            <v>10</v>
          </cell>
          <cell r="AE936" t="str">
            <v>G-100015451-250328-0017</v>
          </cell>
        </row>
        <row r="937">
          <cell r="B937" t="str">
            <v>7100977352</v>
          </cell>
          <cell r="C937" t="str">
            <v>G02203-175</v>
          </cell>
          <cell r="D937" t="str">
            <v>000042944402000386</v>
          </cell>
          <cell r="E937" t="str">
            <v>专用弹簧垫圈-标准型不锈钢弹簧垫圈</v>
          </cell>
          <cell r="F937" t="str">
            <v>QJ2963.2-1997</v>
          </cell>
          <cell r="G937" t="str">
            <v>3</v>
          </cell>
          <cell r="H937" t="str">
            <v/>
          </cell>
          <cell r="I937" t="str">
            <v>ECP</v>
          </cell>
          <cell r="J937" t="str">
            <v>1Cr18Ni9Ti</v>
          </cell>
          <cell r="K937">
            <v>370</v>
          </cell>
          <cell r="L937">
            <v>45849</v>
          </cell>
          <cell r="M937" t="str">
            <v>4-检验完成</v>
          </cell>
        </row>
        <row r="937">
          <cell r="O937">
            <v>0</v>
          </cell>
          <cell r="P937" t="str">
            <v>重庆红宇精密工业集团有限公司</v>
          </cell>
          <cell r="Q937" t="str">
            <v>20</v>
          </cell>
          <cell r="R937">
            <v>45852</v>
          </cell>
        </row>
        <row r="937">
          <cell r="U937" t="str">
            <v/>
          </cell>
          <cell r="V937" t="str">
            <v>PANQIFANG</v>
          </cell>
          <cell r="W937" t="str">
            <v/>
          </cell>
          <cell r="X937" t="str">
            <v>BK-2-1-6/CP-C8-3-3-4</v>
          </cell>
          <cell r="Y937" t="str">
            <v/>
          </cell>
          <cell r="Z937" t="str">
            <v>1902</v>
          </cell>
          <cell r="AA937" t="str">
            <v>1100149893</v>
          </cell>
          <cell r="AB937">
            <v>400</v>
          </cell>
          <cell r="AC937" t="str">
            <v/>
          </cell>
          <cell r="AD937">
            <v>0.79</v>
          </cell>
          <cell r="AE937" t="str">
            <v>G-100015451-250709-0046XH</v>
          </cell>
        </row>
        <row r="938">
          <cell r="B938" t="str">
            <v>7100977352</v>
          </cell>
          <cell r="C938" t="str">
            <v>GW2108-176</v>
          </cell>
          <cell r="D938" t="str">
            <v>000042944402000386</v>
          </cell>
          <cell r="E938" t="str">
            <v>专用弹簧垫圈-标准型不锈钢弹簧垫圈</v>
          </cell>
          <cell r="F938" t="str">
            <v>QJ2963.2-1997</v>
          </cell>
          <cell r="G938" t="str">
            <v>3</v>
          </cell>
          <cell r="H938" t="str">
            <v/>
          </cell>
          <cell r="I938" t="str">
            <v>ECP</v>
          </cell>
          <cell r="J938" t="str">
            <v>1Cr18Ni9Ti</v>
          </cell>
          <cell r="K938">
            <v>30</v>
          </cell>
          <cell r="L938">
            <v>45849</v>
          </cell>
          <cell r="M938" t="str">
            <v>4-检验完成</v>
          </cell>
        </row>
        <row r="938">
          <cell r="O938">
            <v>0</v>
          </cell>
          <cell r="P938" t="str">
            <v>重庆红宇精密工业集团有限公司</v>
          </cell>
          <cell r="Q938" t="str">
            <v>20</v>
          </cell>
          <cell r="R938">
            <v>45852</v>
          </cell>
        </row>
        <row r="938">
          <cell r="U938" t="str">
            <v/>
          </cell>
          <cell r="V938" t="str">
            <v>PANQIFANG</v>
          </cell>
          <cell r="W938" t="str">
            <v/>
          </cell>
          <cell r="X938" t="str">
            <v>CP-C2-3-2-1</v>
          </cell>
          <cell r="Y938" t="str">
            <v/>
          </cell>
          <cell r="Z938" t="str">
            <v>1902</v>
          </cell>
          <cell r="AA938" t="str">
            <v>1100149893</v>
          </cell>
          <cell r="AB938">
            <v>400</v>
          </cell>
          <cell r="AC938" t="str">
            <v/>
          </cell>
          <cell r="AD938">
            <v>0.79</v>
          </cell>
          <cell r="AE938" t="str">
            <v>G-100015451-250709-0046XH</v>
          </cell>
        </row>
        <row r="939">
          <cell r="B939" t="str">
            <v>7100977226</v>
          </cell>
          <cell r="C939" t="str">
            <v>G02203-169</v>
          </cell>
          <cell r="D939" t="str">
            <v>000042944402000393</v>
          </cell>
          <cell r="E939" t="str">
            <v>专用弹簧垫圈-标准型不锈钢弹簧垫圈</v>
          </cell>
          <cell r="F939" t="str">
            <v>QJ2963.2-1997</v>
          </cell>
          <cell r="G939" t="str">
            <v>5</v>
          </cell>
          <cell r="H939" t="str">
            <v/>
          </cell>
          <cell r="I939" t="str">
            <v>ECP</v>
          </cell>
          <cell r="J939" t="str">
            <v>1Cr18Ni9Ti</v>
          </cell>
          <cell r="K939">
            <v>400</v>
          </cell>
          <cell r="L939">
            <v>45849</v>
          </cell>
          <cell r="M939" t="str">
            <v>4-检验完成</v>
          </cell>
        </row>
        <row r="939">
          <cell r="O939">
            <v>0</v>
          </cell>
          <cell r="P939" t="str">
            <v>重庆红宇精密工业集团有限公司</v>
          </cell>
          <cell r="Q939" t="str">
            <v>10</v>
          </cell>
          <cell r="R939">
            <v>45852</v>
          </cell>
        </row>
        <row r="939">
          <cell r="U939" t="str">
            <v/>
          </cell>
          <cell r="V939" t="str">
            <v>PANQIFANG</v>
          </cell>
          <cell r="W939" t="str">
            <v/>
          </cell>
          <cell r="X939" t="str">
            <v>BK-3-1-1/CP-20-1-3-3</v>
          </cell>
          <cell r="Y939" t="str">
            <v/>
          </cell>
          <cell r="Z939" t="str">
            <v>1902</v>
          </cell>
          <cell r="AA939" t="str">
            <v>1100149893</v>
          </cell>
          <cell r="AB939">
            <v>400</v>
          </cell>
          <cell r="AC939" t="str">
            <v/>
          </cell>
          <cell r="AD939">
            <v>0.9</v>
          </cell>
          <cell r="AE939" t="str">
            <v>G-100015451-250709-0046XH</v>
          </cell>
        </row>
        <row r="940">
          <cell r="B940" t="str">
            <v>7100974406</v>
          </cell>
          <cell r="C940" t="str">
            <v>G02505-081</v>
          </cell>
          <cell r="D940" t="str">
            <v>000042944039000064</v>
          </cell>
          <cell r="E940" t="str">
            <v>普通型有折断槽钢丝螺套</v>
          </cell>
          <cell r="F940" t="str">
            <v>GJB119.1A-2001</v>
          </cell>
          <cell r="G940" t="str">
            <v>3×0.5×4</v>
          </cell>
          <cell r="H940" t="str">
            <v/>
          </cell>
          <cell r="I940" t="str">
            <v>Ep·Cd·c2C</v>
          </cell>
          <cell r="J940" t="str">
            <v>1Cr18Ni9Ti</v>
          </cell>
          <cell r="K940">
            <v>600</v>
          </cell>
          <cell r="L940">
            <v>45842</v>
          </cell>
          <cell r="M940" t="str">
            <v>3-配货完成</v>
          </cell>
        </row>
        <row r="940">
          <cell r="O940">
            <v>0</v>
          </cell>
          <cell r="P940" t="str">
            <v>重庆红宇精密工业集团有限公司</v>
          </cell>
          <cell r="Q940" t="str">
            <v>10</v>
          </cell>
        </row>
        <row r="940">
          <cell r="U940" t="str">
            <v/>
          </cell>
          <cell r="V940" t="str">
            <v>PANQIFANG</v>
          </cell>
          <cell r="W940" t="str">
            <v/>
          </cell>
          <cell r="X940" t="str">
            <v>YF-52-3-4-8</v>
          </cell>
          <cell r="Y940" t="str">
            <v/>
          </cell>
          <cell r="Z940" t="str">
            <v>1902</v>
          </cell>
          <cell r="AA940" t="str">
            <v>1100148743</v>
          </cell>
          <cell r="AB940">
            <v>2000</v>
          </cell>
          <cell r="AC940" t="str">
            <v/>
          </cell>
          <cell r="AD940">
            <v>5.84</v>
          </cell>
          <cell r="AE940" t="str">
            <v>G-100015451-250613-0037</v>
          </cell>
        </row>
        <row r="941">
          <cell r="B941" t="str">
            <v>7100981099</v>
          </cell>
          <cell r="C941" t="str">
            <v>G2505-9223</v>
          </cell>
          <cell r="D941" t="str">
            <v>000042944044087023</v>
          </cell>
          <cell r="E941" t="str">
            <v>十字槽盘头螺钉</v>
          </cell>
          <cell r="F941" t="str">
            <v>GB/T818-2016</v>
          </cell>
          <cell r="G941" t="str">
            <v>M5×8</v>
          </cell>
          <cell r="H941" t="str">
            <v>A2-70</v>
          </cell>
          <cell r="I941" t="str">
            <v>ECP</v>
          </cell>
          <cell r="J941" t="str">
            <v>ML1Cr18Ni9Ti</v>
          </cell>
          <cell r="K941">
            <v>469</v>
          </cell>
          <cell r="L941">
            <v>45857</v>
          </cell>
          <cell r="M941" t="str">
            <v>3-配货完成</v>
          </cell>
        </row>
        <row r="941">
          <cell r="O941">
            <v>0</v>
          </cell>
          <cell r="P941" t="str">
            <v>重庆红宇精密工业集团有限公司</v>
          </cell>
          <cell r="Q941" t="str">
            <v>40</v>
          </cell>
        </row>
        <row r="941">
          <cell r="U941" t="str">
            <v>010000827802</v>
          </cell>
          <cell r="V941" t="str">
            <v>PANQIFANG</v>
          </cell>
          <cell r="W941" t="str">
            <v/>
          </cell>
          <cell r="X941" t="str">
            <v>CP-108-A</v>
          </cell>
          <cell r="Y941" t="str">
            <v/>
          </cell>
          <cell r="Z941" t="str">
            <v>1902</v>
          </cell>
          <cell r="AA941" t="str">
            <v>1100147165</v>
          </cell>
          <cell r="AB941">
            <v>500</v>
          </cell>
          <cell r="AC941" t="str">
            <v/>
          </cell>
          <cell r="AD941">
            <v>0.68</v>
          </cell>
          <cell r="AE941" t="str">
            <v>G-100015451-250516-0033</v>
          </cell>
        </row>
        <row r="942">
          <cell r="B942" t="str">
            <v>7100980588</v>
          </cell>
          <cell r="C942" t="str">
            <v>G2505-0917</v>
          </cell>
          <cell r="D942" t="str">
            <v>000042944000003913</v>
          </cell>
          <cell r="E942" t="str">
            <v>通用卡箍-双面固定卡箍</v>
          </cell>
          <cell r="F942" t="str">
            <v>QJ177.12A-95</v>
          </cell>
          <cell r="G942" t="str">
            <v>1</v>
          </cell>
          <cell r="H942" t="str">
            <v>σb≥400MPa</v>
          </cell>
          <cell r="I942" t="str">
            <v>Et·A(S)·Cs</v>
          </cell>
          <cell r="J942" t="str">
            <v>LY12</v>
          </cell>
          <cell r="K942">
            <v>42</v>
          </cell>
          <cell r="L942">
            <v>45855</v>
          </cell>
          <cell r="M942" t="str">
            <v>4-检验完成</v>
          </cell>
        </row>
        <row r="942">
          <cell r="O942">
            <v>0</v>
          </cell>
          <cell r="P942" t="str">
            <v>重庆红宇精密工业集团有限公司</v>
          </cell>
          <cell r="Q942" t="str">
            <v>60</v>
          </cell>
          <cell r="R942">
            <v>45856</v>
          </cell>
        </row>
        <row r="942">
          <cell r="U942" t="str">
            <v>010000825401</v>
          </cell>
          <cell r="V942" t="str">
            <v>PANQIFANG</v>
          </cell>
          <cell r="W942" t="str">
            <v/>
          </cell>
          <cell r="X942" t="str">
            <v>CP-108-A</v>
          </cell>
          <cell r="Y942" t="str">
            <v/>
          </cell>
          <cell r="Z942" t="str">
            <v>1902</v>
          </cell>
          <cell r="AA942" t="str">
            <v>1100147165</v>
          </cell>
          <cell r="AB942">
            <v>100</v>
          </cell>
          <cell r="AC942" t="str">
            <v/>
          </cell>
          <cell r="AD942">
            <v>8.48</v>
          </cell>
          <cell r="AE942" t="str">
            <v>G-100015451-250516-0033</v>
          </cell>
        </row>
        <row r="943">
          <cell r="B943" t="str">
            <v>7100979808</v>
          </cell>
          <cell r="C943" t="str">
            <v>G2505-0305</v>
          </cell>
          <cell r="D943" t="str">
            <v>000042944288000715</v>
          </cell>
          <cell r="E943" t="str">
            <v>气密双耳托板自锁螺母</v>
          </cell>
          <cell r="F943" t="str">
            <v>GB933-1988</v>
          </cell>
          <cell r="G943" t="str">
            <v>M8</v>
          </cell>
          <cell r="H943" t="str">
            <v>30-36HRC</v>
          </cell>
          <cell r="I943" t="str">
            <v>Ep·Cd·c2C</v>
          </cell>
          <cell r="J943" t="str">
            <v>组件(螺母体ML30CrMnSiA)</v>
          </cell>
          <cell r="K943">
            <v>860</v>
          </cell>
          <cell r="L943">
            <v>45854</v>
          </cell>
          <cell r="M943" t="str">
            <v>4-检验完成</v>
          </cell>
        </row>
        <row r="943">
          <cell r="O943">
            <v>0</v>
          </cell>
          <cell r="P943" t="str">
            <v>重庆红宇精密工业集团有限公司</v>
          </cell>
          <cell r="Q943" t="str">
            <v>30</v>
          </cell>
          <cell r="R943">
            <v>45858</v>
          </cell>
        </row>
        <row r="943">
          <cell r="U943" t="str">
            <v>010000821869</v>
          </cell>
          <cell r="V943" t="str">
            <v>PANMINGTAO</v>
          </cell>
          <cell r="W943" t="str">
            <v/>
          </cell>
          <cell r="X943" t="str">
            <v>XC-1-1-10</v>
          </cell>
          <cell r="Y943" t="str">
            <v/>
          </cell>
          <cell r="Z943" t="str">
            <v>1902</v>
          </cell>
          <cell r="AA943" t="str">
            <v>1100144327</v>
          </cell>
          <cell r="AB943">
            <v>2000</v>
          </cell>
          <cell r="AC943" t="str">
            <v/>
          </cell>
          <cell r="AD943">
            <v>10</v>
          </cell>
          <cell r="AE943" t="str">
            <v>G-100015451-250328-0017</v>
          </cell>
        </row>
        <row r="944">
          <cell r="B944" t="str">
            <v>7100982197</v>
          </cell>
          <cell r="C944" t="str">
            <v>G2507-1563</v>
          </cell>
          <cell r="D944" t="str">
            <v>000042944401156925</v>
          </cell>
          <cell r="E944" t="str">
            <v>平垫圈</v>
          </cell>
          <cell r="F944" t="str">
            <v>GB/T97.1-2002</v>
          </cell>
          <cell r="G944" t="str">
            <v>18</v>
          </cell>
          <cell r="H944" t="str">
            <v>200HV</v>
          </cell>
          <cell r="I944" t="str">
            <v>Ep·Zn-Ni·c2C</v>
          </cell>
          <cell r="J944" t="str">
            <v>30CrMnSiA</v>
          </cell>
          <cell r="K944">
            <v>202</v>
          </cell>
          <cell r="L944">
            <v>45860</v>
          </cell>
          <cell r="M944" t="str">
            <v>0-初始未打印</v>
          </cell>
        </row>
        <row r="944">
          <cell r="O944">
            <v>0</v>
          </cell>
          <cell r="P944" t="str">
            <v>重庆红宇精密工业集团有限公司</v>
          </cell>
          <cell r="Q944" t="str">
            <v>20</v>
          </cell>
        </row>
        <row r="944">
          <cell r="U944" t="str">
            <v>010000847020</v>
          </cell>
          <cell r="V944" t="str">
            <v/>
          </cell>
          <cell r="W944" t="str">
            <v/>
          </cell>
          <cell r="X944" t="str">
            <v>CP-108-A</v>
          </cell>
          <cell r="Y944" t="str">
            <v/>
          </cell>
          <cell r="Z944" t="str">
            <v>1902</v>
          </cell>
          <cell r="AA944" t="str">
            <v>1100142033</v>
          </cell>
          <cell r="AB944">
            <v>4200</v>
          </cell>
          <cell r="AC944" t="str">
            <v/>
          </cell>
          <cell r="AD944">
            <v>2.71</v>
          </cell>
          <cell r="AE944" t="str">
            <v>G-100015451-250221-0009</v>
          </cell>
        </row>
        <row r="945">
          <cell r="B945" t="str">
            <v>7100981099</v>
          </cell>
          <cell r="C945" t="str">
            <v>G2505-9223</v>
          </cell>
          <cell r="D945" t="str">
            <v>000042944044087023</v>
          </cell>
          <cell r="E945" t="str">
            <v>十字槽盘头螺钉</v>
          </cell>
          <cell r="F945" t="str">
            <v>GB/T818-2016</v>
          </cell>
          <cell r="G945" t="str">
            <v>M5×8</v>
          </cell>
          <cell r="H945" t="str">
            <v>A2-70</v>
          </cell>
          <cell r="I945" t="str">
            <v>ECP</v>
          </cell>
          <cell r="J945" t="str">
            <v>ML1Cr18Ni9Ti</v>
          </cell>
          <cell r="K945">
            <v>469</v>
          </cell>
          <cell r="L945">
            <v>45857</v>
          </cell>
          <cell r="M945" t="str">
            <v>4-检验完成</v>
          </cell>
        </row>
        <row r="945">
          <cell r="O945">
            <v>0</v>
          </cell>
          <cell r="P945" t="str">
            <v>重庆红宇精密工业集团有限公司</v>
          </cell>
          <cell r="Q945" t="str">
            <v>40</v>
          </cell>
          <cell r="R945">
            <v>45859</v>
          </cell>
        </row>
        <row r="945">
          <cell r="U945" t="str">
            <v>010000827802</v>
          </cell>
          <cell r="V945" t="str">
            <v>PANQIFANG</v>
          </cell>
          <cell r="W945" t="str">
            <v/>
          </cell>
          <cell r="X945" t="str">
            <v>CP-108-A</v>
          </cell>
          <cell r="Y945" t="str">
            <v/>
          </cell>
          <cell r="Z945" t="str">
            <v>1902</v>
          </cell>
          <cell r="AA945" t="str">
            <v>1100147165</v>
          </cell>
          <cell r="AB945">
            <v>500</v>
          </cell>
          <cell r="AC945" t="str">
            <v/>
          </cell>
          <cell r="AD945">
            <v>0.68</v>
          </cell>
          <cell r="AE945" t="str">
            <v>G-100015451-250516-0033</v>
          </cell>
        </row>
        <row r="946">
          <cell r="B946" t="str">
            <v>7100980588</v>
          </cell>
          <cell r="C946" t="str">
            <v>G2505-0917</v>
          </cell>
          <cell r="D946" t="str">
            <v>000042944000003913</v>
          </cell>
          <cell r="E946" t="str">
            <v>通用卡箍-双面固定卡箍</v>
          </cell>
          <cell r="F946" t="str">
            <v>QJ177.12A-95</v>
          </cell>
          <cell r="G946" t="str">
            <v>1</v>
          </cell>
          <cell r="H946" t="str">
            <v>σb≥400MPa</v>
          </cell>
          <cell r="I946" t="str">
            <v>Et·A(S)·Cs</v>
          </cell>
          <cell r="J946" t="str">
            <v>LY12</v>
          </cell>
          <cell r="K946">
            <v>42</v>
          </cell>
          <cell r="L946">
            <v>45855</v>
          </cell>
          <cell r="M946" t="str">
            <v>6-过账完成</v>
          </cell>
        </row>
        <row r="946">
          <cell r="O946">
            <v>0</v>
          </cell>
          <cell r="P946" t="str">
            <v>重庆红宇精密工业集团有限公司</v>
          </cell>
          <cell r="Q946" t="str">
            <v>60</v>
          </cell>
          <cell r="R946">
            <v>45856</v>
          </cell>
          <cell r="S946">
            <v>45860</v>
          </cell>
          <cell r="T946">
            <v>45860</v>
          </cell>
          <cell r="U946" t="str">
            <v>010000825401</v>
          </cell>
          <cell r="V946" t="str">
            <v>PANQIFANG</v>
          </cell>
          <cell r="W946" t="str">
            <v/>
          </cell>
          <cell r="X946" t="str">
            <v>CP-108-A</v>
          </cell>
          <cell r="Y946" t="str">
            <v>LVYANAN</v>
          </cell>
          <cell r="Z946" t="str">
            <v>1902</v>
          </cell>
          <cell r="AA946" t="str">
            <v>1100147165</v>
          </cell>
          <cell r="AB946">
            <v>100</v>
          </cell>
          <cell r="AC946" t="str">
            <v/>
          </cell>
          <cell r="AD946">
            <v>8.48</v>
          </cell>
          <cell r="AE946" t="str">
            <v>G-100015451-250516-0033</v>
          </cell>
        </row>
        <row r="947">
          <cell r="B947" t="str">
            <v>7100979808</v>
          </cell>
          <cell r="C947" t="str">
            <v>G2505-0305</v>
          </cell>
          <cell r="D947" t="str">
            <v>000042944288000715</v>
          </cell>
          <cell r="E947" t="str">
            <v>气密双耳托板自锁螺母</v>
          </cell>
          <cell r="F947" t="str">
            <v>GB933-1988</v>
          </cell>
          <cell r="G947" t="str">
            <v>M8</v>
          </cell>
          <cell r="H947" t="str">
            <v>30-36HRC</v>
          </cell>
          <cell r="I947" t="str">
            <v>Ep·Cd·c2C</v>
          </cell>
          <cell r="J947" t="str">
            <v>组件(螺母体ML30CrMnSiA)</v>
          </cell>
          <cell r="K947">
            <v>860</v>
          </cell>
          <cell r="L947">
            <v>45854</v>
          </cell>
          <cell r="M947" t="str">
            <v>6-过账完成</v>
          </cell>
        </row>
        <row r="947">
          <cell r="O947">
            <v>0</v>
          </cell>
          <cell r="P947" t="str">
            <v>重庆红宇精密工业集团有限公司</v>
          </cell>
          <cell r="Q947" t="str">
            <v>30</v>
          </cell>
          <cell r="R947">
            <v>45858</v>
          </cell>
          <cell r="S947">
            <v>45860</v>
          </cell>
          <cell r="T947">
            <v>45860</v>
          </cell>
          <cell r="U947" t="str">
            <v>010000821869</v>
          </cell>
          <cell r="V947" t="str">
            <v>PANMINGTAO</v>
          </cell>
          <cell r="W947" t="str">
            <v/>
          </cell>
          <cell r="X947" t="str">
            <v>XC-1-1-10</v>
          </cell>
          <cell r="Y947" t="str">
            <v>LVYANAN</v>
          </cell>
          <cell r="Z947" t="str">
            <v>1902</v>
          </cell>
          <cell r="AA947" t="str">
            <v>1100144327</v>
          </cell>
          <cell r="AB947">
            <v>2000</v>
          </cell>
          <cell r="AC947" t="str">
            <v/>
          </cell>
          <cell r="AD947">
            <v>10</v>
          </cell>
          <cell r="AE947" t="str">
            <v>G-100015451-250328-0017</v>
          </cell>
        </row>
        <row r="948">
          <cell r="B948">
            <v>7100982221</v>
          </cell>
          <cell r="C948" t="str">
            <v>G2507-9025</v>
          </cell>
          <cell r="D948">
            <v>42944044148931</v>
          </cell>
          <cell r="E948" t="str">
            <v>十字槽沉头螺钉</v>
          </cell>
          <cell r="F948" t="str">
            <v>GB/T819.1-2016</v>
          </cell>
          <cell r="G948" t="str">
            <v>M5×8</v>
          </cell>
          <cell r="H948">
            <v>4.8</v>
          </cell>
          <cell r="I948" t="str">
            <v>Ep·Zn-Ni·c2C</v>
          </cell>
          <cell r="J948" t="str">
            <v>ML25</v>
          </cell>
          <cell r="K948">
            <v>1200</v>
          </cell>
          <cell r="L948">
            <v>45860</v>
          </cell>
          <cell r="M948" t="str">
            <v>3-配货完成</v>
          </cell>
        </row>
        <row r="948">
          <cell r="P948" t="str">
            <v>重庆红宇精密工业集团有限公司</v>
          </cell>
          <cell r="Q948">
            <v>10</v>
          </cell>
        </row>
        <row r="948">
          <cell r="U948">
            <v>10000843692</v>
          </cell>
          <cell r="V948" t="str">
            <v>PANQIFANG</v>
          </cell>
        </row>
        <row r="948">
          <cell r="X948" t="str">
            <v>CP-108-A</v>
          </cell>
        </row>
        <row r="948">
          <cell r="Z948">
            <v>1902</v>
          </cell>
          <cell r="AA948">
            <v>1100142033</v>
          </cell>
          <cell r="AB948">
            <v>1200</v>
          </cell>
        </row>
        <row r="948">
          <cell r="AD948">
            <v>0.62</v>
          </cell>
          <cell r="AE948" t="str">
            <v>G-100015451-250221-0009</v>
          </cell>
        </row>
        <row r="949">
          <cell r="B949" t="str">
            <v>7100982635</v>
          </cell>
          <cell r="C949" t="str">
            <v>GW2507-118</v>
          </cell>
          <cell r="D949" t="str">
            <v>000042944401000333</v>
          </cell>
          <cell r="E949" t="str">
            <v>平垫圈</v>
          </cell>
          <cell r="F949" t="str">
            <v>GB/T97.1-2002</v>
          </cell>
          <cell r="G949" t="str">
            <v>3</v>
          </cell>
          <cell r="H949" t="str">
            <v>200HV</v>
          </cell>
          <cell r="I949" t="str">
            <v>Ep·Zn·c2C</v>
          </cell>
          <cell r="J949" t="str">
            <v>45</v>
          </cell>
          <cell r="K949">
            <v>600</v>
          </cell>
          <cell r="L949">
            <v>45861</v>
          </cell>
          <cell r="M949" t="str">
            <v>4-检验完成</v>
          </cell>
        </row>
        <row r="949">
          <cell r="O949">
            <v>0</v>
          </cell>
          <cell r="P949" t="str">
            <v>重庆红宇精密工业集团有限公司</v>
          </cell>
          <cell r="Q949" t="str">
            <v>10</v>
          </cell>
          <cell r="R949">
            <v>45861</v>
          </cell>
        </row>
        <row r="949">
          <cell r="U949" t="str">
            <v/>
          </cell>
          <cell r="V949" t="str">
            <v>PANQIFANG</v>
          </cell>
          <cell r="W949" t="str">
            <v/>
          </cell>
          <cell r="X949" t="str">
            <v>XH-000</v>
          </cell>
          <cell r="Y949" t="str">
            <v/>
          </cell>
          <cell r="Z949" t="str">
            <v>1902</v>
          </cell>
          <cell r="AA949" t="str">
            <v>1100149892</v>
          </cell>
          <cell r="AB949">
            <v>600</v>
          </cell>
          <cell r="AC949" t="str">
            <v/>
          </cell>
          <cell r="AD949">
            <v>0.68</v>
          </cell>
          <cell r="AE949" t="str">
            <v>G-100015451-250709-0044-1-H-XH</v>
          </cell>
        </row>
        <row r="950">
          <cell r="B950" t="str">
            <v>7100982582</v>
          </cell>
          <cell r="C950" t="str">
            <v>G2506-9011</v>
          </cell>
          <cell r="D950" t="str">
            <v>000042944044142694</v>
          </cell>
          <cell r="E950" t="str">
            <v>十字槽沉头螺钉</v>
          </cell>
          <cell r="F950" t="str">
            <v>GB/T819.2-2016</v>
          </cell>
          <cell r="G950" t="str">
            <v>M3×16</v>
          </cell>
          <cell r="H950" t="str">
            <v>8.8</v>
          </cell>
          <cell r="I950" t="str">
            <v>Ep·Zn·c2C</v>
          </cell>
          <cell r="J950" t="str">
            <v>ML30CrMnSiA</v>
          </cell>
          <cell r="K950">
            <v>500</v>
          </cell>
          <cell r="L950">
            <v>45860</v>
          </cell>
          <cell r="M950" t="str">
            <v>4-检验完成</v>
          </cell>
        </row>
        <row r="950">
          <cell r="O950">
            <v>0</v>
          </cell>
          <cell r="P950" t="str">
            <v>重庆红宇精密工业集团有限公司</v>
          </cell>
          <cell r="Q950" t="str">
            <v>10</v>
          </cell>
          <cell r="R950">
            <v>45861</v>
          </cell>
        </row>
        <row r="950">
          <cell r="U950" t="str">
            <v>010000831782</v>
          </cell>
          <cell r="V950" t="str">
            <v>PANQIFANG</v>
          </cell>
          <cell r="W950" t="str">
            <v/>
          </cell>
          <cell r="X950" t="str">
            <v>CP-108-A</v>
          </cell>
          <cell r="Y950" t="str">
            <v/>
          </cell>
          <cell r="Z950" t="str">
            <v>1902</v>
          </cell>
          <cell r="AA950" t="str">
            <v>1100148167</v>
          </cell>
          <cell r="AB950">
            <v>500</v>
          </cell>
          <cell r="AC950" t="str">
            <v/>
          </cell>
          <cell r="AD950">
            <v>0.68</v>
          </cell>
          <cell r="AE950" t="str">
            <v>G-100015451-250603-0036</v>
          </cell>
        </row>
        <row r="951">
          <cell r="B951" t="str">
            <v>7100982224</v>
          </cell>
          <cell r="C951" t="str">
            <v>G2502-9039</v>
          </cell>
          <cell r="D951" t="str">
            <v>000042944044079997</v>
          </cell>
          <cell r="E951" t="str">
            <v>十字槽沉头螺钉</v>
          </cell>
          <cell r="F951" t="str">
            <v>GB/T819.2-2016</v>
          </cell>
          <cell r="G951" t="str">
            <v>M5×10</v>
          </cell>
          <cell r="H951" t="str">
            <v>A2-70</v>
          </cell>
          <cell r="I951" t="str">
            <v>ECP</v>
          </cell>
          <cell r="J951" t="str">
            <v>ML1Cr18Ni9Ti</v>
          </cell>
          <cell r="K951">
            <v>1400</v>
          </cell>
          <cell r="L951">
            <v>45860</v>
          </cell>
          <cell r="M951" t="str">
            <v>4-检验完成</v>
          </cell>
        </row>
        <row r="951">
          <cell r="O951">
            <v>0</v>
          </cell>
          <cell r="P951" t="str">
            <v>重庆红宇精密工业集团有限公司</v>
          </cell>
          <cell r="Q951" t="str">
            <v>10</v>
          </cell>
          <cell r="R951">
            <v>45860</v>
          </cell>
        </row>
        <row r="951">
          <cell r="U951" t="str">
            <v>010000789290</v>
          </cell>
          <cell r="V951" t="str">
            <v>PANQIFANG</v>
          </cell>
          <cell r="W951" t="str">
            <v/>
          </cell>
          <cell r="X951" t="str">
            <v>CP-108-A</v>
          </cell>
          <cell r="Y951" t="str">
            <v/>
          </cell>
          <cell r="Z951" t="str">
            <v>1902</v>
          </cell>
          <cell r="AA951" t="str">
            <v>1100142026</v>
          </cell>
          <cell r="AB951">
            <v>1400</v>
          </cell>
          <cell r="AC951" t="str">
            <v/>
          </cell>
          <cell r="AD951">
            <v>0.68</v>
          </cell>
          <cell r="AE951" t="str">
            <v>G-100015451-250221-0008</v>
          </cell>
        </row>
        <row r="952">
          <cell r="B952" t="str">
            <v>7100984925</v>
          </cell>
          <cell r="C952" t="str">
            <v>G2409-9006</v>
          </cell>
          <cell r="D952" t="str">
            <v>000042944044140020</v>
          </cell>
          <cell r="E952" t="str">
            <v>十字槽盘头螺钉</v>
          </cell>
          <cell r="F952" t="str">
            <v>GB/T818-2016</v>
          </cell>
          <cell r="G952" t="str">
            <v>M3×10</v>
          </cell>
          <cell r="H952" t="str">
            <v>4.8</v>
          </cell>
          <cell r="I952" t="str">
            <v>Ep·Zn·c2C</v>
          </cell>
          <cell r="J952" t="str">
            <v>ML25</v>
          </cell>
          <cell r="K952">
            <v>39</v>
          </cell>
          <cell r="L952">
            <v>45864</v>
          </cell>
          <cell r="M952" t="str">
            <v>4-检验完成</v>
          </cell>
        </row>
        <row r="952">
          <cell r="O952">
            <v>0</v>
          </cell>
          <cell r="P952" t="str">
            <v>重庆红宇精密工业集团有限公司</v>
          </cell>
          <cell r="Q952" t="str">
            <v>20</v>
          </cell>
          <cell r="R952">
            <v>45867</v>
          </cell>
        </row>
        <row r="952">
          <cell r="U952" t="str">
            <v>010000732816</v>
          </cell>
          <cell r="V952" t="str">
            <v>PANQIFANG</v>
          </cell>
          <cell r="W952" t="str">
            <v/>
          </cell>
          <cell r="X952" t="str">
            <v>CP-108-A</v>
          </cell>
          <cell r="Y952" t="str">
            <v/>
          </cell>
          <cell r="Z952" t="str">
            <v>1902</v>
          </cell>
          <cell r="AA952" t="str">
            <v>1100149917</v>
          </cell>
          <cell r="AB952">
            <v>500</v>
          </cell>
          <cell r="AC952" t="str">
            <v/>
          </cell>
          <cell r="AD952">
            <v>0.68</v>
          </cell>
          <cell r="AE952" t="str">
            <v>G-100015451-250709-0045</v>
          </cell>
        </row>
        <row r="953">
          <cell r="B953" t="str">
            <v>7100984922</v>
          </cell>
          <cell r="C953" t="str">
            <v>G2411-9015</v>
          </cell>
          <cell r="D953" t="str">
            <v>000042944041002059</v>
          </cell>
          <cell r="E953" t="str">
            <v>内六角圆柱头螺钉</v>
          </cell>
          <cell r="F953" t="str">
            <v>GB/T70.1-2008</v>
          </cell>
          <cell r="G953" t="str">
            <v>M6×25</v>
          </cell>
          <cell r="H953" t="str">
            <v>A2-70</v>
          </cell>
          <cell r="I953" t="str">
            <v>ECP</v>
          </cell>
          <cell r="J953" t="str">
            <v>ML1Cr18Ni9Ti</v>
          </cell>
          <cell r="K953">
            <v>50</v>
          </cell>
          <cell r="L953">
            <v>45864</v>
          </cell>
          <cell r="M953" t="str">
            <v>4-检验完成</v>
          </cell>
        </row>
        <row r="953">
          <cell r="O953">
            <v>0</v>
          </cell>
          <cell r="P953" t="str">
            <v>重庆红宇精密工业集团有限公司</v>
          </cell>
          <cell r="Q953" t="str">
            <v>40</v>
          </cell>
          <cell r="R953">
            <v>45867</v>
          </cell>
        </row>
        <row r="953">
          <cell r="U953" t="str">
            <v>010000753352</v>
          </cell>
          <cell r="V953" t="str">
            <v>PANQIFANG</v>
          </cell>
          <cell r="W953" t="str">
            <v/>
          </cell>
          <cell r="X953" t="str">
            <v>CP-108-A</v>
          </cell>
          <cell r="Y953" t="str">
            <v/>
          </cell>
          <cell r="Z953" t="str">
            <v>1902</v>
          </cell>
          <cell r="AA953" t="str">
            <v>1100149492</v>
          </cell>
          <cell r="AB953">
            <v>1300</v>
          </cell>
          <cell r="AC953" t="str">
            <v/>
          </cell>
          <cell r="AD953">
            <v>3.16</v>
          </cell>
          <cell r="AE953" t="str">
            <v>G-100015451-250701-0043</v>
          </cell>
        </row>
        <row r="954">
          <cell r="B954" t="str">
            <v>7100984211</v>
          </cell>
          <cell r="C954" t="str">
            <v>GW2507-119</v>
          </cell>
          <cell r="D954" t="str">
            <v>000042944041002002</v>
          </cell>
          <cell r="E954" t="str">
            <v>内六角圆柱头螺钉</v>
          </cell>
          <cell r="F954" t="str">
            <v>GB/T70.1-2008</v>
          </cell>
          <cell r="G954" t="str">
            <v>M4×10</v>
          </cell>
          <cell r="H954" t="str">
            <v>8.8</v>
          </cell>
          <cell r="I954" t="str">
            <v>Ep·Zn·c2C</v>
          </cell>
          <cell r="J954" t="str">
            <v>ML30CrMnSiA</v>
          </cell>
          <cell r="K954">
            <v>376</v>
          </cell>
          <cell r="L954">
            <v>45863</v>
          </cell>
          <cell r="M954" t="str">
            <v>4-检验完成</v>
          </cell>
        </row>
        <row r="954">
          <cell r="O954">
            <v>0</v>
          </cell>
          <cell r="P954" t="str">
            <v>重庆红宇精密工业集团有限公司</v>
          </cell>
          <cell r="Q954" t="str">
            <v>20</v>
          </cell>
          <cell r="R954">
            <v>45868</v>
          </cell>
        </row>
        <row r="954">
          <cell r="U954" t="str">
            <v/>
          </cell>
          <cell r="V954" t="str">
            <v>PANQIFANG</v>
          </cell>
          <cell r="W954" t="str">
            <v/>
          </cell>
          <cell r="X954" t="str">
            <v>XH-000</v>
          </cell>
          <cell r="Y954" t="str">
            <v/>
          </cell>
          <cell r="Z954" t="str">
            <v>1902</v>
          </cell>
          <cell r="AA954" t="str">
            <v>1100149892</v>
          </cell>
          <cell r="AB954">
            <v>380</v>
          </cell>
          <cell r="AC954" t="str">
            <v/>
          </cell>
          <cell r="AD954">
            <v>2.83</v>
          </cell>
          <cell r="AE954" t="str">
            <v>G-100015451-250709-0044-1-H-XH</v>
          </cell>
        </row>
        <row r="955">
          <cell r="B955" t="str">
            <v>7100987164</v>
          </cell>
          <cell r="C955" t="str">
            <v>G2311-0316</v>
          </cell>
          <cell r="D955" t="str">
            <v>000042944401000445</v>
          </cell>
          <cell r="E955" t="str">
            <v>平垫圈</v>
          </cell>
          <cell r="F955" t="str">
            <v>GB/T97.1-2002</v>
          </cell>
          <cell r="G955" t="str">
            <v>5</v>
          </cell>
          <cell r="H955" t="str">
            <v>200HV</v>
          </cell>
          <cell r="I955" t="str">
            <v>ECP</v>
          </cell>
          <cell r="J955" t="str">
            <v>1Cr18Ni9Ti</v>
          </cell>
          <cell r="K955">
            <v>2500</v>
          </cell>
          <cell r="L955">
            <v>45869</v>
          </cell>
          <cell r="M955" t="str">
            <v>1-已打印</v>
          </cell>
        </row>
        <row r="955">
          <cell r="O955">
            <v>0</v>
          </cell>
          <cell r="P955" t="str">
            <v>重庆红宇精密工业集团有限公司</v>
          </cell>
          <cell r="Q955" t="str">
            <v>30</v>
          </cell>
        </row>
        <row r="955">
          <cell r="U955" t="str">
            <v>010000648524</v>
          </cell>
          <cell r="V955" t="str">
            <v/>
          </cell>
          <cell r="W955" t="str">
            <v/>
          </cell>
          <cell r="X955" t="str">
            <v>CP-C7-5-1-3</v>
          </cell>
          <cell r="Y955" t="str">
            <v/>
          </cell>
          <cell r="Z955" t="str">
            <v>1902</v>
          </cell>
          <cell r="AA955" t="str">
            <v>1100149492</v>
          </cell>
          <cell r="AB955">
            <v>2500</v>
          </cell>
          <cell r="AC955" t="str">
            <v/>
          </cell>
          <cell r="AD955">
            <v>0.57</v>
          </cell>
          <cell r="AE955" t="str">
            <v>G-100015451-250701-0043</v>
          </cell>
        </row>
        <row r="956">
          <cell r="B956" t="str">
            <v>7100987019</v>
          </cell>
          <cell r="C956" t="str">
            <v>G2501-9071</v>
          </cell>
          <cell r="D956" t="str">
            <v>000042944044079368</v>
          </cell>
          <cell r="E956" t="str">
            <v>十字槽小盘头螺钉</v>
          </cell>
          <cell r="F956" t="str">
            <v>GB/T823-2016</v>
          </cell>
          <cell r="G956" t="str">
            <v>M4×12</v>
          </cell>
          <cell r="H956" t="str">
            <v>A1-50</v>
          </cell>
          <cell r="I956" t="str">
            <v>ECP</v>
          </cell>
          <cell r="J956" t="str">
            <v>ML1Cr18Ni9Ti</v>
          </cell>
          <cell r="K956">
            <v>3200</v>
          </cell>
          <cell r="L956">
            <v>45869</v>
          </cell>
          <cell r="M956" t="str">
            <v>3-配货完成</v>
          </cell>
        </row>
        <row r="956">
          <cell r="O956">
            <v>0</v>
          </cell>
          <cell r="P956" t="str">
            <v>重庆红宇精密工业集团有限公司</v>
          </cell>
          <cell r="Q956" t="str">
            <v>40</v>
          </cell>
        </row>
        <row r="956">
          <cell r="U956" t="str">
            <v>010000777869</v>
          </cell>
          <cell r="V956" t="str">
            <v>PANQIFANG</v>
          </cell>
          <cell r="W956" t="str">
            <v/>
          </cell>
          <cell r="X956" t="str">
            <v>CP-108-A</v>
          </cell>
          <cell r="Y956" t="str">
            <v/>
          </cell>
          <cell r="Z956" t="str">
            <v>1902</v>
          </cell>
          <cell r="AA956" t="str">
            <v>1100139595</v>
          </cell>
          <cell r="AB956">
            <v>3200</v>
          </cell>
          <cell r="AC956" t="str">
            <v/>
          </cell>
          <cell r="AD956">
            <v>0.57</v>
          </cell>
          <cell r="AE956" t="str">
            <v>G-100015451-250102-0001</v>
          </cell>
        </row>
        <row r="957">
          <cell r="B957" t="str">
            <v>7100986805</v>
          </cell>
          <cell r="C957" t="str">
            <v>G2505-9214</v>
          </cell>
          <cell r="D957" t="str">
            <v>000042944044057726</v>
          </cell>
          <cell r="E957" t="str">
            <v>十字槽沉头螺钉</v>
          </cell>
          <cell r="F957" t="str">
            <v>GB/T819.2-2016</v>
          </cell>
          <cell r="G957" t="str">
            <v>M3×6</v>
          </cell>
          <cell r="H957" t="str">
            <v>A2-70</v>
          </cell>
          <cell r="I957" t="str">
            <v>ECP</v>
          </cell>
          <cell r="J957" t="str">
            <v>ML1Cr18Ni9Ti</v>
          </cell>
          <cell r="K957">
            <v>4975</v>
          </cell>
          <cell r="L957">
            <v>45868</v>
          </cell>
          <cell r="M957" t="str">
            <v>3-配货完成</v>
          </cell>
        </row>
        <row r="957">
          <cell r="O957">
            <v>0</v>
          </cell>
          <cell r="P957" t="str">
            <v>重庆红宇精密工业集团有限公司</v>
          </cell>
          <cell r="Q957" t="str">
            <v>10</v>
          </cell>
        </row>
        <row r="957">
          <cell r="U957" t="str">
            <v>010000826992</v>
          </cell>
          <cell r="V957" t="str">
            <v>PANQIFANG</v>
          </cell>
          <cell r="W957" t="str">
            <v/>
          </cell>
          <cell r="X957" t="str">
            <v>CP-108-A</v>
          </cell>
          <cell r="Y957" t="str">
            <v/>
          </cell>
          <cell r="Z957" t="str">
            <v>1902</v>
          </cell>
          <cell r="AA957" t="str">
            <v>1100147364</v>
          </cell>
          <cell r="AB957">
            <v>5000</v>
          </cell>
          <cell r="AC957" t="str">
            <v/>
          </cell>
          <cell r="AD957">
            <v>0.57</v>
          </cell>
          <cell r="AE957" t="str">
            <v>G-100015451-250520-0035</v>
          </cell>
        </row>
        <row r="958">
          <cell r="B958" t="str">
            <v>7100984925</v>
          </cell>
          <cell r="C958" t="str">
            <v>G2409-9006</v>
          </cell>
          <cell r="D958" t="str">
            <v>000042944044140020</v>
          </cell>
          <cell r="E958" t="str">
            <v>十字槽盘头螺钉</v>
          </cell>
          <cell r="F958" t="str">
            <v>GB/T818-2016</v>
          </cell>
          <cell r="G958" t="str">
            <v>M3×10</v>
          </cell>
          <cell r="H958" t="str">
            <v>4.8</v>
          </cell>
          <cell r="I958" t="str">
            <v>Ep·Zn·c2C</v>
          </cell>
          <cell r="J958" t="str">
            <v>ML25</v>
          </cell>
          <cell r="K958">
            <v>39</v>
          </cell>
          <cell r="L958">
            <v>45864</v>
          </cell>
          <cell r="M958" t="str">
            <v>5-包装完成</v>
          </cell>
        </row>
        <row r="958">
          <cell r="O958">
            <v>0</v>
          </cell>
          <cell r="P958" t="str">
            <v>重庆红宇精密工业集团有限公司</v>
          </cell>
          <cell r="Q958" t="str">
            <v>20</v>
          </cell>
          <cell r="R958">
            <v>45867</v>
          </cell>
          <cell r="S958">
            <v>45869</v>
          </cell>
        </row>
        <row r="958">
          <cell r="U958" t="str">
            <v>010000732816</v>
          </cell>
          <cell r="V958" t="str">
            <v>PANQIFANG</v>
          </cell>
          <cell r="W958" t="str">
            <v/>
          </cell>
          <cell r="X958" t="str">
            <v>CP-108-A</v>
          </cell>
          <cell r="Y958" t="str">
            <v>LVYANAN</v>
          </cell>
          <cell r="Z958" t="str">
            <v>1902</v>
          </cell>
          <cell r="AA958" t="str">
            <v>1100149917</v>
          </cell>
          <cell r="AB958">
            <v>500</v>
          </cell>
          <cell r="AC958" t="str">
            <v/>
          </cell>
          <cell r="AD958">
            <v>0.68</v>
          </cell>
          <cell r="AE958" t="str">
            <v>G-100015451-250709-0045</v>
          </cell>
        </row>
        <row r="959">
          <cell r="B959" t="str">
            <v>7100984922</v>
          </cell>
          <cell r="C959" t="str">
            <v>G2411-9015</v>
          </cell>
          <cell r="D959" t="str">
            <v>000042944041002059</v>
          </cell>
          <cell r="E959" t="str">
            <v>内六角圆柱头螺钉</v>
          </cell>
          <cell r="F959" t="str">
            <v>GB/T70.1-2008</v>
          </cell>
          <cell r="G959" t="str">
            <v>M6×25</v>
          </cell>
          <cell r="H959" t="str">
            <v>A2-70</v>
          </cell>
          <cell r="I959" t="str">
            <v>ECP</v>
          </cell>
          <cell r="J959" t="str">
            <v>ML1Cr18Ni9Ti</v>
          </cell>
          <cell r="K959">
            <v>50</v>
          </cell>
          <cell r="L959">
            <v>45864</v>
          </cell>
          <cell r="M959" t="str">
            <v>5-包装完成</v>
          </cell>
        </row>
        <row r="959">
          <cell r="O959">
            <v>0</v>
          </cell>
          <cell r="P959" t="str">
            <v>重庆红宇精密工业集团有限公司</v>
          </cell>
          <cell r="Q959" t="str">
            <v>40</v>
          </cell>
          <cell r="R959">
            <v>45867</v>
          </cell>
          <cell r="S959">
            <v>45869</v>
          </cell>
        </row>
        <row r="959">
          <cell r="U959" t="str">
            <v>010000753352</v>
          </cell>
          <cell r="V959" t="str">
            <v>PANQIFANG</v>
          </cell>
          <cell r="W959" t="str">
            <v/>
          </cell>
          <cell r="X959" t="str">
            <v>CP-108-A</v>
          </cell>
          <cell r="Y959" t="str">
            <v>LVYANAN</v>
          </cell>
          <cell r="Z959" t="str">
            <v>1902</v>
          </cell>
          <cell r="AA959" t="str">
            <v>1100149492</v>
          </cell>
          <cell r="AB959">
            <v>1300</v>
          </cell>
          <cell r="AC959" t="str">
            <v/>
          </cell>
          <cell r="AD959">
            <v>3.16</v>
          </cell>
          <cell r="AE959" t="str">
            <v>G-100015451-250701-0043</v>
          </cell>
        </row>
        <row r="960">
          <cell r="B960" t="str">
            <v>7100984211</v>
          </cell>
          <cell r="C960" t="str">
            <v>GW2507-119</v>
          </cell>
          <cell r="D960" t="str">
            <v>000042944041002002</v>
          </cell>
          <cell r="E960" t="str">
            <v>内六角圆柱头螺钉</v>
          </cell>
          <cell r="F960" t="str">
            <v>GB/T70.1-2008</v>
          </cell>
          <cell r="G960" t="str">
            <v>M4×10</v>
          </cell>
          <cell r="H960" t="str">
            <v>8.8</v>
          </cell>
          <cell r="I960" t="str">
            <v>Ep·Zn·c2C</v>
          </cell>
          <cell r="J960" t="str">
            <v>ML30CrMnSiA</v>
          </cell>
          <cell r="K960">
            <v>376</v>
          </cell>
          <cell r="L960">
            <v>45863</v>
          </cell>
          <cell r="M960" t="str">
            <v>5-包装完成</v>
          </cell>
        </row>
        <row r="960">
          <cell r="O960">
            <v>0</v>
          </cell>
          <cell r="P960" t="str">
            <v>重庆红宇精密工业集团有限公司</v>
          </cell>
          <cell r="Q960" t="str">
            <v>20</v>
          </cell>
          <cell r="R960">
            <v>45868</v>
          </cell>
          <cell r="S960">
            <v>45869</v>
          </cell>
        </row>
        <row r="960">
          <cell r="U960" t="str">
            <v/>
          </cell>
          <cell r="V960" t="str">
            <v>PANQIFANG</v>
          </cell>
          <cell r="W960" t="str">
            <v/>
          </cell>
          <cell r="X960" t="str">
            <v>XH-000</v>
          </cell>
          <cell r="Y960" t="str">
            <v>LVYANAN</v>
          </cell>
          <cell r="Z960" t="str">
            <v>1902</v>
          </cell>
          <cell r="AA960" t="str">
            <v>1100149892</v>
          </cell>
          <cell r="AB960">
            <v>380</v>
          </cell>
          <cell r="AC960" t="str">
            <v/>
          </cell>
          <cell r="AD960">
            <v>2.83</v>
          </cell>
          <cell r="AE960" t="str">
            <v>G-100015451-250709-0044-1-H-XH</v>
          </cell>
        </row>
        <row r="961">
          <cell r="B961" t="str">
            <v>7100987019</v>
          </cell>
          <cell r="C961" t="str">
            <v>G2501-9071</v>
          </cell>
          <cell r="D961" t="str">
            <v>000042944044079368</v>
          </cell>
          <cell r="E961" t="str">
            <v>十字槽小盘头螺钉</v>
          </cell>
          <cell r="F961" t="str">
            <v>GB/T823-2016</v>
          </cell>
          <cell r="G961" t="str">
            <v>M4×12</v>
          </cell>
          <cell r="H961" t="str">
            <v>A1-50</v>
          </cell>
          <cell r="I961" t="str">
            <v>ECP</v>
          </cell>
          <cell r="J961" t="str">
            <v>ML1Cr18Ni9Ti</v>
          </cell>
          <cell r="K961">
            <v>3200</v>
          </cell>
          <cell r="L961">
            <v>45869</v>
          </cell>
          <cell r="M961" t="str">
            <v>4-检验完成</v>
          </cell>
        </row>
        <row r="961">
          <cell r="O961">
            <v>0</v>
          </cell>
          <cell r="P961" t="str">
            <v>重庆红宇精密工业集团有限公司</v>
          </cell>
          <cell r="Q961" t="str">
            <v>40</v>
          </cell>
          <cell r="R961">
            <v>45870</v>
          </cell>
        </row>
        <row r="961">
          <cell r="U961" t="str">
            <v>010000777869</v>
          </cell>
          <cell r="V961" t="str">
            <v>PANQIFANG</v>
          </cell>
          <cell r="W961" t="str">
            <v/>
          </cell>
          <cell r="X961" t="str">
            <v>CP-108-A</v>
          </cell>
          <cell r="Y961" t="str">
            <v/>
          </cell>
          <cell r="Z961" t="str">
            <v>1902</v>
          </cell>
          <cell r="AA961" t="str">
            <v>1100139595</v>
          </cell>
          <cell r="AB961">
            <v>3200</v>
          </cell>
          <cell r="AC961" t="str">
            <v/>
          </cell>
          <cell r="AD961">
            <v>0.57</v>
          </cell>
          <cell r="AE961" t="str">
            <v>G-100015451-250102-0001</v>
          </cell>
        </row>
        <row r="962">
          <cell r="B962" t="str">
            <v>7100987164</v>
          </cell>
          <cell r="C962" t="str">
            <v>G2311-0316</v>
          </cell>
          <cell r="D962" t="str">
            <v>000042944401000445</v>
          </cell>
          <cell r="E962" t="str">
            <v>平垫圈</v>
          </cell>
          <cell r="F962" t="str">
            <v>GB/T97.1-2002</v>
          </cell>
          <cell r="G962" t="str">
            <v>5</v>
          </cell>
          <cell r="H962" t="str">
            <v>200HV</v>
          </cell>
          <cell r="I962" t="str">
            <v>ECP</v>
          </cell>
          <cell r="J962" t="str">
            <v>1Cr18Ni9Ti</v>
          </cell>
          <cell r="K962">
            <v>2500</v>
          </cell>
          <cell r="L962">
            <v>45869</v>
          </cell>
          <cell r="M962" t="str">
            <v>4-检验完成</v>
          </cell>
        </row>
        <row r="962">
          <cell r="O962">
            <v>0</v>
          </cell>
          <cell r="P962" t="str">
            <v>重庆红宇精密工业集团有限公司</v>
          </cell>
          <cell r="Q962" t="str">
            <v>30</v>
          </cell>
          <cell r="R962">
            <v>45871</v>
          </cell>
        </row>
        <row r="962">
          <cell r="U962" t="str">
            <v>010000648524</v>
          </cell>
          <cell r="V962" t="str">
            <v>PANQIFANG</v>
          </cell>
          <cell r="W962" t="str">
            <v/>
          </cell>
          <cell r="X962" t="str">
            <v>CP-C7-5-1-3</v>
          </cell>
          <cell r="Y962" t="str">
            <v/>
          </cell>
          <cell r="Z962" t="str">
            <v>1902</v>
          </cell>
          <cell r="AA962" t="str">
            <v>1100149492</v>
          </cell>
          <cell r="AB962">
            <v>2500</v>
          </cell>
          <cell r="AC962" t="str">
            <v/>
          </cell>
          <cell r="AD962">
            <v>0.57</v>
          </cell>
          <cell r="AE962" t="str">
            <v>G-100015451-250701-0043</v>
          </cell>
        </row>
        <row r="963">
          <cell r="B963" t="str">
            <v>7100987813</v>
          </cell>
          <cell r="C963" t="str">
            <v>G2504-3764</v>
          </cell>
          <cell r="D963" t="str">
            <v>000042944041002057</v>
          </cell>
          <cell r="E963" t="str">
            <v>内六角圆柱头螺钉</v>
          </cell>
          <cell r="F963" t="str">
            <v>GB/T70.1-2008</v>
          </cell>
          <cell r="G963" t="str">
            <v>M6×20</v>
          </cell>
          <cell r="H963" t="str">
            <v>A2-70</v>
          </cell>
          <cell r="I963" t="str">
            <v>ECP</v>
          </cell>
          <cell r="J963" t="str">
            <v>ML1Cr18Ni9Ti</v>
          </cell>
          <cell r="K963">
            <v>3</v>
          </cell>
          <cell r="L963">
            <v>45870</v>
          </cell>
          <cell r="M963" t="str">
            <v>4-检验完成</v>
          </cell>
        </row>
        <row r="963">
          <cell r="O963">
            <v>0</v>
          </cell>
          <cell r="P963" t="str">
            <v>重庆红宇精密工业集团有限公司</v>
          </cell>
          <cell r="Q963" t="str">
            <v>20</v>
          </cell>
          <cell r="R963">
            <v>45873</v>
          </cell>
        </row>
        <row r="963">
          <cell r="U963" t="str">
            <v>010000815659</v>
          </cell>
          <cell r="V963" t="str">
            <v>PANQIFANG</v>
          </cell>
          <cell r="W963" t="str">
            <v/>
          </cell>
          <cell r="X963" t="str">
            <v>CP-108-A</v>
          </cell>
          <cell r="Y963" t="str">
            <v/>
          </cell>
          <cell r="Z963" t="str">
            <v>1902</v>
          </cell>
          <cell r="AA963" t="str">
            <v>1100144700</v>
          </cell>
          <cell r="AB963">
            <v>3</v>
          </cell>
          <cell r="AC963" t="str">
            <v/>
          </cell>
          <cell r="AD963">
            <v>3.62</v>
          </cell>
          <cell r="AE963" t="str">
            <v>G-100015451-250403-0022</v>
          </cell>
        </row>
        <row r="964">
          <cell r="B964" t="str">
            <v>7100988603</v>
          </cell>
          <cell r="C964" t="str">
            <v>G2507-0928</v>
          </cell>
          <cell r="D964" t="str">
            <v>000042944044140020</v>
          </cell>
          <cell r="E964" t="str">
            <v>十字槽盘头螺钉</v>
          </cell>
          <cell r="F964" t="str">
            <v>GB/T818-2016</v>
          </cell>
          <cell r="G964" t="str">
            <v>M3×10</v>
          </cell>
          <cell r="H964" t="str">
            <v>4.8</v>
          </cell>
          <cell r="I964" t="str">
            <v>Ep·Zn·c2C</v>
          </cell>
          <cell r="J964" t="str">
            <v>ML25</v>
          </cell>
          <cell r="K964">
            <v>461</v>
          </cell>
          <cell r="L964">
            <v>45873</v>
          </cell>
          <cell r="M964" t="str">
            <v>3-配货完成</v>
          </cell>
        </row>
        <row r="964">
          <cell r="O964">
            <v>0</v>
          </cell>
          <cell r="P964" t="str">
            <v>重庆红宇精密工业集团有限公司</v>
          </cell>
          <cell r="Q964" t="str">
            <v>20</v>
          </cell>
        </row>
        <row r="964">
          <cell r="U964" t="str">
            <v>010000844060</v>
          </cell>
          <cell r="V964" t="str">
            <v>PANQIFANG</v>
          </cell>
          <cell r="W964" t="str">
            <v/>
          </cell>
          <cell r="X964" t="str">
            <v>CP-108-A</v>
          </cell>
          <cell r="Y964" t="str">
            <v/>
          </cell>
          <cell r="Z964" t="str">
            <v>1902</v>
          </cell>
          <cell r="AA964" t="str">
            <v>1100149917</v>
          </cell>
          <cell r="AB964">
            <v>500</v>
          </cell>
          <cell r="AC964" t="str">
            <v/>
          </cell>
          <cell r="AD964">
            <v>0.68</v>
          </cell>
          <cell r="AE964" t="str">
            <v>G-100015451-250709-0045</v>
          </cell>
        </row>
        <row r="965">
          <cell r="B965" t="str">
            <v>7100988788</v>
          </cell>
          <cell r="C965" t="str">
            <v>G2501-9074</v>
          </cell>
          <cell r="D965" t="str">
            <v>000042944044079369</v>
          </cell>
          <cell r="E965" t="str">
            <v>十字槽小盘头螺钉</v>
          </cell>
          <cell r="F965" t="str">
            <v>GB/T823-2016</v>
          </cell>
          <cell r="G965" t="str">
            <v>M4×6</v>
          </cell>
          <cell r="H965" t="str">
            <v>A1-50</v>
          </cell>
          <cell r="I965" t="str">
            <v>ECP</v>
          </cell>
          <cell r="J965" t="str">
            <v>ML1Cr18Ni9Ti</v>
          </cell>
          <cell r="K965">
            <v>9200</v>
          </cell>
          <cell r="L965">
            <v>45873</v>
          </cell>
          <cell r="M965" t="str">
            <v>4-检验完成</v>
          </cell>
        </row>
        <row r="965">
          <cell r="O965">
            <v>0</v>
          </cell>
          <cell r="P965" t="str">
            <v>重庆红宇精密工业集团有限公司</v>
          </cell>
          <cell r="Q965" t="str">
            <v>30</v>
          </cell>
          <cell r="R965">
            <v>45873</v>
          </cell>
        </row>
        <row r="965">
          <cell r="U965" t="str">
            <v>010000777872</v>
          </cell>
          <cell r="V965" t="str">
            <v>PANQIFANG</v>
          </cell>
          <cell r="W965" t="str">
            <v/>
          </cell>
          <cell r="X965" t="str">
            <v>CP-108-A</v>
          </cell>
          <cell r="Y965" t="str">
            <v/>
          </cell>
          <cell r="Z965" t="str">
            <v>1902</v>
          </cell>
          <cell r="AA965" t="str">
            <v>1100139595</v>
          </cell>
          <cell r="AB965">
            <v>9200</v>
          </cell>
          <cell r="AC965" t="str">
            <v/>
          </cell>
          <cell r="AD965">
            <v>0.57</v>
          </cell>
          <cell r="AE965" t="str">
            <v>G-100015451-250102-0001</v>
          </cell>
        </row>
        <row r="966">
          <cell r="B966" t="str">
            <v>7100988789</v>
          </cell>
          <cell r="C966" t="str">
            <v>G2501-9074</v>
          </cell>
          <cell r="D966" t="str">
            <v>000042944044079369</v>
          </cell>
          <cell r="E966" t="str">
            <v>十字槽小盘头螺钉</v>
          </cell>
          <cell r="F966" t="str">
            <v>GB/T823-2016</v>
          </cell>
          <cell r="G966" t="str">
            <v>M4×6</v>
          </cell>
          <cell r="H966" t="str">
            <v>A1-50</v>
          </cell>
          <cell r="I966" t="str">
            <v>ECP</v>
          </cell>
          <cell r="J966" t="str">
            <v>ML1Cr18Ni9Ti</v>
          </cell>
          <cell r="K966">
            <v>8790</v>
          </cell>
          <cell r="L966">
            <v>45873</v>
          </cell>
          <cell r="M966" t="str">
            <v>4-检验完成</v>
          </cell>
        </row>
        <row r="966">
          <cell r="O966">
            <v>0</v>
          </cell>
          <cell r="P966" t="str">
            <v>重庆红宇精密工业集团有限公司</v>
          </cell>
          <cell r="Q966" t="str">
            <v>40</v>
          </cell>
          <cell r="R966">
            <v>45873</v>
          </cell>
        </row>
        <row r="966">
          <cell r="U966" t="str">
            <v>010000777872</v>
          </cell>
          <cell r="V966" t="str">
            <v>PANQIFANG</v>
          </cell>
          <cell r="W966" t="str">
            <v/>
          </cell>
          <cell r="X966" t="str">
            <v>CP-108-A</v>
          </cell>
          <cell r="Y966" t="str">
            <v/>
          </cell>
          <cell r="Z966" t="str">
            <v>1902</v>
          </cell>
          <cell r="AA966" t="str">
            <v>1100139596</v>
          </cell>
          <cell r="AB966">
            <v>35900</v>
          </cell>
          <cell r="AC966" t="str">
            <v/>
          </cell>
          <cell r="AD966">
            <v>0.57</v>
          </cell>
          <cell r="AE966" t="str">
            <v>G-100015451-250102-0002</v>
          </cell>
        </row>
        <row r="967">
          <cell r="B967" t="str">
            <v>7100988920</v>
          </cell>
          <cell r="C967" t="str">
            <v>G2502-9062</v>
          </cell>
          <cell r="D967" t="str">
            <v>000042944044018456</v>
          </cell>
          <cell r="E967" t="str">
            <v>十字槽沉头螺钉</v>
          </cell>
          <cell r="F967" t="str">
            <v>GB/T819.2-2016</v>
          </cell>
          <cell r="G967" t="str">
            <v>M4×8</v>
          </cell>
          <cell r="H967" t="str">
            <v>A2-70</v>
          </cell>
          <cell r="I967" t="str">
            <v>ECP</v>
          </cell>
          <cell r="J967" t="str">
            <v>ML1Cr18Ni9Ti</v>
          </cell>
          <cell r="K967">
            <v>1778</v>
          </cell>
          <cell r="L967">
            <v>45873</v>
          </cell>
          <cell r="M967" t="str">
            <v>3-配货完成</v>
          </cell>
        </row>
        <row r="967">
          <cell r="O967">
            <v>0</v>
          </cell>
          <cell r="P967" t="str">
            <v>重庆红宇精密工业集团有限公司</v>
          </cell>
          <cell r="Q967" t="str">
            <v>50</v>
          </cell>
        </row>
        <row r="967">
          <cell r="U967" t="str">
            <v>010000793191</v>
          </cell>
          <cell r="V967" t="str">
            <v>PANQIFANG</v>
          </cell>
          <cell r="W967" t="str">
            <v/>
          </cell>
          <cell r="X967" t="str">
            <v>CP-108-A</v>
          </cell>
          <cell r="Y967" t="str">
            <v/>
          </cell>
          <cell r="Z967" t="str">
            <v>1902</v>
          </cell>
          <cell r="AA967" t="str">
            <v>1100147165</v>
          </cell>
          <cell r="AB967">
            <v>2000</v>
          </cell>
          <cell r="AC967" t="str">
            <v/>
          </cell>
          <cell r="AD967">
            <v>0.57</v>
          </cell>
          <cell r="AE967" t="str">
            <v>G-100015451-250516-0033</v>
          </cell>
        </row>
        <row r="968">
          <cell r="B968" t="str">
            <v>7100988974</v>
          </cell>
          <cell r="C968" t="str">
            <v>G2501-9072</v>
          </cell>
          <cell r="D968" t="str">
            <v>000042944044079369</v>
          </cell>
          <cell r="E968" t="str">
            <v>十字槽小盘头螺钉</v>
          </cell>
          <cell r="F968" t="str">
            <v>GB/T823-2016</v>
          </cell>
          <cell r="G968" t="str">
            <v>M4×6</v>
          </cell>
          <cell r="H968" t="str">
            <v>A1-50</v>
          </cell>
          <cell r="I968" t="str">
            <v>ECP</v>
          </cell>
          <cell r="J968" t="str">
            <v>ML1Cr18Ni9Ti</v>
          </cell>
          <cell r="K968">
            <v>9058</v>
          </cell>
          <cell r="L968">
            <v>45873</v>
          </cell>
          <cell r="M968" t="str">
            <v>3-配货完成</v>
          </cell>
        </row>
        <row r="968">
          <cell r="O968">
            <v>0</v>
          </cell>
          <cell r="P968" t="str">
            <v>重庆红宇精密工业集团有限公司</v>
          </cell>
          <cell r="Q968" t="str">
            <v>40</v>
          </cell>
        </row>
        <row r="968">
          <cell r="U968" t="str">
            <v>010000777870</v>
          </cell>
          <cell r="V968" t="str">
            <v>PANQIFANG</v>
          </cell>
          <cell r="W968" t="str">
            <v/>
          </cell>
          <cell r="X968" t="str">
            <v>CP-108-A</v>
          </cell>
          <cell r="Y968" t="str">
            <v/>
          </cell>
          <cell r="Z968" t="str">
            <v>1902</v>
          </cell>
          <cell r="AA968" t="str">
            <v>1100139596</v>
          </cell>
          <cell r="AB968">
            <v>35900</v>
          </cell>
          <cell r="AC968" t="str">
            <v/>
          </cell>
          <cell r="AD968">
            <v>0.57</v>
          </cell>
          <cell r="AE968" t="str">
            <v>G-100015451-250102-0002</v>
          </cell>
        </row>
        <row r="969">
          <cell r="B969" t="str">
            <v>7100989245</v>
          </cell>
          <cell r="C969" t="str">
            <v>G2506-1467</v>
          </cell>
          <cell r="D969" t="str">
            <v>000042944439000607</v>
          </cell>
          <cell r="E969" t="str">
            <v>大垫圈</v>
          </cell>
          <cell r="F969" t="str">
            <v>GB/T96.1-2002</v>
          </cell>
          <cell r="G969" t="str">
            <v>5</v>
          </cell>
          <cell r="H969" t="str">
            <v>200HV</v>
          </cell>
          <cell r="I969" t="str">
            <v>Ep·Zn·c2C</v>
          </cell>
          <cell r="J969" t="str">
            <v>45</v>
          </cell>
          <cell r="K969">
            <v>200</v>
          </cell>
          <cell r="L969">
            <v>45874</v>
          </cell>
          <cell r="M969" t="str">
            <v>3-配货完成</v>
          </cell>
        </row>
        <row r="969">
          <cell r="O969">
            <v>0</v>
          </cell>
          <cell r="P969" t="str">
            <v>重庆红宇精密工业集团有限公司</v>
          </cell>
          <cell r="Q969" t="str">
            <v>20</v>
          </cell>
        </row>
        <row r="969">
          <cell r="U969" t="str">
            <v>010000836360</v>
          </cell>
          <cell r="V969" t="str">
            <v>PANQIFANG</v>
          </cell>
          <cell r="W969" t="str">
            <v/>
          </cell>
          <cell r="X969" t="str">
            <v>CP-108-A</v>
          </cell>
          <cell r="Y969" t="str">
            <v/>
          </cell>
          <cell r="Z969" t="str">
            <v>1902</v>
          </cell>
          <cell r="AA969" t="str">
            <v>1100148839</v>
          </cell>
          <cell r="AB969">
            <v>200</v>
          </cell>
          <cell r="AC969" t="str">
            <v/>
          </cell>
          <cell r="AD969">
            <v>0.68</v>
          </cell>
          <cell r="AE969" t="str">
            <v>G-100015451-250617-0039</v>
          </cell>
        </row>
        <row r="970">
          <cell r="B970" t="str">
            <v>7100987164</v>
          </cell>
          <cell r="C970" t="str">
            <v>G2311-0316</v>
          </cell>
          <cell r="D970" t="str">
            <v>000042944401000445</v>
          </cell>
          <cell r="E970" t="str">
            <v>平垫圈</v>
          </cell>
          <cell r="F970" t="str">
            <v>GB/T97.1-2002</v>
          </cell>
          <cell r="G970" t="str">
            <v>5</v>
          </cell>
          <cell r="H970" t="str">
            <v>200HV</v>
          </cell>
          <cell r="I970" t="str">
            <v>ECP</v>
          </cell>
          <cell r="J970" t="str">
            <v>1Cr18Ni9Ti</v>
          </cell>
          <cell r="K970">
            <v>2500</v>
          </cell>
          <cell r="L970">
            <v>45869</v>
          </cell>
          <cell r="M970" t="str">
            <v>4-检验完成</v>
          </cell>
        </row>
        <row r="970">
          <cell r="O970">
            <v>0</v>
          </cell>
          <cell r="P970" t="str">
            <v>重庆红宇精密工业集团有限公司</v>
          </cell>
          <cell r="Q970" t="str">
            <v>30</v>
          </cell>
          <cell r="R970">
            <v>45871</v>
          </cell>
        </row>
        <row r="970">
          <cell r="U970" t="str">
            <v>010000648524</v>
          </cell>
          <cell r="V970" t="str">
            <v>PANQIFANG</v>
          </cell>
          <cell r="W970" t="str">
            <v/>
          </cell>
          <cell r="X970" t="str">
            <v>CP-C7-5-1-3</v>
          </cell>
          <cell r="Y970" t="str">
            <v/>
          </cell>
          <cell r="Z970" t="str">
            <v>1902</v>
          </cell>
          <cell r="AA970" t="str">
            <v>1100149492</v>
          </cell>
          <cell r="AB970">
            <v>2500</v>
          </cell>
          <cell r="AC970" t="str">
            <v/>
          </cell>
          <cell r="AD970">
            <v>0.57</v>
          </cell>
          <cell r="AE970" t="str">
            <v>G-100015451-250701-0043</v>
          </cell>
        </row>
        <row r="971">
          <cell r="B971" t="str">
            <v>7100988603</v>
          </cell>
          <cell r="C971" t="str">
            <v>G2507-0928</v>
          </cell>
          <cell r="D971" t="str">
            <v>000042944044140020</v>
          </cell>
          <cell r="E971" t="str">
            <v>十字槽盘头螺钉</v>
          </cell>
          <cell r="F971" t="str">
            <v>GB/T818-2016</v>
          </cell>
          <cell r="G971" t="str">
            <v>M3×10</v>
          </cell>
          <cell r="H971" t="str">
            <v>4.8</v>
          </cell>
          <cell r="I971" t="str">
            <v>Ep·Zn·c2C</v>
          </cell>
          <cell r="J971" t="str">
            <v>ML25</v>
          </cell>
          <cell r="K971">
            <v>461</v>
          </cell>
          <cell r="L971">
            <v>45873</v>
          </cell>
          <cell r="M971" t="str">
            <v>4-检验完成</v>
          </cell>
        </row>
        <row r="971">
          <cell r="O971">
            <v>0</v>
          </cell>
          <cell r="P971" t="str">
            <v>重庆红宇精密工业集团有限公司</v>
          </cell>
          <cell r="Q971" t="str">
            <v>20</v>
          </cell>
          <cell r="R971">
            <v>45874</v>
          </cell>
        </row>
        <row r="971">
          <cell r="U971" t="str">
            <v>010000844060</v>
          </cell>
          <cell r="V971" t="str">
            <v>PANQIFANG</v>
          </cell>
          <cell r="W971" t="str">
            <v/>
          </cell>
          <cell r="X971" t="str">
            <v>CP-108-A</v>
          </cell>
          <cell r="Y971" t="str">
            <v/>
          </cell>
          <cell r="Z971" t="str">
            <v>1902</v>
          </cell>
          <cell r="AA971" t="str">
            <v>1100149917</v>
          </cell>
          <cell r="AB971">
            <v>500</v>
          </cell>
          <cell r="AC971" t="str">
            <v/>
          </cell>
          <cell r="AD971">
            <v>0.68</v>
          </cell>
          <cell r="AE971" t="str">
            <v>G-100015451-250709-0045</v>
          </cell>
        </row>
        <row r="972">
          <cell r="B972" t="str">
            <v>7100989775</v>
          </cell>
          <cell r="C972" t="str">
            <v>G2507-1010</v>
          </cell>
          <cell r="D972" t="str">
            <v>000042944160111382</v>
          </cell>
          <cell r="E972" t="str">
            <v>十字槽盘头螺钉</v>
          </cell>
          <cell r="F972" t="str">
            <v>GB/T818-2016</v>
          </cell>
          <cell r="G972" t="str">
            <v>M3×6</v>
          </cell>
          <cell r="H972" t="str">
            <v>4.8</v>
          </cell>
          <cell r="I972" t="str">
            <v>Ep·Zn·c2C</v>
          </cell>
          <cell r="J972" t="str">
            <v>ML25</v>
          </cell>
          <cell r="K972">
            <v>400</v>
          </cell>
          <cell r="L972">
            <v>45875</v>
          </cell>
          <cell r="M972" t="str">
            <v>4-检验完成</v>
          </cell>
        </row>
        <row r="972">
          <cell r="O972">
            <v>0</v>
          </cell>
          <cell r="P972" t="str">
            <v>重庆红宇精密工业集团有限公司</v>
          </cell>
          <cell r="Q972" t="str">
            <v>40</v>
          </cell>
          <cell r="R972">
            <v>45876</v>
          </cell>
        </row>
        <row r="972">
          <cell r="U972" t="str">
            <v>010000844727</v>
          </cell>
          <cell r="V972" t="str">
            <v>PANQIFANG</v>
          </cell>
          <cell r="W972" t="str">
            <v/>
          </cell>
          <cell r="X972" t="str">
            <v>CP-108-A</v>
          </cell>
          <cell r="Y972" t="str">
            <v/>
          </cell>
          <cell r="Z972" t="str">
            <v>1902</v>
          </cell>
          <cell r="AA972" t="str">
            <v>1100149917</v>
          </cell>
          <cell r="AB972">
            <v>400</v>
          </cell>
          <cell r="AC972" t="str">
            <v/>
          </cell>
          <cell r="AD972">
            <v>0.68</v>
          </cell>
          <cell r="AE972" t="str">
            <v>G-100015451-250709-0045</v>
          </cell>
        </row>
        <row r="973">
          <cell r="B973">
            <v>7100990370</v>
          </cell>
          <cell r="C973" t="str">
            <v>G2508-0296</v>
          </cell>
          <cell r="D973">
            <v>42944039000064</v>
          </cell>
          <cell r="E973" t="str">
            <v>普通型有折断槽钢丝螺套</v>
          </cell>
          <cell r="F973" t="str">
            <v>GJB119.1A-2001</v>
          </cell>
          <cell r="G973" t="str">
            <v>3×0.5×4</v>
          </cell>
        </row>
        <row r="973">
          <cell r="I973" t="str">
            <v>Ep·Cd·c2C</v>
          </cell>
          <cell r="J973" t="str">
            <v>1Cr18Ni9Ti</v>
          </cell>
          <cell r="K973">
            <v>498</v>
          </cell>
          <cell r="L973">
            <v>45877</v>
          </cell>
          <cell r="M973" t="str">
            <v>3-配货完成</v>
          </cell>
        </row>
        <row r="973">
          <cell r="P973" t="str">
            <v>重庆红宇精密工业集团有限公司</v>
          </cell>
          <cell r="Q973">
            <v>30</v>
          </cell>
        </row>
        <row r="973">
          <cell r="U973">
            <v>10000852230</v>
          </cell>
          <cell r="V973" t="str">
            <v>PANQIFANG</v>
          </cell>
        </row>
        <row r="973">
          <cell r="X973" t="str">
            <v>CP-108-A</v>
          </cell>
        </row>
        <row r="973">
          <cell r="Z973">
            <v>1902</v>
          </cell>
          <cell r="AA973">
            <v>1100148839</v>
          </cell>
          <cell r="AB973">
            <v>2000</v>
          </cell>
        </row>
        <row r="973">
          <cell r="AD973">
            <v>5.84</v>
          </cell>
          <cell r="AE973" t="str">
            <v>G-100015451-250617-0039</v>
          </cell>
        </row>
        <row r="974">
          <cell r="B974">
            <v>7100990369</v>
          </cell>
          <cell r="C974" t="str">
            <v>G2508-0296</v>
          </cell>
          <cell r="D974">
            <v>42944039000064</v>
          </cell>
          <cell r="E974" t="str">
            <v>普通型有折断槽钢丝螺套</v>
          </cell>
          <cell r="F974" t="str">
            <v>GJB119.1A-2001</v>
          </cell>
          <cell r="G974" t="str">
            <v>3×0.5×4</v>
          </cell>
        </row>
        <row r="974">
          <cell r="I974" t="str">
            <v>Ep·Cd·c2C</v>
          </cell>
          <cell r="J974" t="str">
            <v>1Cr18Ni9Ti</v>
          </cell>
          <cell r="K974">
            <v>1400</v>
          </cell>
          <cell r="L974">
            <v>45877</v>
          </cell>
          <cell r="M974" t="str">
            <v>3-配货完成</v>
          </cell>
        </row>
        <row r="974">
          <cell r="P974" t="str">
            <v>重庆红宇精密工业集团有限公司</v>
          </cell>
          <cell r="Q974">
            <v>10</v>
          </cell>
        </row>
        <row r="974">
          <cell r="U974">
            <v>10000852230</v>
          </cell>
          <cell r="V974" t="str">
            <v>PANQIFANG</v>
          </cell>
        </row>
        <row r="974">
          <cell r="X974" t="str">
            <v>CP-108-A</v>
          </cell>
        </row>
        <row r="974">
          <cell r="Z974">
            <v>1902</v>
          </cell>
          <cell r="AA974">
            <v>1100148743</v>
          </cell>
          <cell r="AB974">
            <v>2000</v>
          </cell>
        </row>
        <row r="974">
          <cell r="AD974">
            <v>5.84</v>
          </cell>
          <cell r="AE974" t="str">
            <v>G-100015451-250613-0037</v>
          </cell>
        </row>
        <row r="975">
          <cell r="B975" t="str">
            <v>7100992623</v>
          </cell>
          <cell r="C975" t="str">
            <v>G2503-2795</v>
          </cell>
          <cell r="D975" t="str">
            <v>000042944044008983</v>
          </cell>
          <cell r="E975" t="str">
            <v>钛合金十字槽沉头螺钉</v>
          </cell>
          <cell r="F975" t="str">
            <v>QJ2584-1993</v>
          </cell>
          <cell r="G975" t="str">
            <v>M5×6</v>
          </cell>
          <cell r="H975" t="str">
            <v>σb≥800MPa</v>
          </cell>
          <cell r="I975" t="str">
            <v>蓝色阳极氧化</v>
          </cell>
          <cell r="J975" t="str">
            <v>TB3</v>
          </cell>
          <cell r="K975">
            <v>78</v>
          </cell>
          <cell r="L975">
            <v>45883</v>
          </cell>
          <cell r="M975" t="str">
            <v>3-配货完成</v>
          </cell>
        </row>
        <row r="975">
          <cell r="O975">
            <v>0</v>
          </cell>
          <cell r="P975" t="str">
            <v>重庆红宇精密工业集团有限公司</v>
          </cell>
          <cell r="Q975" t="str">
            <v>70</v>
          </cell>
        </row>
        <row r="975">
          <cell r="U975" t="str">
            <v>010000802309</v>
          </cell>
          <cell r="V975" t="str">
            <v>PANQIFANG</v>
          </cell>
          <cell r="W975" t="str">
            <v/>
          </cell>
          <cell r="X975" t="str">
            <v>CP-108-A</v>
          </cell>
          <cell r="Y975" t="str">
            <v/>
          </cell>
          <cell r="Z975" t="str">
            <v>1902</v>
          </cell>
          <cell r="AA975" t="str">
            <v>1100137282</v>
          </cell>
          <cell r="AB975">
            <v>400</v>
          </cell>
          <cell r="AC975" t="str">
            <v/>
          </cell>
          <cell r="AD975">
            <v>9</v>
          </cell>
          <cell r="AE975" t="str">
            <v>G-100015451-241115-0044</v>
          </cell>
        </row>
        <row r="976">
          <cell r="B976" t="str">
            <v>7100991614</v>
          </cell>
          <cell r="C976" t="str">
            <v>G2505-1564</v>
          </cell>
          <cell r="D976" t="str">
            <v>000042944288000566</v>
          </cell>
          <cell r="E976" t="str">
            <v>双耳托板自锁螺母</v>
          </cell>
          <cell r="F976" t="str">
            <v>GB930-1988</v>
          </cell>
          <cell r="G976" t="str">
            <v>M5</v>
          </cell>
          <cell r="H976" t="str">
            <v>33-39HRC</v>
          </cell>
          <cell r="I976" t="str">
            <v>Ep·Cd·c2C</v>
          </cell>
          <cell r="J976" t="str">
            <v>ML25</v>
          </cell>
          <cell r="K976">
            <v>300</v>
          </cell>
          <cell r="L976">
            <v>45881</v>
          </cell>
          <cell r="M976" t="str">
            <v>4-检验完成</v>
          </cell>
        </row>
        <row r="976">
          <cell r="O976">
            <v>0</v>
          </cell>
          <cell r="P976" t="str">
            <v>重庆红宇精密工业集团有限公司</v>
          </cell>
          <cell r="Q976" t="str">
            <v>20</v>
          </cell>
          <cell r="R976">
            <v>45882</v>
          </cell>
        </row>
        <row r="976">
          <cell r="U976" t="str">
            <v>010000827826</v>
          </cell>
          <cell r="V976" t="str">
            <v>PANQIFANG</v>
          </cell>
          <cell r="W976" t="str">
            <v/>
          </cell>
          <cell r="X976" t="str">
            <v>CP-108-A</v>
          </cell>
          <cell r="Y976" t="str">
            <v/>
          </cell>
          <cell r="Z976" t="str">
            <v>1902</v>
          </cell>
          <cell r="AA976" t="str">
            <v>1100145525</v>
          </cell>
          <cell r="AB976">
            <v>300</v>
          </cell>
          <cell r="AC976" t="str">
            <v/>
          </cell>
          <cell r="AD976">
            <v>3.39</v>
          </cell>
          <cell r="AE976" t="str">
            <v>G-100015451-250417-0027</v>
          </cell>
        </row>
        <row r="977">
          <cell r="B977" t="str">
            <v>7100991290</v>
          </cell>
          <cell r="C977" t="str">
            <v>G2502-9065</v>
          </cell>
          <cell r="D977" t="str">
            <v>000042944044018456</v>
          </cell>
          <cell r="E977" t="str">
            <v>十字槽沉头螺钉</v>
          </cell>
          <cell r="F977" t="str">
            <v>GB/T819.2-2016</v>
          </cell>
          <cell r="G977" t="str">
            <v>M4×8</v>
          </cell>
          <cell r="H977" t="str">
            <v>A2-70</v>
          </cell>
          <cell r="I977" t="str">
            <v>ECP</v>
          </cell>
          <cell r="J977" t="str">
            <v>ML1Cr18Ni9Ti</v>
          </cell>
          <cell r="K977">
            <v>1904</v>
          </cell>
          <cell r="L977">
            <v>45880</v>
          </cell>
          <cell r="M977" t="str">
            <v>4-检验完成</v>
          </cell>
        </row>
        <row r="977">
          <cell r="O977">
            <v>0</v>
          </cell>
          <cell r="P977" t="str">
            <v>重庆红宇精密工业集团有限公司</v>
          </cell>
          <cell r="Q977" t="str">
            <v>50</v>
          </cell>
          <cell r="R977">
            <v>45882</v>
          </cell>
        </row>
        <row r="977">
          <cell r="U977" t="str">
            <v>010000793195</v>
          </cell>
          <cell r="V977" t="str">
            <v>PANQIFANG</v>
          </cell>
          <cell r="W977" t="str">
            <v/>
          </cell>
          <cell r="X977" t="str">
            <v>CP-108-A</v>
          </cell>
          <cell r="Y977" t="str">
            <v/>
          </cell>
          <cell r="Z977" t="str">
            <v>1902</v>
          </cell>
          <cell r="AA977" t="str">
            <v>1100139596</v>
          </cell>
          <cell r="AB977">
            <v>53800</v>
          </cell>
          <cell r="AC977" t="str">
            <v/>
          </cell>
          <cell r="AD977">
            <v>0.57</v>
          </cell>
          <cell r="AE977" t="str">
            <v>G-100015451-250102-0002</v>
          </cell>
        </row>
        <row r="978">
          <cell r="B978" t="str">
            <v>7100988603</v>
          </cell>
          <cell r="C978" t="str">
            <v>G2507-0928</v>
          </cell>
          <cell r="D978" t="str">
            <v>000042944044140020</v>
          </cell>
          <cell r="E978" t="str">
            <v>十字槽盘头螺钉</v>
          </cell>
          <cell r="F978" t="str">
            <v>GB/T818-2016</v>
          </cell>
          <cell r="G978" t="str">
            <v>M3×10</v>
          </cell>
          <cell r="H978" t="str">
            <v>4.8</v>
          </cell>
          <cell r="I978" t="str">
            <v>Ep·Zn·c2C</v>
          </cell>
          <cell r="J978" t="str">
            <v>ML25</v>
          </cell>
          <cell r="K978">
            <v>461</v>
          </cell>
          <cell r="L978">
            <v>45873</v>
          </cell>
          <cell r="M978" t="str">
            <v>4-检验完成</v>
          </cell>
        </row>
        <row r="978">
          <cell r="O978">
            <v>0</v>
          </cell>
          <cell r="P978" t="str">
            <v>重庆红宇精密工业集团有限公司</v>
          </cell>
          <cell r="Q978" t="str">
            <v>20</v>
          </cell>
          <cell r="R978">
            <v>45874</v>
          </cell>
        </row>
        <row r="978">
          <cell r="U978" t="str">
            <v>010000844060</v>
          </cell>
          <cell r="V978" t="str">
            <v>PANQIFANG</v>
          </cell>
          <cell r="W978" t="str">
            <v/>
          </cell>
          <cell r="X978" t="str">
            <v>CP-108-A</v>
          </cell>
          <cell r="Y978" t="str">
            <v/>
          </cell>
          <cell r="Z978" t="str">
            <v>1902</v>
          </cell>
          <cell r="AA978" t="str">
            <v>1100149917</v>
          </cell>
          <cell r="AB978">
            <v>500</v>
          </cell>
          <cell r="AC978" t="str">
            <v/>
          </cell>
          <cell r="AD978">
            <v>0.68</v>
          </cell>
          <cell r="AE978" t="str">
            <v>G-100015451-250709-0045</v>
          </cell>
        </row>
        <row r="979">
          <cell r="B979">
            <v>7100992623</v>
          </cell>
          <cell r="C979" t="str">
            <v>G2503-2795</v>
          </cell>
          <cell r="D979">
            <v>42944044008983</v>
          </cell>
          <cell r="E979" t="str">
            <v>钛合金十字槽沉头螺钉</v>
          </cell>
          <cell r="F979" t="str">
            <v>QJ2584-1993</v>
          </cell>
          <cell r="G979" t="str">
            <v>M5×6</v>
          </cell>
          <cell r="H979" t="str">
            <v>σb≥800MPa</v>
          </cell>
          <cell r="I979" t="str">
            <v>蓝色阳极氧化</v>
          </cell>
          <cell r="J979" t="str">
            <v>TB3</v>
          </cell>
          <cell r="K979">
            <v>78</v>
          </cell>
          <cell r="L979">
            <v>45883</v>
          </cell>
          <cell r="M979" t="str">
            <v>4-检验完成</v>
          </cell>
        </row>
        <row r="979">
          <cell r="P979" t="str">
            <v>重庆红宇精密工业集团有限公司</v>
          </cell>
          <cell r="Q979">
            <v>70</v>
          </cell>
          <cell r="R979">
            <v>45884</v>
          </cell>
        </row>
        <row r="979">
          <cell r="U979">
            <v>10000802309</v>
          </cell>
          <cell r="V979" t="str">
            <v>PANQIFANG</v>
          </cell>
        </row>
        <row r="979">
          <cell r="X979" t="str">
            <v>CP-108-A</v>
          </cell>
        </row>
        <row r="979">
          <cell r="Z979">
            <v>1902</v>
          </cell>
          <cell r="AA979">
            <v>1100137282</v>
          </cell>
          <cell r="AB979">
            <v>400</v>
          </cell>
        </row>
        <row r="979">
          <cell r="AD979">
            <v>9</v>
          </cell>
          <cell r="AE979" t="str">
            <v>G-100015451-241115-0044</v>
          </cell>
        </row>
        <row r="980">
          <cell r="B980">
            <v>7100991614</v>
          </cell>
          <cell r="C980" t="str">
            <v>G2505-1564</v>
          </cell>
          <cell r="D980">
            <v>42944288000566</v>
          </cell>
          <cell r="E980" t="str">
            <v>双耳托板自锁螺母</v>
          </cell>
          <cell r="F980" t="str">
            <v>GB930-1988</v>
          </cell>
          <cell r="G980" t="str">
            <v>M5</v>
          </cell>
          <cell r="H980" t="str">
            <v>33-39HRC</v>
          </cell>
          <cell r="I980" t="str">
            <v>Ep·Cd·c2C</v>
          </cell>
          <cell r="J980" t="str">
            <v>ML25</v>
          </cell>
          <cell r="K980">
            <v>300</v>
          </cell>
          <cell r="L980">
            <v>45881</v>
          </cell>
          <cell r="M980" t="str">
            <v>4-检验完成</v>
          </cell>
        </row>
        <row r="980">
          <cell r="P980" t="str">
            <v>重庆红宇精密工业集团有限公司</v>
          </cell>
          <cell r="Q980">
            <v>20</v>
          </cell>
          <cell r="R980">
            <v>45882</v>
          </cell>
        </row>
        <row r="980">
          <cell r="U980">
            <v>10000827826</v>
          </cell>
          <cell r="V980" t="str">
            <v>PANQIFANG</v>
          </cell>
        </row>
        <row r="980">
          <cell r="X980" t="str">
            <v>CP-108-A</v>
          </cell>
        </row>
        <row r="980">
          <cell r="Z980">
            <v>1902</v>
          </cell>
          <cell r="AA980">
            <v>1100145525</v>
          </cell>
          <cell r="AB980">
            <v>300</v>
          </cell>
        </row>
        <row r="980">
          <cell r="AD980">
            <v>3.39</v>
          </cell>
          <cell r="AE980" t="str">
            <v>G-100015451-250417-0027</v>
          </cell>
        </row>
        <row r="981">
          <cell r="B981" t="str">
            <v>7100995055</v>
          </cell>
          <cell r="C981" t="str">
            <v>G2507-1564</v>
          </cell>
          <cell r="D981" t="str">
            <v>000042944401156925</v>
          </cell>
          <cell r="E981" t="str">
            <v>平垫圈</v>
          </cell>
          <cell r="F981" t="str">
            <v>GB/T97.1-2002</v>
          </cell>
          <cell r="G981" t="str">
            <v>18</v>
          </cell>
          <cell r="H981" t="str">
            <v>200HV</v>
          </cell>
          <cell r="I981" t="str">
            <v>Ep·Zn-Ni·c2C</v>
          </cell>
          <cell r="J981" t="str">
            <v>30CrMnSiA</v>
          </cell>
          <cell r="K981">
            <v>3998</v>
          </cell>
          <cell r="L981">
            <v>45887</v>
          </cell>
          <cell r="M981" t="str">
            <v>4-检验完成</v>
          </cell>
        </row>
        <row r="981">
          <cell r="O981">
            <v>0</v>
          </cell>
          <cell r="P981" t="str">
            <v>重庆红宇精密工业集团有限公司</v>
          </cell>
          <cell r="Q981" t="str">
            <v>20</v>
          </cell>
          <cell r="R981">
            <v>45888</v>
          </cell>
        </row>
        <row r="981">
          <cell r="U981" t="str">
            <v>010000847021</v>
          </cell>
          <cell r="V981" t="str">
            <v>PANQIFANG</v>
          </cell>
          <cell r="W981" t="str">
            <v/>
          </cell>
          <cell r="X981" t="str">
            <v>CP-108-A</v>
          </cell>
          <cell r="Y981" t="str">
            <v/>
          </cell>
          <cell r="Z981" t="str">
            <v>1902</v>
          </cell>
          <cell r="AA981" t="str">
            <v>1100142033</v>
          </cell>
          <cell r="AB981">
            <v>4200</v>
          </cell>
          <cell r="AC981" t="str">
            <v/>
          </cell>
          <cell r="AD981">
            <v>2.71</v>
          </cell>
          <cell r="AE981" t="str">
            <v>G-100015451-250221-0009</v>
          </cell>
        </row>
        <row r="982">
          <cell r="B982" t="str">
            <v>7100988603</v>
          </cell>
          <cell r="C982" t="str">
            <v>G2507-0928</v>
          </cell>
          <cell r="D982" t="str">
            <v>000042944044140020</v>
          </cell>
          <cell r="E982" t="str">
            <v>十字槽盘头螺钉</v>
          </cell>
          <cell r="F982" t="str">
            <v>GB/T818-2016</v>
          </cell>
          <cell r="G982" t="str">
            <v>M3×10</v>
          </cell>
          <cell r="H982" t="str">
            <v>4.8</v>
          </cell>
          <cell r="I982" t="str">
            <v>Ep·Zn·c2C</v>
          </cell>
          <cell r="J982" t="str">
            <v>ML25</v>
          </cell>
          <cell r="K982">
            <v>461</v>
          </cell>
          <cell r="L982">
            <v>45873</v>
          </cell>
          <cell r="M982" t="str">
            <v>4-检验完成</v>
          </cell>
        </row>
        <row r="982">
          <cell r="O982">
            <v>0</v>
          </cell>
          <cell r="P982" t="str">
            <v>重庆红宇精密工业集团有限公司</v>
          </cell>
          <cell r="Q982" t="str">
            <v>20</v>
          </cell>
          <cell r="R982">
            <v>45874</v>
          </cell>
        </row>
        <row r="982">
          <cell r="U982" t="str">
            <v>010000844060</v>
          </cell>
          <cell r="V982" t="str">
            <v>PANQIFANG</v>
          </cell>
          <cell r="W982" t="str">
            <v/>
          </cell>
          <cell r="X982" t="str">
            <v>CP-108-A</v>
          </cell>
          <cell r="Y982" t="str">
            <v/>
          </cell>
          <cell r="Z982" t="str">
            <v>1902</v>
          </cell>
          <cell r="AA982" t="str">
            <v>1100149917</v>
          </cell>
          <cell r="AB982">
            <v>500</v>
          </cell>
          <cell r="AC982" t="str">
            <v/>
          </cell>
          <cell r="AD982">
            <v>0.68</v>
          </cell>
          <cell r="AE982" t="str">
            <v>G-100015451-250709-0045</v>
          </cell>
        </row>
        <row r="983">
          <cell r="B983" t="str">
            <v>7100997736</v>
          </cell>
          <cell r="C983" t="str">
            <v>G2507-1392</v>
          </cell>
          <cell r="D983" t="str">
            <v>000042944044157169</v>
          </cell>
          <cell r="E983" t="str">
            <v>十字槽盘头螺钉</v>
          </cell>
          <cell r="F983" t="str">
            <v>GB/T818-2016</v>
          </cell>
          <cell r="G983" t="str">
            <v>M3×4</v>
          </cell>
          <cell r="H983" t="str">
            <v>4.8</v>
          </cell>
          <cell r="I983" t="str">
            <v>Ep·Zn·c2C</v>
          </cell>
          <cell r="J983" t="str">
            <v>ML25</v>
          </cell>
          <cell r="K983">
            <v>800</v>
          </cell>
          <cell r="L983">
            <v>45892</v>
          </cell>
          <cell r="M983" t="str">
            <v>3-配货完成</v>
          </cell>
        </row>
        <row r="983">
          <cell r="O983">
            <v>0</v>
          </cell>
          <cell r="P983" t="str">
            <v>重庆红宇精密工业集团有限公司</v>
          </cell>
          <cell r="Q983" t="str">
            <v>10</v>
          </cell>
        </row>
        <row r="983">
          <cell r="U983" t="str">
            <v>010000846243</v>
          </cell>
          <cell r="V983" t="str">
            <v>PANQIFANG</v>
          </cell>
          <cell r="W983" t="str">
            <v/>
          </cell>
          <cell r="X983" t="str">
            <v>CP-108-A</v>
          </cell>
          <cell r="Y983" t="str">
            <v/>
          </cell>
          <cell r="Z983" t="str">
            <v>1902</v>
          </cell>
          <cell r="AA983" t="str">
            <v>1100150049</v>
          </cell>
          <cell r="AB983">
            <v>800</v>
          </cell>
          <cell r="AC983" t="str">
            <v/>
          </cell>
          <cell r="AD983">
            <v>0.68</v>
          </cell>
          <cell r="AE983" t="str">
            <v>G-100015451-250709-0047</v>
          </cell>
        </row>
        <row r="984">
          <cell r="B984">
            <v>7100998082</v>
          </cell>
          <cell r="C984" t="str">
            <v>G2507-9042</v>
          </cell>
          <cell r="D984">
            <v>42944044057726</v>
          </cell>
          <cell r="E984" t="str">
            <v>十字槽沉头螺钉</v>
          </cell>
          <cell r="F984" t="str">
            <v>GB/T819.2-2016</v>
          </cell>
          <cell r="G984" t="str">
            <v>M3×6</v>
          </cell>
          <cell r="H984" t="str">
            <v>A2-70</v>
          </cell>
          <cell r="I984" t="str">
            <v>ECP</v>
          </cell>
          <cell r="J984" t="str">
            <v>ML1Cr18Ni9Ti</v>
          </cell>
          <cell r="K984">
            <v>25</v>
          </cell>
          <cell r="L984">
            <v>45893</v>
          </cell>
          <cell r="M984" t="str">
            <v>3-配货完成</v>
          </cell>
        </row>
        <row r="984">
          <cell r="P984" t="str">
            <v>重庆红宇精密工业集团有限公司</v>
          </cell>
          <cell r="Q984">
            <v>10</v>
          </cell>
        </row>
        <row r="984">
          <cell r="U984">
            <v>10000848544</v>
          </cell>
          <cell r="V984" t="str">
            <v>PANQIFANG</v>
          </cell>
        </row>
        <row r="984">
          <cell r="X984" t="str">
            <v>CP-108-A</v>
          </cell>
        </row>
        <row r="984">
          <cell r="Z984">
            <v>1902</v>
          </cell>
          <cell r="AA984">
            <v>1100147364</v>
          </cell>
          <cell r="AB984">
            <v>5000</v>
          </cell>
        </row>
        <row r="984">
          <cell r="AD984">
            <v>0.57</v>
          </cell>
          <cell r="AE984" t="str">
            <v>G-100015451-250520-0035</v>
          </cell>
        </row>
        <row r="985">
          <cell r="B985" t="str">
            <v>7101001498</v>
          </cell>
          <cell r="C985" t="str">
            <v>G2501-2249</v>
          </cell>
          <cell r="D985" t="str">
            <v>000042944045000333</v>
          </cell>
          <cell r="E985" t="str">
            <v>开槽平端紧定螺钉</v>
          </cell>
          <cell r="F985" t="str">
            <v>GB73-1985</v>
          </cell>
          <cell r="G985" t="str">
            <v>M6×12</v>
          </cell>
          <cell r="H985" t="str">
            <v>A1-50</v>
          </cell>
          <cell r="I985" t="str">
            <v>ECP</v>
          </cell>
          <cell r="J985" t="str">
            <v>ML1Cr18Ni9Ti</v>
          </cell>
          <cell r="K985">
            <v>2900</v>
          </cell>
          <cell r="L985">
            <v>45901</v>
          </cell>
          <cell r="M985" t="str">
            <v>3-配货完成</v>
          </cell>
        </row>
        <row r="985">
          <cell r="O985">
            <v>0</v>
          </cell>
          <cell r="P985" t="str">
            <v>重庆红宇精密工业集团有限公司</v>
          </cell>
          <cell r="Q985" t="str">
            <v>10</v>
          </cell>
        </row>
        <row r="985">
          <cell r="U985" t="str">
            <v>010000777005</v>
          </cell>
          <cell r="V985" t="str">
            <v>PANQIFANG</v>
          </cell>
          <cell r="W985" t="str">
            <v/>
          </cell>
          <cell r="X985" t="str">
            <v>CP-108-A</v>
          </cell>
          <cell r="Y985" t="str">
            <v/>
          </cell>
          <cell r="Z985" t="str">
            <v>1902</v>
          </cell>
          <cell r="AA985" t="str">
            <v>1100139596</v>
          </cell>
          <cell r="AB985">
            <v>2900</v>
          </cell>
          <cell r="AC985" t="str">
            <v/>
          </cell>
          <cell r="AD985">
            <v>2.26</v>
          </cell>
          <cell r="AE985" t="str">
            <v>G-100015451-250102-0002</v>
          </cell>
        </row>
        <row r="986">
          <cell r="B986" t="str">
            <v>7101001195</v>
          </cell>
          <cell r="C986" t="str">
            <v>G2508-1270</v>
          </cell>
          <cell r="D986" t="str">
            <v>000042944044154349</v>
          </cell>
          <cell r="E986" t="str">
            <v>十字槽沉头螺钉</v>
          </cell>
          <cell r="F986" t="str">
            <v>GB/T819.2-2016</v>
          </cell>
          <cell r="G986" t="str">
            <v>M8×16</v>
          </cell>
          <cell r="H986" t="str">
            <v>A2-70</v>
          </cell>
          <cell r="I986" t="str">
            <v>ECP</v>
          </cell>
          <cell r="J986" t="str">
            <v>1Cr18Ni9Ti</v>
          </cell>
          <cell r="K986">
            <v>479</v>
          </cell>
          <cell r="L986">
            <v>45901</v>
          </cell>
          <cell r="M986" t="str">
            <v>3-配货完成</v>
          </cell>
        </row>
        <row r="986">
          <cell r="O986">
            <v>0</v>
          </cell>
          <cell r="P986" t="str">
            <v>重庆红宇精密工业集团有限公司</v>
          </cell>
          <cell r="Q986" t="str">
            <v>10</v>
          </cell>
        </row>
        <row r="986">
          <cell r="U986" t="str">
            <v>010000855630</v>
          </cell>
          <cell r="V986" t="str">
            <v>PANQIFANG</v>
          </cell>
          <cell r="W986" t="str">
            <v/>
          </cell>
          <cell r="X986" t="str">
            <v>CP-108-A</v>
          </cell>
          <cell r="Y986" t="str">
            <v/>
          </cell>
          <cell r="Z986" t="str">
            <v>1902</v>
          </cell>
          <cell r="AA986" t="str">
            <v>1100147162</v>
          </cell>
          <cell r="AB986">
            <v>2200</v>
          </cell>
          <cell r="AC986" t="str">
            <v/>
          </cell>
          <cell r="AD986">
            <v>2.03</v>
          </cell>
          <cell r="AE986" t="str">
            <v>G-100015451-250516-0034</v>
          </cell>
        </row>
        <row r="987">
          <cell r="B987" t="str">
            <v>7101002331</v>
          </cell>
          <cell r="C987" t="str">
            <v>G2507-0921</v>
          </cell>
          <cell r="D987" t="str">
            <v>000042944401000435</v>
          </cell>
          <cell r="E987" t="str">
            <v>平垫圈</v>
          </cell>
          <cell r="F987" t="str">
            <v>GB/T97.1-2002</v>
          </cell>
          <cell r="G987" t="str">
            <v>5</v>
          </cell>
          <cell r="H987" t="str">
            <v>200HV</v>
          </cell>
          <cell r="I987" t="str">
            <v>Ep·Zn·c2C</v>
          </cell>
          <cell r="J987" t="str">
            <v>20</v>
          </cell>
          <cell r="K987">
            <v>800</v>
          </cell>
          <cell r="L987">
            <v>45902</v>
          </cell>
          <cell r="M987" t="str">
            <v>3-配货完成</v>
          </cell>
        </row>
        <row r="987">
          <cell r="O987">
            <v>0</v>
          </cell>
          <cell r="P987" t="str">
            <v>重庆红宇精密工业集团有限公司</v>
          </cell>
          <cell r="Q987" t="str">
            <v>30</v>
          </cell>
        </row>
        <row r="987">
          <cell r="U987" t="str">
            <v>010000844049</v>
          </cell>
          <cell r="V987" t="str">
            <v>PANQIFANG</v>
          </cell>
          <cell r="W987" t="str">
            <v/>
          </cell>
          <cell r="X987" t="str">
            <v>CP-108-A</v>
          </cell>
          <cell r="Y987" t="str">
            <v/>
          </cell>
          <cell r="Z987" t="str">
            <v>1902</v>
          </cell>
          <cell r="AA987" t="str">
            <v>1100149917</v>
          </cell>
          <cell r="AB987">
            <v>800</v>
          </cell>
          <cell r="AC987" t="str">
            <v/>
          </cell>
          <cell r="AD987">
            <v>0.68</v>
          </cell>
          <cell r="AE987" t="str">
            <v>G-100015451-250709-0045</v>
          </cell>
        </row>
        <row r="988">
          <cell r="B988" t="str">
            <v>7101003401</v>
          </cell>
          <cell r="C988" t="str">
            <v>G2505-0996</v>
          </cell>
          <cell r="D988" t="str">
            <v>000042944044008986</v>
          </cell>
          <cell r="E988" t="str">
            <v>钛合金十字槽沉头螺钉</v>
          </cell>
          <cell r="F988" t="str">
            <v>QJ2584-1993</v>
          </cell>
          <cell r="G988" t="str">
            <v>M5×8</v>
          </cell>
          <cell r="H988" t="str">
            <v>σb≥800MPa</v>
          </cell>
          <cell r="I988" t="str">
            <v>蓝色阳极氧化</v>
          </cell>
          <cell r="J988" t="str">
            <v>TB3</v>
          </cell>
          <cell r="K988">
            <v>1597</v>
          </cell>
          <cell r="L988">
            <v>45904</v>
          </cell>
          <cell r="M988" t="str">
            <v>3-配货完成</v>
          </cell>
        </row>
        <row r="988">
          <cell r="O988">
            <v>0</v>
          </cell>
          <cell r="P988" t="str">
            <v>重庆红宇精密工业集团有限公司</v>
          </cell>
          <cell r="Q988" t="str">
            <v>20</v>
          </cell>
        </row>
        <row r="988">
          <cell r="U988" t="str">
            <v>010000825539</v>
          </cell>
          <cell r="V988" t="str">
            <v>PANQIFANG</v>
          </cell>
          <cell r="W988" t="str">
            <v/>
          </cell>
          <cell r="X988" t="str">
            <v>CP-108-A</v>
          </cell>
          <cell r="Y988" t="str">
            <v/>
          </cell>
          <cell r="Z988" t="str">
            <v>1902</v>
          </cell>
          <cell r="AA988" t="str">
            <v>1100147165</v>
          </cell>
          <cell r="AB988">
            <v>1600</v>
          </cell>
          <cell r="AC988" t="str">
            <v/>
          </cell>
          <cell r="AD988">
            <v>8.48</v>
          </cell>
          <cell r="AE988" t="str">
            <v>G-100015451-250516-0033</v>
          </cell>
        </row>
        <row r="989">
          <cell r="B989" t="str">
            <v>7101005133</v>
          </cell>
          <cell r="C989" t="str">
            <v>G2508-1148</v>
          </cell>
          <cell r="D989" t="str">
            <v>000042944044018456</v>
          </cell>
          <cell r="E989" t="str">
            <v>十字槽沉头螺钉</v>
          </cell>
          <cell r="F989" t="str">
            <v>GB/T819.2-2016</v>
          </cell>
          <cell r="G989" t="str">
            <v>M4×8</v>
          </cell>
          <cell r="H989" t="str">
            <v>A2-70</v>
          </cell>
          <cell r="I989" t="str">
            <v>ECP</v>
          </cell>
          <cell r="J989" t="str">
            <v>1Cr18Ni9Ti</v>
          </cell>
          <cell r="K989">
            <v>10892</v>
          </cell>
          <cell r="L989">
            <v>45908</v>
          </cell>
          <cell r="M989" t="str">
            <v>3-配货完成</v>
          </cell>
        </row>
        <row r="989">
          <cell r="O989">
            <v>0</v>
          </cell>
          <cell r="P989" t="str">
            <v>重庆红宇精密工业集团有限公司</v>
          </cell>
          <cell r="Q989" t="str">
            <v>50</v>
          </cell>
        </row>
        <row r="989">
          <cell r="U989" t="str">
            <v>010000855050</v>
          </cell>
          <cell r="V989" t="str">
            <v>PANQIFANG</v>
          </cell>
          <cell r="W989" t="str">
            <v/>
          </cell>
          <cell r="X989" t="str">
            <v>CP-108-A</v>
          </cell>
          <cell r="Y989" t="str">
            <v/>
          </cell>
          <cell r="Z989" t="str">
            <v>1902</v>
          </cell>
          <cell r="AA989" t="str">
            <v>1100139596</v>
          </cell>
          <cell r="AB989">
            <v>53800</v>
          </cell>
          <cell r="AC989" t="str">
            <v/>
          </cell>
          <cell r="AD989">
            <v>0.57</v>
          </cell>
          <cell r="AE989" t="str">
            <v>G-100015451-250102-0002</v>
          </cell>
        </row>
        <row r="990">
          <cell r="B990" t="str">
            <v>7101005132</v>
          </cell>
          <cell r="C990" t="str">
            <v>G2508-1279</v>
          </cell>
          <cell r="D990" t="str">
            <v>000042944044018456</v>
          </cell>
          <cell r="E990" t="str">
            <v>十字槽沉头螺钉</v>
          </cell>
          <cell r="F990" t="str">
            <v>GB/T819.2-2016</v>
          </cell>
          <cell r="G990" t="str">
            <v>M4×8</v>
          </cell>
          <cell r="H990" t="str">
            <v>A2-70</v>
          </cell>
          <cell r="I990" t="str">
            <v>ECP</v>
          </cell>
          <cell r="J990" t="str">
            <v>1Cr18Ni9Ti</v>
          </cell>
          <cell r="K990">
            <v>9792</v>
          </cell>
          <cell r="L990">
            <v>45908</v>
          </cell>
          <cell r="M990" t="str">
            <v>1-已打印</v>
          </cell>
        </row>
        <row r="990">
          <cell r="O990">
            <v>0</v>
          </cell>
          <cell r="P990" t="str">
            <v>重庆红宇精密工业集团有限公司</v>
          </cell>
          <cell r="Q990" t="str">
            <v>50</v>
          </cell>
        </row>
        <row r="990">
          <cell r="U990" t="str">
            <v>010000855529</v>
          </cell>
          <cell r="V990" t="str">
            <v/>
          </cell>
          <cell r="W990" t="str">
            <v/>
          </cell>
          <cell r="X990" t="str">
            <v>CP-108-A</v>
          </cell>
          <cell r="Y990" t="str">
            <v/>
          </cell>
          <cell r="Z990" t="str">
            <v>1902</v>
          </cell>
          <cell r="AA990" t="str">
            <v>1100139596</v>
          </cell>
          <cell r="AB990">
            <v>53800</v>
          </cell>
          <cell r="AC990" t="str">
            <v/>
          </cell>
          <cell r="AD990">
            <v>0.57</v>
          </cell>
          <cell r="AE990" t="str">
            <v>G-100015451-250102-0002</v>
          </cell>
        </row>
        <row r="991">
          <cell r="B991" t="str">
            <v>7101004506</v>
          </cell>
          <cell r="C991" t="str">
            <v>G2507-0361</v>
          </cell>
          <cell r="D991" t="str">
            <v>000042944044003022</v>
          </cell>
          <cell r="E991" t="str">
            <v>十字槽沉头螺钉</v>
          </cell>
          <cell r="F991" t="str">
            <v>GB/T819.2-1997</v>
          </cell>
          <cell r="G991" t="str">
            <v>M3×6</v>
          </cell>
          <cell r="H991" t="str">
            <v>8.8</v>
          </cell>
          <cell r="I991" t="str">
            <v>Ep·Zn·c2C</v>
          </cell>
          <cell r="J991" t="str">
            <v>ML30CrMnSiA</v>
          </cell>
          <cell r="K991">
            <v>6000</v>
          </cell>
          <cell r="L991">
            <v>45906</v>
          </cell>
          <cell r="M991" t="str">
            <v>3-配货完成</v>
          </cell>
        </row>
        <row r="991">
          <cell r="O991">
            <v>0</v>
          </cell>
          <cell r="P991" t="str">
            <v>重庆红宇精密工业集团有限公司</v>
          </cell>
          <cell r="Q991" t="str">
            <v>20</v>
          </cell>
        </row>
        <row r="991">
          <cell r="U991" t="str">
            <v>010000840687</v>
          </cell>
          <cell r="V991" t="str">
            <v>PANQIFANG</v>
          </cell>
          <cell r="W991" t="str">
            <v/>
          </cell>
          <cell r="X991" t="str">
            <v>CP-108-A</v>
          </cell>
          <cell r="Y991" t="str">
            <v/>
          </cell>
          <cell r="Z991" t="str">
            <v>1902</v>
          </cell>
          <cell r="AA991" t="str">
            <v>1100149492</v>
          </cell>
          <cell r="AB991">
            <v>6000</v>
          </cell>
          <cell r="AC991" t="str">
            <v/>
          </cell>
          <cell r="AD991">
            <v>0.68</v>
          </cell>
          <cell r="AE991" t="str">
            <v>G-100015451-250701-0043</v>
          </cell>
        </row>
        <row r="992">
          <cell r="B992" t="str">
            <v>7101006847</v>
          </cell>
          <cell r="C992" t="str">
            <v>G2507-0916</v>
          </cell>
          <cell r="D992" t="str">
            <v>000042944044074883</v>
          </cell>
          <cell r="E992" t="str">
            <v>十字槽沉头螺钉</v>
          </cell>
          <cell r="F992" t="str">
            <v>GB/T819.2-2016</v>
          </cell>
          <cell r="G992" t="str">
            <v>M3×6</v>
          </cell>
          <cell r="H992" t="str">
            <v>8.8</v>
          </cell>
          <cell r="I992" t="str">
            <v>Ep·Zn·c2C</v>
          </cell>
          <cell r="J992" t="str">
            <v>ML30CrMnSiA</v>
          </cell>
          <cell r="K992">
            <v>700</v>
          </cell>
          <cell r="L992">
            <v>45911</v>
          </cell>
          <cell r="M992" t="str">
            <v>3-配货完成</v>
          </cell>
        </row>
        <row r="992">
          <cell r="O992">
            <v>0</v>
          </cell>
          <cell r="P992" t="str">
            <v>重庆红宇精密工业集团有限公司</v>
          </cell>
          <cell r="Q992" t="str">
            <v>60</v>
          </cell>
        </row>
        <row r="992">
          <cell r="U992" t="str">
            <v>010000844044</v>
          </cell>
          <cell r="V992" t="str">
            <v>PANQIFANG</v>
          </cell>
          <cell r="W992" t="str">
            <v/>
          </cell>
          <cell r="X992" t="str">
            <v>CP-108-A</v>
          </cell>
          <cell r="Y992" t="str">
            <v/>
          </cell>
          <cell r="Z992" t="str">
            <v>1902</v>
          </cell>
          <cell r="AA992" t="str">
            <v>1100149917</v>
          </cell>
          <cell r="AB992">
            <v>700</v>
          </cell>
          <cell r="AC992" t="str">
            <v/>
          </cell>
          <cell r="AD992">
            <v>0.68</v>
          </cell>
          <cell r="AE992" t="str">
            <v>G-100015451-250709-0045</v>
          </cell>
        </row>
        <row r="993">
          <cell r="B993" t="str">
            <v>7101006514</v>
          </cell>
          <cell r="C993" t="str">
            <v>G2412-0122</v>
          </cell>
          <cell r="D993" t="str">
            <v>000042944044008986</v>
          </cell>
          <cell r="E993" t="str">
            <v>钛合金十字槽沉头螺钉</v>
          </cell>
          <cell r="F993" t="str">
            <v>QJ2584-1993</v>
          </cell>
          <cell r="G993" t="str">
            <v>M5×8</v>
          </cell>
          <cell r="H993" t="str">
            <v>σb≥800MPa</v>
          </cell>
          <cell r="I993" t="str">
            <v>蓝色阳极氧化</v>
          </cell>
          <cell r="J993" t="str">
            <v>TB3</v>
          </cell>
          <cell r="K993">
            <v>3</v>
          </cell>
          <cell r="L993">
            <v>45910</v>
          </cell>
          <cell r="M993" t="str">
            <v>4-检验完成</v>
          </cell>
        </row>
        <row r="993">
          <cell r="O993">
            <v>0</v>
          </cell>
          <cell r="P993" t="str">
            <v>重庆红宇精密工业集团有限公司</v>
          </cell>
          <cell r="Q993" t="str">
            <v>20</v>
          </cell>
          <cell r="R993">
            <v>45910</v>
          </cell>
        </row>
        <row r="993">
          <cell r="U993" t="str">
            <v>010000757626</v>
          </cell>
          <cell r="V993" t="str">
            <v>PANQIFANG</v>
          </cell>
          <cell r="W993" t="str">
            <v/>
          </cell>
          <cell r="X993" t="str">
            <v>CP-69-4-4-5</v>
          </cell>
          <cell r="Y993" t="str">
            <v/>
          </cell>
          <cell r="Z993" t="str">
            <v>1902</v>
          </cell>
          <cell r="AA993" t="str">
            <v>1100147165</v>
          </cell>
          <cell r="AB993">
            <v>1600</v>
          </cell>
          <cell r="AC993" t="str">
            <v/>
          </cell>
          <cell r="AD993">
            <v>8.48</v>
          </cell>
          <cell r="AE993" t="str">
            <v>G-100015451-250516-0033</v>
          </cell>
        </row>
        <row r="994">
          <cell r="B994" t="str">
            <v>7101009007</v>
          </cell>
          <cell r="C994" t="str">
            <v>G2508-1146</v>
          </cell>
          <cell r="D994" t="str">
            <v>000042944044018456</v>
          </cell>
          <cell r="E994" t="str">
            <v>十字槽沉头螺钉</v>
          </cell>
          <cell r="F994" t="str">
            <v>GB/T819.2-2016</v>
          </cell>
          <cell r="G994" t="str">
            <v>M4×8</v>
          </cell>
          <cell r="H994" t="str">
            <v>A2-70</v>
          </cell>
          <cell r="I994" t="str">
            <v>ECP</v>
          </cell>
          <cell r="J994" t="str">
            <v>1Cr18Ni9Ti</v>
          </cell>
          <cell r="K994">
            <v>10790</v>
          </cell>
          <cell r="L994">
            <v>45916</v>
          </cell>
          <cell r="M994" t="str">
            <v>1-已打印</v>
          </cell>
        </row>
        <row r="994">
          <cell r="O994">
            <v>0</v>
          </cell>
          <cell r="P994" t="str">
            <v>重庆红宇精密工业集团有限公司</v>
          </cell>
          <cell r="Q994" t="str">
            <v>50</v>
          </cell>
        </row>
        <row r="994">
          <cell r="U994" t="str">
            <v>010000855047</v>
          </cell>
          <cell r="V994" t="str">
            <v/>
          </cell>
          <cell r="W994" t="str">
            <v/>
          </cell>
          <cell r="X994" t="str">
            <v>CP-108-A</v>
          </cell>
          <cell r="Y994" t="str">
            <v/>
          </cell>
          <cell r="Z994" t="str">
            <v>1902</v>
          </cell>
          <cell r="AA994" t="str">
            <v>1100139596</v>
          </cell>
          <cell r="AB994">
            <v>53800</v>
          </cell>
          <cell r="AC994" t="str">
            <v/>
          </cell>
          <cell r="AD994">
            <v>0.57</v>
          </cell>
          <cell r="AE994" t="str">
            <v>G-100015451-250102-0002</v>
          </cell>
        </row>
        <row r="995">
          <cell r="B995" t="str">
            <v>7101008934</v>
          </cell>
          <cell r="C995" t="str">
            <v>G2508-1147</v>
          </cell>
          <cell r="D995" t="str">
            <v>000042944044018456</v>
          </cell>
          <cell r="E995" t="str">
            <v>十字槽沉头螺钉</v>
          </cell>
          <cell r="F995" t="str">
            <v>GB/T819.2-2016</v>
          </cell>
          <cell r="G995" t="str">
            <v>M4×8</v>
          </cell>
          <cell r="H995" t="str">
            <v>A2-70</v>
          </cell>
          <cell r="I995" t="str">
            <v>ECP</v>
          </cell>
          <cell r="J995" t="str">
            <v>1Cr18Ni9Ti</v>
          </cell>
          <cell r="K995">
            <v>10892</v>
          </cell>
          <cell r="L995">
            <v>45915</v>
          </cell>
          <cell r="M995" t="str">
            <v>3-配货完成</v>
          </cell>
        </row>
        <row r="995">
          <cell r="O995">
            <v>0</v>
          </cell>
          <cell r="P995" t="str">
            <v>重庆红宇精密工业集团有限公司</v>
          </cell>
          <cell r="Q995" t="str">
            <v>60</v>
          </cell>
        </row>
        <row r="995">
          <cell r="U995" t="str">
            <v>010000855048</v>
          </cell>
          <cell r="V995" t="str">
            <v>PANQIFANG</v>
          </cell>
          <cell r="W995" t="str">
            <v/>
          </cell>
          <cell r="X995" t="str">
            <v>CP-108-A</v>
          </cell>
          <cell r="Y995" t="str">
            <v/>
          </cell>
          <cell r="Z995" t="str">
            <v>1902</v>
          </cell>
          <cell r="AA995" t="str">
            <v>1100139595</v>
          </cell>
          <cell r="AB995">
            <v>22800</v>
          </cell>
          <cell r="AC995" t="str">
            <v/>
          </cell>
          <cell r="AD995">
            <v>0.57</v>
          </cell>
          <cell r="AE995" t="str">
            <v>G-100015451-250102-0001</v>
          </cell>
        </row>
        <row r="996">
          <cell r="B996" t="str">
            <v>7101008724</v>
          </cell>
          <cell r="C996" t="str">
            <v>G2412-1877</v>
          </cell>
          <cell r="D996" t="str">
            <v>000042944201108307</v>
          </cell>
          <cell r="E996" t="str">
            <v>六角头螺栓全螺纹</v>
          </cell>
          <cell r="F996" t="str">
            <v>GB/T5783-2000(CQHY)</v>
          </cell>
          <cell r="G996" t="str">
            <v>M20×70</v>
          </cell>
          <cell r="H996" t="str">
            <v>8.8</v>
          </cell>
          <cell r="I996" t="str">
            <v>Ep·Zn·c2C</v>
          </cell>
          <cell r="J996" t="str">
            <v>30CrMnSiA</v>
          </cell>
          <cell r="K996">
            <v>154</v>
          </cell>
          <cell r="L996">
            <v>45915</v>
          </cell>
          <cell r="M996" t="str">
            <v>3-配货完成</v>
          </cell>
        </row>
        <row r="996">
          <cell r="O996">
            <v>0</v>
          </cell>
          <cell r="P996" t="str">
            <v>重庆红宇精密工业集团有限公司</v>
          </cell>
          <cell r="Q996" t="str">
            <v>50</v>
          </cell>
        </row>
        <row r="996">
          <cell r="U996" t="str">
            <v>010000762047</v>
          </cell>
          <cell r="V996" t="str">
            <v>PANQIFANG</v>
          </cell>
          <cell r="W996" t="str">
            <v/>
          </cell>
          <cell r="X996" t="str">
            <v>CP-108-A</v>
          </cell>
          <cell r="Y996" t="str">
            <v/>
          </cell>
          <cell r="Z996" t="str">
            <v>1902</v>
          </cell>
          <cell r="AA996" t="str">
            <v>1100124558</v>
          </cell>
          <cell r="AB996">
            <v>5000</v>
          </cell>
          <cell r="AC996" t="str">
            <v/>
          </cell>
          <cell r="AD996">
            <v>29.38</v>
          </cell>
          <cell r="AE996" t="str">
            <v>G1007-240201-052</v>
          </cell>
        </row>
        <row r="997">
          <cell r="B997" t="str">
            <v>7101009484</v>
          </cell>
          <cell r="C997" t="str">
            <v>G2507-1844</v>
          </cell>
          <cell r="D997" t="str">
            <v>000042944044087023</v>
          </cell>
          <cell r="E997" t="str">
            <v>十字槽盘头螺钉</v>
          </cell>
          <cell r="F997" t="str">
            <v>GB/T818-2016</v>
          </cell>
          <cell r="G997" t="str">
            <v>M5×8</v>
          </cell>
          <cell r="H997" t="str">
            <v>A2-70</v>
          </cell>
          <cell r="I997" t="str">
            <v>ECP</v>
          </cell>
          <cell r="J997" t="str">
            <v>ML1Cr18Ni9Ti</v>
          </cell>
          <cell r="K997">
            <v>31</v>
          </cell>
          <cell r="L997">
            <v>45916</v>
          </cell>
          <cell r="M997" t="str">
            <v>3-配货完成</v>
          </cell>
        </row>
        <row r="997">
          <cell r="O997">
            <v>0</v>
          </cell>
          <cell r="P997" t="str">
            <v>重庆红宇精密工业集团有限公司</v>
          </cell>
          <cell r="Q997" t="str">
            <v>40</v>
          </cell>
        </row>
        <row r="997">
          <cell r="U997" t="str">
            <v>010000848171</v>
          </cell>
          <cell r="V997" t="str">
            <v>PANQIFANG</v>
          </cell>
          <cell r="W997" t="str">
            <v/>
          </cell>
          <cell r="X997" t="str">
            <v>CP-108-A</v>
          </cell>
          <cell r="Y997" t="str">
            <v/>
          </cell>
          <cell r="Z997" t="str">
            <v>1902</v>
          </cell>
          <cell r="AA997" t="str">
            <v>1100147165</v>
          </cell>
          <cell r="AB997">
            <v>500</v>
          </cell>
          <cell r="AC997" t="str">
            <v/>
          </cell>
          <cell r="AD997">
            <v>0.68</v>
          </cell>
          <cell r="AE997" t="str">
            <v>G-100015451-250516-0033</v>
          </cell>
        </row>
        <row r="998">
          <cell r="B998" t="str">
            <v>7101009007</v>
          </cell>
          <cell r="C998" t="str">
            <v>G2508-1146</v>
          </cell>
          <cell r="D998" t="str">
            <v>000042944044018456</v>
          </cell>
          <cell r="E998" t="str">
            <v>十字槽沉头螺钉</v>
          </cell>
          <cell r="F998" t="str">
            <v>GB/T819.2-2016</v>
          </cell>
          <cell r="G998" t="str">
            <v>M4×8</v>
          </cell>
          <cell r="H998" t="str">
            <v>A2-70</v>
          </cell>
          <cell r="I998" t="str">
            <v>ECP</v>
          </cell>
          <cell r="J998" t="str">
            <v>1Cr18Ni9Ti</v>
          </cell>
          <cell r="K998">
            <v>10790</v>
          </cell>
          <cell r="L998">
            <v>45916</v>
          </cell>
          <cell r="M998" t="str">
            <v>4-检验完成</v>
          </cell>
        </row>
        <row r="998">
          <cell r="O998">
            <v>0</v>
          </cell>
          <cell r="P998" t="str">
            <v>重庆红宇精密工业集团有限公司</v>
          </cell>
          <cell r="Q998" t="str">
            <v>50</v>
          </cell>
          <cell r="R998">
            <v>45917</v>
          </cell>
        </row>
        <row r="998">
          <cell r="U998" t="str">
            <v>010000855047</v>
          </cell>
          <cell r="V998" t="str">
            <v>PANQIFANG</v>
          </cell>
          <cell r="W998" t="str">
            <v/>
          </cell>
          <cell r="X998" t="str">
            <v>CP-108-A</v>
          </cell>
          <cell r="Y998" t="str">
            <v/>
          </cell>
          <cell r="Z998" t="str">
            <v>1902</v>
          </cell>
          <cell r="AA998" t="str">
            <v>1100139596</v>
          </cell>
          <cell r="AB998">
            <v>53800</v>
          </cell>
          <cell r="AC998" t="str">
            <v/>
          </cell>
          <cell r="AD998">
            <v>0.57</v>
          </cell>
          <cell r="AE998" t="str">
            <v>G-100015451-250102-0002</v>
          </cell>
        </row>
        <row r="999">
          <cell r="B999" t="str">
            <v>7101008934</v>
          </cell>
          <cell r="C999" t="str">
            <v>G2508-1147</v>
          </cell>
          <cell r="D999" t="str">
            <v>000042944044018456</v>
          </cell>
          <cell r="E999" t="str">
            <v>十字槽沉头螺钉</v>
          </cell>
          <cell r="F999" t="str">
            <v>GB/T819.2-2016</v>
          </cell>
          <cell r="G999" t="str">
            <v>M4×8</v>
          </cell>
          <cell r="H999" t="str">
            <v>A2-70</v>
          </cell>
          <cell r="I999" t="str">
            <v>ECP</v>
          </cell>
          <cell r="J999" t="str">
            <v>1Cr18Ni9Ti</v>
          </cell>
          <cell r="K999">
            <v>10892</v>
          </cell>
          <cell r="L999">
            <v>45915</v>
          </cell>
          <cell r="M999" t="str">
            <v>6-过账完成</v>
          </cell>
        </row>
        <row r="999">
          <cell r="O999">
            <v>0</v>
          </cell>
          <cell r="P999" t="str">
            <v>重庆红宇精密工业集团有限公司</v>
          </cell>
          <cell r="Q999" t="str">
            <v>60</v>
          </cell>
          <cell r="R999">
            <v>45916</v>
          </cell>
          <cell r="S999">
            <v>45917</v>
          </cell>
          <cell r="T999">
            <v>45917</v>
          </cell>
          <cell r="U999" t="str">
            <v>010000855048</v>
          </cell>
          <cell r="V999" t="str">
            <v>PANQIFANG</v>
          </cell>
          <cell r="W999" t="str">
            <v/>
          </cell>
          <cell r="X999" t="str">
            <v>CP-108-A</v>
          </cell>
          <cell r="Y999" t="str">
            <v>LVYANAN</v>
          </cell>
          <cell r="Z999" t="str">
            <v>1902</v>
          </cell>
          <cell r="AA999" t="str">
            <v>1100139595</v>
          </cell>
          <cell r="AB999">
            <v>22800</v>
          </cell>
          <cell r="AC999" t="str">
            <v/>
          </cell>
          <cell r="AD999">
            <v>0.57</v>
          </cell>
          <cell r="AE999" t="str">
            <v>G-100015451-250102-0001</v>
          </cell>
        </row>
        <row r="1000">
          <cell r="B1000" t="str">
            <v>7101008724</v>
          </cell>
          <cell r="C1000" t="str">
            <v>G2412-1877</v>
          </cell>
          <cell r="D1000" t="str">
            <v>000042944201108307</v>
          </cell>
          <cell r="E1000" t="str">
            <v>六角头螺栓全螺纹</v>
          </cell>
          <cell r="F1000" t="str">
            <v>GB/T5783-2000(CQHY)</v>
          </cell>
          <cell r="G1000" t="str">
            <v>M20×70</v>
          </cell>
          <cell r="H1000" t="str">
            <v>8.8</v>
          </cell>
          <cell r="I1000" t="str">
            <v>Ep·Zn·c2C</v>
          </cell>
          <cell r="J1000" t="str">
            <v>30CrMnSiA</v>
          </cell>
          <cell r="K1000">
            <v>154</v>
          </cell>
          <cell r="L1000">
            <v>45915</v>
          </cell>
          <cell r="M1000" t="str">
            <v>6-过账完成</v>
          </cell>
        </row>
        <row r="1000">
          <cell r="O1000">
            <v>0</v>
          </cell>
          <cell r="P1000" t="str">
            <v>重庆红宇精密工业集团有限公司</v>
          </cell>
          <cell r="Q1000" t="str">
            <v>50</v>
          </cell>
          <cell r="R1000">
            <v>45916</v>
          </cell>
          <cell r="S1000">
            <v>45917</v>
          </cell>
          <cell r="T1000">
            <v>45917</v>
          </cell>
          <cell r="U1000" t="str">
            <v>010000762047</v>
          </cell>
          <cell r="V1000" t="str">
            <v>PANQIFANG</v>
          </cell>
          <cell r="W1000" t="str">
            <v/>
          </cell>
          <cell r="X1000" t="str">
            <v>CP-108-A</v>
          </cell>
          <cell r="Y1000" t="str">
            <v>LVYANAN</v>
          </cell>
          <cell r="Z1000" t="str">
            <v>1902</v>
          </cell>
          <cell r="AA1000" t="str">
            <v>1100124558</v>
          </cell>
          <cell r="AB1000">
            <v>5000</v>
          </cell>
          <cell r="AC1000" t="str">
            <v/>
          </cell>
          <cell r="AD1000">
            <v>29.38</v>
          </cell>
          <cell r="AE1000" t="str">
            <v>G1007-240201-052</v>
          </cell>
        </row>
        <row r="1001">
          <cell r="B1001" t="str">
            <v>7101010535</v>
          </cell>
          <cell r="C1001" t="str">
            <v>GW2509-143</v>
          </cell>
          <cell r="D1001" t="str">
            <v>000042944320008196</v>
          </cell>
          <cell r="E1001" t="str">
            <v>90°沉头铆钉</v>
          </cell>
          <cell r="F1001" t="str">
            <v>HB6306-2002</v>
          </cell>
          <cell r="G1001" t="str">
            <v>2.5×10</v>
          </cell>
          <cell r="H1001" t="str">
            <v>淬火及时效</v>
          </cell>
          <cell r="I1001" t="str">
            <v>Ct·O</v>
          </cell>
          <cell r="J1001" t="str">
            <v>LY10</v>
          </cell>
          <cell r="K1001">
            <v>10</v>
          </cell>
          <cell r="L1001">
            <v>45919</v>
          </cell>
          <cell r="M1001" t="str">
            <v>3-配货完成</v>
          </cell>
        </row>
        <row r="1001">
          <cell r="O1001">
            <v>0</v>
          </cell>
          <cell r="P1001" t="str">
            <v>重庆红宇精密工业集团有限公司</v>
          </cell>
          <cell r="Q1001" t="str">
            <v>10</v>
          </cell>
        </row>
        <row r="1001">
          <cell r="U1001" t="str">
            <v/>
          </cell>
          <cell r="V1001" t="str">
            <v>PANQIFANG</v>
          </cell>
          <cell r="W1001" t="str">
            <v/>
          </cell>
          <cell r="X1001" t="str">
            <v>XH-000</v>
          </cell>
          <cell r="Y1001" t="str">
            <v/>
          </cell>
          <cell r="Z1001" t="str">
            <v>1902</v>
          </cell>
          <cell r="AA1001" t="str">
            <v>1100144998</v>
          </cell>
          <cell r="AB1001">
            <v>300</v>
          </cell>
          <cell r="AC1001" t="str">
            <v/>
          </cell>
          <cell r="AD1001">
            <v>0.45</v>
          </cell>
          <cell r="AE1001" t="str">
            <v>G-100015451-250409-0023-2-T</v>
          </cell>
        </row>
        <row r="1002">
          <cell r="B1002" t="str">
            <v>7101012103</v>
          </cell>
          <cell r="C1002" t="str">
            <v>G2505-9221</v>
          </cell>
          <cell r="D1002" t="str">
            <v>000042944041002031</v>
          </cell>
          <cell r="E1002" t="str">
            <v>内六角圆柱头螺钉</v>
          </cell>
          <cell r="F1002" t="str">
            <v>GB/T70.1-2008</v>
          </cell>
          <cell r="G1002" t="str">
            <v>M5×20</v>
          </cell>
          <cell r="H1002" t="str">
            <v>A2-70</v>
          </cell>
          <cell r="I1002" t="str">
            <v>ECP</v>
          </cell>
          <cell r="J1002" t="str">
            <v>ML1Cr18Ni9Ti</v>
          </cell>
          <cell r="K1002">
            <v>75</v>
          </cell>
          <cell r="L1002">
            <v>45922</v>
          </cell>
          <cell r="M1002" t="str">
            <v>3-配货完成</v>
          </cell>
        </row>
        <row r="1002">
          <cell r="O1002">
            <v>0</v>
          </cell>
          <cell r="P1002" t="str">
            <v>重庆红宇精密工业集团有限公司</v>
          </cell>
          <cell r="Q1002" t="str">
            <v>30</v>
          </cell>
        </row>
        <row r="1002">
          <cell r="U1002" t="str">
            <v>010000827535</v>
          </cell>
          <cell r="V1002" t="str">
            <v>PANQIFANG</v>
          </cell>
          <cell r="W1002" t="str">
            <v/>
          </cell>
          <cell r="X1002" t="str">
            <v>CP-108-A</v>
          </cell>
          <cell r="Y1002" t="str">
            <v/>
          </cell>
          <cell r="Z1002" t="str">
            <v>1902</v>
          </cell>
          <cell r="AA1002" t="str">
            <v>1100137282</v>
          </cell>
          <cell r="AB1002">
            <v>3800</v>
          </cell>
          <cell r="AC1002" t="str">
            <v/>
          </cell>
          <cell r="AD1002">
            <v>2.26</v>
          </cell>
          <cell r="AE1002" t="str">
            <v>G-100015451-241115-0044</v>
          </cell>
        </row>
        <row r="1003">
          <cell r="B1003" t="str">
            <v>7101011919</v>
          </cell>
          <cell r="C1003" t="str">
            <v>G02508-004</v>
          </cell>
          <cell r="D1003" t="str">
            <v>000042944039000064</v>
          </cell>
          <cell r="E1003" t="str">
            <v>普通型有折断槽钢丝螺套</v>
          </cell>
          <cell r="F1003" t="str">
            <v>GJB119.1A-2001</v>
          </cell>
          <cell r="G1003" t="str">
            <v>3×0.5×4</v>
          </cell>
          <cell r="H1003" t="str">
            <v/>
          </cell>
          <cell r="I1003" t="str">
            <v>Ep·Cd·c2C</v>
          </cell>
          <cell r="J1003" t="str">
            <v>1Cr18Ni9Ti</v>
          </cell>
          <cell r="K1003">
            <v>1502</v>
          </cell>
          <cell r="L1003">
            <v>45922</v>
          </cell>
          <cell r="M1003" t="str">
            <v>3-配货完成</v>
          </cell>
        </row>
        <row r="1003">
          <cell r="O1003">
            <v>0</v>
          </cell>
          <cell r="P1003" t="str">
            <v>重庆红宇精密工业集团有限公司</v>
          </cell>
          <cell r="Q1003" t="str">
            <v>30</v>
          </cell>
        </row>
        <row r="1003">
          <cell r="U1003" t="str">
            <v/>
          </cell>
          <cell r="V1003" t="str">
            <v>PANQIFANG</v>
          </cell>
          <cell r="W1003" t="str">
            <v/>
          </cell>
          <cell r="X1003" t="str">
            <v>XH-000</v>
          </cell>
          <cell r="Y1003" t="str">
            <v/>
          </cell>
          <cell r="Z1003" t="str">
            <v>1902</v>
          </cell>
          <cell r="AA1003" t="str">
            <v>1100148839</v>
          </cell>
          <cell r="AB1003">
            <v>2000</v>
          </cell>
          <cell r="AC1003" t="str">
            <v/>
          </cell>
          <cell r="AD1003">
            <v>5.84</v>
          </cell>
          <cell r="AE1003" t="str">
            <v>G-100015451-250617-0039</v>
          </cell>
        </row>
        <row r="1004">
          <cell r="B1004" t="str">
            <v>7101011916</v>
          </cell>
          <cell r="C1004" t="str">
            <v>G02508-019</v>
          </cell>
          <cell r="D1004" t="str">
            <v>000042944039000084</v>
          </cell>
          <cell r="E1004" t="str">
            <v>普通型有折断槽钢丝螺套</v>
          </cell>
          <cell r="F1004" t="str">
            <v>GJB119.1A-2001</v>
          </cell>
          <cell r="G1004" t="str">
            <v>4×0.7×8</v>
          </cell>
          <cell r="H1004" t="str">
            <v/>
          </cell>
          <cell r="I1004" t="str">
            <v/>
          </cell>
          <cell r="J1004" t="str">
            <v>1Cr18Ni9Ti</v>
          </cell>
          <cell r="K1004">
            <v>300</v>
          </cell>
          <cell r="L1004">
            <v>45922</v>
          </cell>
          <cell r="M1004" t="str">
            <v>3-配货完成</v>
          </cell>
        </row>
        <row r="1004">
          <cell r="O1004">
            <v>0</v>
          </cell>
          <cell r="P1004" t="str">
            <v>重庆红宇精密工业集团有限公司</v>
          </cell>
          <cell r="Q1004" t="str">
            <v>10</v>
          </cell>
        </row>
        <row r="1004">
          <cell r="U1004" t="str">
            <v/>
          </cell>
          <cell r="V1004" t="str">
            <v>PANQIFANG</v>
          </cell>
          <cell r="W1004" t="str">
            <v/>
          </cell>
          <cell r="X1004" t="str">
            <v>XH-000</v>
          </cell>
          <cell r="Y1004" t="str">
            <v/>
          </cell>
          <cell r="Z1004" t="str">
            <v>1902</v>
          </cell>
          <cell r="AA1004" t="str">
            <v>1100148839</v>
          </cell>
          <cell r="AB1004">
            <v>300</v>
          </cell>
          <cell r="AC1004" t="str">
            <v/>
          </cell>
          <cell r="AD1004">
            <v>5.84</v>
          </cell>
          <cell r="AE1004" t="str">
            <v>G-100015451-250617-0039</v>
          </cell>
        </row>
        <row r="1005">
          <cell r="B1005">
            <v>7101012709</v>
          </cell>
          <cell r="C1005" t="str">
            <v>G2508-1274</v>
          </cell>
          <cell r="D1005">
            <v>42944044154349</v>
          </cell>
          <cell r="E1005" t="str">
            <v>十字槽沉头螺钉</v>
          </cell>
          <cell r="F1005" t="str">
            <v>GB/T819.2-2016</v>
          </cell>
          <cell r="G1005" t="str">
            <v>M8×16</v>
          </cell>
          <cell r="H1005" t="str">
            <v>A2-70</v>
          </cell>
          <cell r="I1005" t="str">
            <v>ECP</v>
          </cell>
          <cell r="J1005" t="str">
            <v>1Cr18Ni9Ti</v>
          </cell>
          <cell r="K1005">
            <v>1721</v>
          </cell>
          <cell r="L1005">
            <v>45923</v>
          </cell>
          <cell r="M1005" t="str">
            <v>3-配货完成</v>
          </cell>
        </row>
        <row r="1005">
          <cell r="P1005" t="str">
            <v>重庆红宇精密工业集团有限公司</v>
          </cell>
          <cell r="Q1005">
            <v>10</v>
          </cell>
        </row>
        <row r="1005">
          <cell r="U1005">
            <v>10000855649</v>
          </cell>
          <cell r="V1005" t="str">
            <v>PANQIFANG</v>
          </cell>
        </row>
        <row r="1005">
          <cell r="X1005" t="str">
            <v>CP-108-A</v>
          </cell>
        </row>
        <row r="1005">
          <cell r="Z1005">
            <v>1902</v>
          </cell>
          <cell r="AA1005">
            <v>1100147162</v>
          </cell>
          <cell r="AB1005">
            <v>2200</v>
          </cell>
        </row>
        <row r="1005">
          <cell r="AD1005">
            <v>2.03</v>
          </cell>
          <cell r="AE1005" t="str">
            <v>G-100015451-250516-0034</v>
          </cell>
        </row>
        <row r="1006">
          <cell r="B1006">
            <v>7101012103</v>
          </cell>
          <cell r="C1006" t="str">
            <v>G2505-9221</v>
          </cell>
          <cell r="D1006">
            <v>42944041002031</v>
          </cell>
          <cell r="E1006" t="str">
            <v>内六角圆柱头螺钉</v>
          </cell>
          <cell r="F1006" t="str">
            <v>GB/T70.1-2008</v>
          </cell>
          <cell r="G1006" t="str">
            <v>M5×20</v>
          </cell>
          <cell r="H1006" t="str">
            <v>A2-70</v>
          </cell>
          <cell r="I1006" t="str">
            <v>ECP</v>
          </cell>
          <cell r="J1006" t="str">
            <v>ML1Cr18Ni9Ti</v>
          </cell>
          <cell r="K1006">
            <v>75</v>
          </cell>
          <cell r="L1006">
            <v>45922</v>
          </cell>
          <cell r="M1006" t="str">
            <v>4-检验完成</v>
          </cell>
        </row>
        <row r="1006">
          <cell r="P1006" t="str">
            <v>重庆红宇精密工业集团有限公司</v>
          </cell>
          <cell r="Q1006">
            <v>30</v>
          </cell>
          <cell r="R1006">
            <v>45923</v>
          </cell>
        </row>
        <row r="1006">
          <cell r="U1006">
            <v>10000827535</v>
          </cell>
          <cell r="V1006" t="str">
            <v>PANQIFANG</v>
          </cell>
        </row>
        <row r="1006">
          <cell r="X1006" t="str">
            <v>CP-108-A</v>
          </cell>
        </row>
        <row r="1006">
          <cell r="Z1006">
            <v>1902</v>
          </cell>
          <cell r="AA1006">
            <v>1100137282</v>
          </cell>
          <cell r="AB1006">
            <v>3800</v>
          </cell>
        </row>
        <row r="1006">
          <cell r="AD1006">
            <v>2.26</v>
          </cell>
          <cell r="AE1006" t="str">
            <v>G-100015451-241115-0044</v>
          </cell>
        </row>
        <row r="1007">
          <cell r="B1007">
            <v>7101011916</v>
          </cell>
          <cell r="C1007" t="str">
            <v>G02508-019</v>
          </cell>
          <cell r="D1007">
            <v>42944039000084</v>
          </cell>
          <cell r="E1007" t="str">
            <v>普通型有折断槽钢丝螺套</v>
          </cell>
          <cell r="F1007" t="str">
            <v>GJB119.1A-2001</v>
          </cell>
          <cell r="G1007" t="str">
            <v>4×0.7×8</v>
          </cell>
        </row>
        <row r="1007">
          <cell r="J1007" t="str">
            <v>1Cr18Ni9Ti</v>
          </cell>
          <cell r="K1007">
            <v>300</v>
          </cell>
          <cell r="L1007">
            <v>45922</v>
          </cell>
          <cell r="M1007" t="str">
            <v>4-检验完成</v>
          </cell>
        </row>
        <row r="1007">
          <cell r="P1007" t="str">
            <v>重庆红宇精密工业集团有限公司</v>
          </cell>
          <cell r="Q1007">
            <v>10</v>
          </cell>
          <cell r="R1007">
            <v>45923</v>
          </cell>
        </row>
        <row r="1007">
          <cell r="V1007" t="str">
            <v>PANQIFANG</v>
          </cell>
        </row>
        <row r="1007">
          <cell r="X1007" t="str">
            <v>XH-000</v>
          </cell>
        </row>
        <row r="1007">
          <cell r="Z1007">
            <v>1902</v>
          </cell>
          <cell r="AA1007">
            <v>1100148839</v>
          </cell>
          <cell r="AB1007">
            <v>300</v>
          </cell>
        </row>
        <row r="1007">
          <cell r="AD1007">
            <v>5.84</v>
          </cell>
          <cell r="AE1007" t="str">
            <v>G-100015451-250617-0039</v>
          </cell>
        </row>
        <row r="1008">
          <cell r="B1008">
            <v>7101012712</v>
          </cell>
          <cell r="C1008" t="str">
            <v>G2508-1274</v>
          </cell>
          <cell r="D1008">
            <v>42944044154349</v>
          </cell>
          <cell r="E1008" t="str">
            <v>十字槽沉头螺钉</v>
          </cell>
          <cell r="F1008" t="str">
            <v>GB/T819.2-2016</v>
          </cell>
          <cell r="G1008" t="str">
            <v>M8×16</v>
          </cell>
          <cell r="H1008" t="str">
            <v>A2-70</v>
          </cell>
          <cell r="I1008" t="str">
            <v>ECP</v>
          </cell>
          <cell r="J1008" t="str">
            <v>1Cr18Ni9Ti</v>
          </cell>
          <cell r="K1008">
            <v>1100</v>
          </cell>
          <cell r="L1008">
            <v>45923</v>
          </cell>
          <cell r="M1008" t="str">
            <v>3-配货完成</v>
          </cell>
        </row>
        <row r="1008">
          <cell r="P1008" t="str">
            <v>重庆红宇精密工业集团有限公司</v>
          </cell>
          <cell r="Q1008">
            <v>10</v>
          </cell>
        </row>
        <row r="1008">
          <cell r="U1008">
            <v>10000855649</v>
          </cell>
          <cell r="V1008" t="str">
            <v>PANQIFANG</v>
          </cell>
        </row>
        <row r="1008">
          <cell r="X1008" t="str">
            <v>CP-108-A</v>
          </cell>
        </row>
        <row r="1008">
          <cell r="Z1008">
            <v>1902</v>
          </cell>
          <cell r="AA1008">
            <v>1100149492</v>
          </cell>
          <cell r="AB1008">
            <v>1100</v>
          </cell>
        </row>
        <row r="1008">
          <cell r="AD1008">
            <v>3.39</v>
          </cell>
          <cell r="AE1008" t="str">
            <v>G-100015451-250701-0043</v>
          </cell>
        </row>
        <row r="1009">
          <cell r="B1009">
            <v>7101014981</v>
          </cell>
          <cell r="C1009" t="str">
            <v>G2509-2479</v>
          </cell>
          <cell r="D1009">
            <v>42944041093532</v>
          </cell>
          <cell r="E1009" t="str">
            <v>内六角圆柱头螺钉</v>
          </cell>
          <cell r="F1009" t="str">
            <v>GB/T70.1-2008(CQHY)</v>
          </cell>
          <cell r="G1009" t="str">
            <v>M10×28</v>
          </cell>
          <cell r="H1009">
            <v>12.9</v>
          </cell>
          <cell r="I1009" t="str">
            <v>Ct·P</v>
          </cell>
          <cell r="J1009" t="str">
            <v>17-4PH</v>
          </cell>
          <cell r="K1009">
            <v>1075</v>
          </cell>
          <cell r="L1009">
            <v>45925</v>
          </cell>
          <cell r="M1009" t="str">
            <v>3-配货完成</v>
          </cell>
        </row>
        <row r="1009">
          <cell r="P1009" t="str">
            <v>重庆红宇精密工业集团有限公司</v>
          </cell>
          <cell r="Q1009">
            <v>140</v>
          </cell>
        </row>
        <row r="1009">
          <cell r="U1009">
            <v>10000867208</v>
          </cell>
          <cell r="V1009" t="str">
            <v>PANQIFANG</v>
          </cell>
        </row>
        <row r="1009">
          <cell r="X1009" t="str">
            <v>CP-108-A</v>
          </cell>
        </row>
        <row r="1009">
          <cell r="Z1009">
            <v>1902</v>
          </cell>
          <cell r="AA1009">
            <v>1100142026</v>
          </cell>
          <cell r="AB1009">
            <v>3500</v>
          </cell>
        </row>
        <row r="1009">
          <cell r="AD1009">
            <v>20.34</v>
          </cell>
          <cell r="AE1009" t="str">
            <v>G-100015451-250221-0008</v>
          </cell>
        </row>
        <row r="1010">
          <cell r="B1010" t="str">
            <v>7101016537</v>
          </cell>
          <cell r="C1010" t="str">
            <v>G2505-0933</v>
          </cell>
          <cell r="D1010" t="str">
            <v>000042944044008950</v>
          </cell>
          <cell r="E1010" t="str">
            <v>钛合金十字槽沉头螺钉</v>
          </cell>
          <cell r="F1010" t="str">
            <v>QJ2584-1993</v>
          </cell>
          <cell r="G1010" t="str">
            <v>M5×10</v>
          </cell>
          <cell r="H1010" t="str">
            <v>σb≥800MPa</v>
          </cell>
          <cell r="I1010" t="str">
            <v>蓝色阳极氧化</v>
          </cell>
          <cell r="J1010" t="str">
            <v>TB3</v>
          </cell>
          <cell r="K1010">
            <v>2067</v>
          </cell>
          <cell r="L1010">
            <v>45928</v>
          </cell>
          <cell r="M1010" t="str">
            <v>3-配货完成</v>
          </cell>
        </row>
        <row r="1010">
          <cell r="O1010">
            <v>0</v>
          </cell>
          <cell r="P1010" t="str">
            <v>重庆红宇精密工业集团有限公司</v>
          </cell>
          <cell r="Q1010" t="str">
            <v>30</v>
          </cell>
        </row>
        <row r="1010">
          <cell r="U1010" t="str">
            <v>010000825420</v>
          </cell>
          <cell r="V1010" t="str">
            <v>PANQIFANG</v>
          </cell>
          <cell r="W1010" t="str">
            <v/>
          </cell>
          <cell r="X1010" t="str">
            <v>CP-108-A</v>
          </cell>
          <cell r="Y1010" t="str">
            <v/>
          </cell>
          <cell r="Z1010" t="str">
            <v>1902</v>
          </cell>
          <cell r="AA1010" t="str">
            <v>1100147165</v>
          </cell>
          <cell r="AB1010">
            <v>3825</v>
          </cell>
          <cell r="AC1010" t="str">
            <v/>
          </cell>
          <cell r="AD1010">
            <v>8.48</v>
          </cell>
          <cell r="AE1010" t="str">
            <v>G-100015451-250516-0033</v>
          </cell>
        </row>
        <row r="1011">
          <cell r="B1011" t="str">
            <v>7101013498</v>
          </cell>
          <cell r="C1011" t="str">
            <v>G2507-2299</v>
          </cell>
          <cell r="D1011" t="str">
            <v>000042944320008241</v>
          </cell>
          <cell r="E1011" t="str">
            <v>90°沉头铆钉</v>
          </cell>
          <cell r="F1011" t="str">
            <v>HB6306-2002</v>
          </cell>
          <cell r="G1011" t="str">
            <v>3×13</v>
          </cell>
          <cell r="H1011" t="str">
            <v>淬火及时效</v>
          </cell>
          <cell r="I1011" t="str">
            <v>Ct·O</v>
          </cell>
          <cell r="J1011" t="str">
            <v>LY10</v>
          </cell>
          <cell r="K1011">
            <v>37</v>
          </cell>
          <cell r="L1011">
            <v>45924</v>
          </cell>
          <cell r="M1011" t="str">
            <v>1-已打印</v>
          </cell>
        </row>
        <row r="1011">
          <cell r="O1011">
            <v>0</v>
          </cell>
          <cell r="P1011" t="str">
            <v>重庆红宇精密工业集团有限公司</v>
          </cell>
          <cell r="Q1011" t="str">
            <v>10</v>
          </cell>
        </row>
        <row r="1011">
          <cell r="U1011" t="str">
            <v>010000849701</v>
          </cell>
          <cell r="V1011" t="str">
            <v/>
          </cell>
          <cell r="W1011" t="str">
            <v/>
          </cell>
          <cell r="X1011" t="str">
            <v>CP-62-5-3-3</v>
          </cell>
          <cell r="Y1011" t="str">
            <v/>
          </cell>
          <cell r="Z1011" t="str">
            <v>1902</v>
          </cell>
          <cell r="AA1011" t="str">
            <v>1100152440</v>
          </cell>
          <cell r="AB1011">
            <v>1700</v>
          </cell>
          <cell r="AC1011" t="str">
            <v/>
          </cell>
          <cell r="AD1011">
            <v>0.45</v>
          </cell>
          <cell r="AE1011" t="str">
            <v>G-100015451-250902-0049-1-T</v>
          </cell>
        </row>
        <row r="1012">
          <cell r="B1012" t="str">
            <v>7101017675</v>
          </cell>
          <cell r="C1012" t="str">
            <v>G2509-3259</v>
          </cell>
          <cell r="D1012" t="str">
            <v>000042944044008986</v>
          </cell>
          <cell r="E1012" t="str">
            <v>钛合金十字槽沉头螺钉</v>
          </cell>
          <cell r="F1012" t="str">
            <v>QJ2584-1993</v>
          </cell>
          <cell r="G1012" t="str">
            <v>M5×8</v>
          </cell>
          <cell r="H1012" t="str">
            <v>σb≥800MPa</v>
          </cell>
          <cell r="I1012" t="str">
            <v>蓝色阳极氧化</v>
          </cell>
          <cell r="J1012" t="str">
            <v>TB3</v>
          </cell>
          <cell r="K1012">
            <v>2170</v>
          </cell>
          <cell r="L1012">
            <v>45930</v>
          </cell>
          <cell r="M1012" t="str">
            <v>4-检验完成</v>
          </cell>
        </row>
        <row r="1012">
          <cell r="O1012">
            <v>0</v>
          </cell>
          <cell r="P1012" t="str">
            <v>重庆红宇精密工业集团有限公司</v>
          </cell>
          <cell r="Q1012" t="str">
            <v>10</v>
          </cell>
          <cell r="R1012">
            <v>45930</v>
          </cell>
        </row>
        <row r="1012">
          <cell r="U1012" t="str">
            <v>010000869557</v>
          </cell>
          <cell r="V1012" t="str">
            <v>PANQIFANG</v>
          </cell>
          <cell r="W1012" t="str">
            <v/>
          </cell>
          <cell r="X1012" t="str">
            <v/>
          </cell>
          <cell r="Y1012" t="str">
            <v/>
          </cell>
          <cell r="Z1012" t="str">
            <v>1902</v>
          </cell>
          <cell r="AA1012" t="str">
            <v>1100153477</v>
          </cell>
          <cell r="AB1012">
            <v>2170</v>
          </cell>
          <cell r="AC1012" t="str">
            <v/>
          </cell>
          <cell r="AD1012">
            <v>9</v>
          </cell>
          <cell r="AE1012" t="str">
            <v>G-100015451-250925-0050XH</v>
          </cell>
        </row>
        <row r="1013">
          <cell r="B1013" t="str">
            <v>7101018678</v>
          </cell>
          <cell r="C1013" t="str">
            <v>G2505-0122</v>
          </cell>
          <cell r="D1013" t="str">
            <v>000042944043028915</v>
          </cell>
          <cell r="E1013" t="str">
            <v>开槽凹端紧定螺钉</v>
          </cell>
          <cell r="F1013" t="str">
            <v>GB74-1985</v>
          </cell>
          <cell r="G1013" t="str">
            <v>M10×12</v>
          </cell>
          <cell r="H1013" t="str">
            <v>22H</v>
          </cell>
          <cell r="I1013" t="str">
            <v>Ep·Zn·c2C</v>
          </cell>
          <cell r="J1013" t="str">
            <v>45A</v>
          </cell>
          <cell r="K1013">
            <v>837</v>
          </cell>
          <cell r="L1013">
            <v>45939</v>
          </cell>
          <cell r="M1013" t="str">
            <v>4-检验完成</v>
          </cell>
        </row>
        <row r="1013">
          <cell r="O1013">
            <v>0</v>
          </cell>
          <cell r="P1013" t="str">
            <v>重庆红宇精密工业集团有限公司</v>
          </cell>
          <cell r="Q1013" t="str">
            <v>30</v>
          </cell>
          <cell r="R1013">
            <v>45940</v>
          </cell>
        </row>
        <row r="1013">
          <cell r="U1013" t="str">
            <v>010000821036</v>
          </cell>
          <cell r="V1013" t="str">
            <v>PANQIFANG</v>
          </cell>
          <cell r="W1013" t="str">
            <v/>
          </cell>
          <cell r="X1013" t="str">
            <v>CP-108-A</v>
          </cell>
          <cell r="Y1013" t="str">
            <v/>
          </cell>
          <cell r="Z1013" t="str">
            <v>1902</v>
          </cell>
          <cell r="AA1013" t="str">
            <v>1100146429</v>
          </cell>
          <cell r="AB1013">
            <v>900</v>
          </cell>
          <cell r="AC1013" t="str">
            <v/>
          </cell>
          <cell r="AD1013">
            <v>4.52</v>
          </cell>
          <cell r="AE1013" t="str">
            <v>G-100015451-250503-0031</v>
          </cell>
        </row>
        <row r="1014">
          <cell r="B1014" t="str">
            <v>7101019285</v>
          </cell>
          <cell r="C1014" t="str">
            <v>G2509-2480</v>
          </cell>
          <cell r="D1014" t="str">
            <v>000042944041093532</v>
          </cell>
          <cell r="E1014" t="str">
            <v>内六角圆柱头螺钉</v>
          </cell>
          <cell r="F1014" t="str">
            <v>GB/T70.1-2008(CQHY)</v>
          </cell>
          <cell r="G1014" t="str">
            <v>M10×28</v>
          </cell>
          <cell r="H1014" t="str">
            <v>12.9</v>
          </cell>
          <cell r="I1014" t="str">
            <v>Ct·P</v>
          </cell>
          <cell r="J1014" t="str">
            <v>17-4PH</v>
          </cell>
          <cell r="K1014">
            <v>2324</v>
          </cell>
          <cell r="L1014">
            <v>45940</v>
          </cell>
          <cell r="M1014" t="str">
            <v>4-检验完成</v>
          </cell>
        </row>
        <row r="1014">
          <cell r="O1014">
            <v>0</v>
          </cell>
          <cell r="P1014" t="str">
            <v>重庆红宇精密工业集团有限公司</v>
          </cell>
          <cell r="Q1014" t="str">
            <v>140</v>
          </cell>
          <cell r="R1014">
            <v>45941</v>
          </cell>
        </row>
        <row r="1014">
          <cell r="U1014" t="str">
            <v>010000867209</v>
          </cell>
          <cell r="V1014" t="str">
            <v>PANQIFANG</v>
          </cell>
          <cell r="W1014" t="str">
            <v/>
          </cell>
          <cell r="X1014" t="str">
            <v>CP-108-A</v>
          </cell>
          <cell r="Y1014" t="str">
            <v/>
          </cell>
          <cell r="Z1014" t="str">
            <v>1902</v>
          </cell>
          <cell r="AA1014" t="str">
            <v>1100142026</v>
          </cell>
          <cell r="AB1014">
            <v>3500</v>
          </cell>
          <cell r="AC1014" t="str">
            <v/>
          </cell>
          <cell r="AD1014">
            <v>20.34</v>
          </cell>
          <cell r="AE1014" t="str">
            <v>G-100015451-250221-0008</v>
          </cell>
        </row>
        <row r="1015">
          <cell r="B1015" t="str">
            <v>7101020593</v>
          </cell>
          <cell r="C1015" t="str">
            <v>G2502-2930</v>
          </cell>
          <cell r="D1015" t="str">
            <v>000042944043104376</v>
          </cell>
          <cell r="E1015" t="str">
            <v>开槽沉头螺钉</v>
          </cell>
          <cell r="F1015" t="str">
            <v>GB/T68-2016(CQHY)</v>
          </cell>
          <cell r="G1015" t="str">
            <v>M8×16</v>
          </cell>
          <cell r="H1015" t="str">
            <v>12.9</v>
          </cell>
          <cell r="I1015" t="str">
            <v>Ct·P</v>
          </cell>
          <cell r="J1015" t="str">
            <v>17-4PH</v>
          </cell>
          <cell r="K1015">
            <v>427</v>
          </cell>
          <cell r="L1015">
            <v>45943</v>
          </cell>
          <cell r="M1015" t="str">
            <v>4-检验完成</v>
          </cell>
        </row>
        <row r="1015">
          <cell r="O1015">
            <v>0</v>
          </cell>
          <cell r="P1015" t="str">
            <v>重庆红宇精密工业集团有限公司</v>
          </cell>
          <cell r="Q1015" t="str">
            <v>50</v>
          </cell>
          <cell r="R1015">
            <v>45944</v>
          </cell>
        </row>
        <row r="1015">
          <cell r="U1015" t="str">
            <v>010000788876</v>
          </cell>
          <cell r="V1015" t="str">
            <v>PANQIFANG</v>
          </cell>
          <cell r="W1015" t="str">
            <v/>
          </cell>
          <cell r="X1015" t="str">
            <v>CP-108-A</v>
          </cell>
          <cell r="Y1015" t="str">
            <v/>
          </cell>
          <cell r="Z1015" t="str">
            <v>1902</v>
          </cell>
          <cell r="AA1015" t="str">
            <v>1100146429</v>
          </cell>
          <cell r="AB1015">
            <v>3100</v>
          </cell>
          <cell r="AC1015" t="str">
            <v/>
          </cell>
          <cell r="AD1015">
            <v>13.56</v>
          </cell>
          <cell r="AE1015" t="str">
            <v>G-100015451-250503-0031</v>
          </cell>
        </row>
        <row r="1016">
          <cell r="B1016" t="str">
            <v>7101020436</v>
          </cell>
          <cell r="C1016" t="str">
            <v>G02509-099</v>
          </cell>
          <cell r="D1016" t="str">
            <v>000042944039000064</v>
          </cell>
          <cell r="E1016" t="str">
            <v>普通型有折断槽钢丝螺套</v>
          </cell>
          <cell r="F1016" t="str">
            <v>GJB119.1A-2001</v>
          </cell>
          <cell r="G1016" t="str">
            <v>3×0.5×4</v>
          </cell>
          <cell r="H1016" t="str">
            <v/>
          </cell>
          <cell r="I1016" t="str">
            <v>Ep·Cd·c2C</v>
          </cell>
          <cell r="J1016" t="str">
            <v>1Cr18Ni9Ti</v>
          </cell>
          <cell r="K1016">
            <v>1750</v>
          </cell>
          <cell r="L1016">
            <v>45943</v>
          </cell>
          <cell r="M1016" t="str">
            <v>4-检验完成</v>
          </cell>
        </row>
        <row r="1016">
          <cell r="O1016">
            <v>0</v>
          </cell>
          <cell r="P1016" t="str">
            <v>重庆红宇精密工业集团有限公司</v>
          </cell>
          <cell r="Q1016" t="str">
            <v>10</v>
          </cell>
          <cell r="R1016">
            <v>45944</v>
          </cell>
        </row>
        <row r="1016">
          <cell r="U1016" t="str">
            <v/>
          </cell>
          <cell r="V1016" t="str">
            <v>BIAOQIAN4</v>
          </cell>
          <cell r="W1016" t="str">
            <v/>
          </cell>
          <cell r="X1016" t="str">
            <v>XH-000</v>
          </cell>
          <cell r="Y1016" t="str">
            <v/>
          </cell>
          <cell r="Z1016" t="str">
            <v>1902</v>
          </cell>
          <cell r="AA1016" t="str">
            <v>1100151139</v>
          </cell>
          <cell r="AB1016">
            <v>2050</v>
          </cell>
          <cell r="AC1016" t="str">
            <v/>
          </cell>
          <cell r="AD1016">
            <v>6</v>
          </cell>
          <cell r="AE1016" t="str">
            <v>G-100015451-250805-0048-1-H</v>
          </cell>
        </row>
        <row r="1017">
          <cell r="B1017" t="str">
            <v>7101019285</v>
          </cell>
          <cell r="C1017" t="str">
            <v>G2509-2480</v>
          </cell>
          <cell r="D1017" t="str">
            <v>000042944041093532</v>
          </cell>
          <cell r="E1017" t="str">
            <v>内六角圆柱头螺钉</v>
          </cell>
          <cell r="F1017" t="str">
            <v>GB/T70.1-2008(CQHY)</v>
          </cell>
          <cell r="G1017" t="str">
            <v>M10×28</v>
          </cell>
          <cell r="H1017" t="str">
            <v>12.9</v>
          </cell>
          <cell r="I1017" t="str">
            <v>Ct·P</v>
          </cell>
          <cell r="J1017" t="str">
            <v>17-4PH</v>
          </cell>
          <cell r="K1017">
            <v>2324</v>
          </cell>
          <cell r="L1017">
            <v>45940</v>
          </cell>
          <cell r="M1017" t="str">
            <v>6-过账完成</v>
          </cell>
        </row>
        <row r="1017">
          <cell r="O1017">
            <v>0</v>
          </cell>
          <cell r="P1017" t="str">
            <v>重庆红宇精密工业集团有限公司</v>
          </cell>
          <cell r="Q1017" t="str">
            <v>140</v>
          </cell>
          <cell r="R1017">
            <v>45941</v>
          </cell>
          <cell r="S1017">
            <v>45944</v>
          </cell>
          <cell r="T1017">
            <v>45944</v>
          </cell>
          <cell r="U1017" t="str">
            <v>010000867209</v>
          </cell>
          <cell r="V1017" t="str">
            <v>PANQIFANG</v>
          </cell>
          <cell r="W1017" t="str">
            <v/>
          </cell>
          <cell r="X1017" t="str">
            <v>CP-108-A</v>
          </cell>
          <cell r="Y1017" t="str">
            <v>ZHANGZHIYI</v>
          </cell>
          <cell r="Z1017" t="str">
            <v>1902</v>
          </cell>
          <cell r="AA1017" t="str">
            <v>1100142026</v>
          </cell>
          <cell r="AB1017">
            <v>3500</v>
          </cell>
          <cell r="AC1017" t="str">
            <v/>
          </cell>
          <cell r="AD1017">
            <v>20.34</v>
          </cell>
          <cell r="AE1017" t="str">
            <v>G-100015451-250221-0008</v>
          </cell>
        </row>
        <row r="1018">
          <cell r="B1018" t="str">
            <v>7101013498</v>
          </cell>
          <cell r="C1018" t="str">
            <v>G2507-2299</v>
          </cell>
          <cell r="D1018" t="str">
            <v>000042944320008241</v>
          </cell>
          <cell r="E1018" t="str">
            <v>90°沉头铆钉</v>
          </cell>
          <cell r="F1018" t="str">
            <v>HB6306-2002</v>
          </cell>
          <cell r="G1018" t="str">
            <v>3×13</v>
          </cell>
          <cell r="H1018" t="str">
            <v>淬火及时效</v>
          </cell>
          <cell r="I1018" t="str">
            <v>Ct·O</v>
          </cell>
          <cell r="J1018" t="str">
            <v>LY10</v>
          </cell>
          <cell r="K1018">
            <v>37</v>
          </cell>
          <cell r="L1018">
            <v>45924</v>
          </cell>
          <cell r="M1018" t="str">
            <v>1-已打印</v>
          </cell>
        </row>
        <row r="1018">
          <cell r="O1018">
            <v>0</v>
          </cell>
          <cell r="P1018" t="str">
            <v>重庆红宇精密工业集团有限公司</v>
          </cell>
          <cell r="Q1018" t="str">
            <v>10</v>
          </cell>
        </row>
        <row r="1018">
          <cell r="U1018" t="str">
            <v>010000849701</v>
          </cell>
          <cell r="V1018" t="str">
            <v/>
          </cell>
          <cell r="W1018" t="str">
            <v/>
          </cell>
          <cell r="X1018" t="str">
            <v>CP-62-5-3-3</v>
          </cell>
          <cell r="Y1018" t="str">
            <v/>
          </cell>
          <cell r="Z1018" t="str">
            <v>1902</v>
          </cell>
          <cell r="AA1018" t="str">
            <v>1100152440</v>
          </cell>
          <cell r="AB1018">
            <v>1700</v>
          </cell>
          <cell r="AC1018" t="str">
            <v/>
          </cell>
          <cell r="AD1018">
            <v>0.45</v>
          </cell>
          <cell r="AE1018" t="str">
            <v>G-100015451-250902-0049-1-T</v>
          </cell>
        </row>
        <row r="1019">
          <cell r="B1019" t="str">
            <v>7101021602</v>
          </cell>
          <cell r="C1019" t="str">
            <v>G02509-095</v>
          </cell>
          <cell r="D1019" t="str">
            <v>000042944039000064</v>
          </cell>
          <cell r="E1019" t="str">
            <v>普通型有折断槽钢丝螺套</v>
          </cell>
          <cell r="F1019" t="str">
            <v>GJB119.1A-2001</v>
          </cell>
          <cell r="G1019" t="str">
            <v>3×0.5×4</v>
          </cell>
          <cell r="H1019" t="str">
            <v/>
          </cell>
          <cell r="I1019" t="str">
            <v>Ep·Cd·c2C</v>
          </cell>
          <cell r="J1019" t="str">
            <v>1Cr18Ni9Ti</v>
          </cell>
          <cell r="K1019">
            <v>300</v>
          </cell>
          <cell r="L1019">
            <v>45945</v>
          </cell>
          <cell r="M1019" t="str">
            <v>3-配货完成</v>
          </cell>
        </row>
        <row r="1019">
          <cell r="O1019">
            <v>0</v>
          </cell>
          <cell r="P1019" t="str">
            <v>重庆红宇精密工业集团有限公司</v>
          </cell>
          <cell r="Q1019" t="str">
            <v>10</v>
          </cell>
        </row>
        <row r="1019">
          <cell r="U1019" t="str">
            <v/>
          </cell>
          <cell r="V1019" t="str">
            <v>BIAOQIAN3</v>
          </cell>
          <cell r="W1019" t="str">
            <v/>
          </cell>
          <cell r="X1019" t="str">
            <v>XH-000</v>
          </cell>
          <cell r="Y1019" t="str">
            <v/>
          </cell>
          <cell r="Z1019" t="str">
            <v>1902</v>
          </cell>
          <cell r="AA1019" t="str">
            <v>1100151139</v>
          </cell>
          <cell r="AB1019">
            <v>2050</v>
          </cell>
          <cell r="AC1019" t="str">
            <v/>
          </cell>
          <cell r="AD1019">
            <v>6</v>
          </cell>
          <cell r="AE1019" t="str">
            <v>G-100015451-250805-0048-1-H</v>
          </cell>
        </row>
        <row r="1020">
          <cell r="B1020" t="str">
            <v>7101021573</v>
          </cell>
          <cell r="C1020" t="str">
            <v>G2507-1009</v>
          </cell>
          <cell r="D1020" t="str">
            <v>000042944041032697</v>
          </cell>
          <cell r="E1020" t="str">
            <v>内六角圆柱头螺钉</v>
          </cell>
          <cell r="F1020" t="str">
            <v>GB/T70.1-2008</v>
          </cell>
          <cell r="G1020" t="str">
            <v>M5×12</v>
          </cell>
          <cell r="H1020" t="str">
            <v>8.8</v>
          </cell>
          <cell r="I1020" t="str">
            <v>Ep·Zn·c2C</v>
          </cell>
          <cell r="J1020" t="str">
            <v>ML30CrMnSiA</v>
          </cell>
          <cell r="K1020">
            <v>800</v>
          </cell>
          <cell r="L1020">
            <v>45945</v>
          </cell>
          <cell r="M1020" t="str">
            <v>3-配货完成</v>
          </cell>
        </row>
        <row r="1020">
          <cell r="O1020">
            <v>0</v>
          </cell>
          <cell r="P1020" t="str">
            <v>重庆红宇精密工业集团有限公司</v>
          </cell>
          <cell r="Q1020" t="str">
            <v>70</v>
          </cell>
        </row>
        <row r="1020">
          <cell r="U1020" t="str">
            <v>010000844726</v>
          </cell>
          <cell r="V1020" t="str">
            <v>BIAOQIAN4</v>
          </cell>
          <cell r="W1020" t="str">
            <v/>
          </cell>
          <cell r="X1020" t="str">
            <v>CP-108-A</v>
          </cell>
          <cell r="Y1020" t="str">
            <v/>
          </cell>
          <cell r="Z1020" t="str">
            <v>1902</v>
          </cell>
          <cell r="AA1020" t="str">
            <v>1100149917</v>
          </cell>
          <cell r="AB1020">
            <v>800</v>
          </cell>
          <cell r="AC1020" t="str">
            <v/>
          </cell>
          <cell r="AD1020">
            <v>2.83</v>
          </cell>
          <cell r="AE1020" t="str">
            <v>G-100015451-250709-0045</v>
          </cell>
        </row>
        <row r="1021">
          <cell r="B1021" t="str">
            <v>7101020593</v>
          </cell>
          <cell r="C1021" t="str">
            <v>G2502-2930</v>
          </cell>
          <cell r="D1021" t="str">
            <v>000042944043104376</v>
          </cell>
          <cell r="E1021" t="str">
            <v>开槽沉头螺钉</v>
          </cell>
          <cell r="F1021" t="str">
            <v>GB/T68-2016(CQHY)</v>
          </cell>
          <cell r="G1021" t="str">
            <v>M8×16</v>
          </cell>
          <cell r="H1021" t="str">
            <v>12.9</v>
          </cell>
          <cell r="I1021" t="str">
            <v>Ct·P</v>
          </cell>
          <cell r="J1021" t="str">
            <v>17-4PH</v>
          </cell>
          <cell r="K1021">
            <v>427</v>
          </cell>
          <cell r="L1021">
            <v>45943</v>
          </cell>
          <cell r="M1021" t="str">
            <v>4-检验完成</v>
          </cell>
        </row>
        <row r="1021">
          <cell r="O1021">
            <v>0</v>
          </cell>
          <cell r="P1021" t="str">
            <v>重庆红宇精密工业集团有限公司</v>
          </cell>
          <cell r="Q1021" t="str">
            <v>50</v>
          </cell>
          <cell r="R1021">
            <v>45944</v>
          </cell>
        </row>
        <row r="1021">
          <cell r="U1021" t="str">
            <v>010000788876</v>
          </cell>
          <cell r="V1021" t="str">
            <v>PANQIFANG</v>
          </cell>
          <cell r="W1021" t="str">
            <v/>
          </cell>
          <cell r="X1021" t="str">
            <v>CP-108-A</v>
          </cell>
          <cell r="Y1021" t="str">
            <v/>
          </cell>
          <cell r="Z1021" t="str">
            <v>1902</v>
          </cell>
          <cell r="AA1021" t="str">
            <v>1100146429</v>
          </cell>
          <cell r="AB1021">
            <v>3100</v>
          </cell>
          <cell r="AC1021" t="str">
            <v/>
          </cell>
          <cell r="AD1021">
            <v>13.56</v>
          </cell>
          <cell r="AE1021" t="str">
            <v>G-100015451-250503-0031</v>
          </cell>
        </row>
        <row r="1022">
          <cell r="B1022" t="str">
            <v>7101020436</v>
          </cell>
          <cell r="C1022" t="str">
            <v>G02509-099</v>
          </cell>
          <cell r="D1022" t="str">
            <v>000042944039000064</v>
          </cell>
          <cell r="E1022" t="str">
            <v>普通型有折断槽钢丝螺套</v>
          </cell>
          <cell r="F1022" t="str">
            <v>GJB119.1A-2001</v>
          </cell>
          <cell r="G1022" t="str">
            <v>3×0.5×4</v>
          </cell>
          <cell r="H1022" t="str">
            <v/>
          </cell>
          <cell r="I1022" t="str">
            <v>Ep·Cd·c2C</v>
          </cell>
          <cell r="J1022" t="str">
            <v>1Cr18Ni9Ti</v>
          </cell>
          <cell r="K1022">
            <v>1750</v>
          </cell>
          <cell r="L1022">
            <v>45943</v>
          </cell>
          <cell r="M1022" t="str">
            <v>4-检验完成</v>
          </cell>
        </row>
        <row r="1022">
          <cell r="O1022">
            <v>0</v>
          </cell>
          <cell r="P1022" t="str">
            <v>重庆红宇精密工业集团有限公司</v>
          </cell>
          <cell r="Q1022" t="str">
            <v>10</v>
          </cell>
          <cell r="R1022">
            <v>45944</v>
          </cell>
        </row>
        <row r="1022">
          <cell r="U1022" t="str">
            <v/>
          </cell>
          <cell r="V1022" t="str">
            <v>BIAOQIAN4</v>
          </cell>
          <cell r="W1022" t="str">
            <v/>
          </cell>
          <cell r="X1022" t="str">
            <v>XH-000</v>
          </cell>
          <cell r="Y1022" t="str">
            <v/>
          </cell>
          <cell r="Z1022" t="str">
            <v>1902</v>
          </cell>
          <cell r="AA1022" t="str">
            <v>1100151139</v>
          </cell>
          <cell r="AB1022">
            <v>2050</v>
          </cell>
          <cell r="AC1022" t="str">
            <v/>
          </cell>
          <cell r="AD1022">
            <v>6</v>
          </cell>
          <cell r="AE1022" t="str">
            <v>G-100015451-250805-0048-1-H</v>
          </cell>
        </row>
        <row r="1023">
          <cell r="B1023" t="str">
            <v>7101013498</v>
          </cell>
          <cell r="C1023" t="str">
            <v>G2507-2299</v>
          </cell>
          <cell r="D1023" t="str">
            <v>000042944320008241</v>
          </cell>
          <cell r="E1023" t="str">
            <v>90°沉头铆钉</v>
          </cell>
          <cell r="F1023" t="str">
            <v>HB6306-2002</v>
          </cell>
          <cell r="G1023" t="str">
            <v>3×13</v>
          </cell>
          <cell r="H1023" t="str">
            <v>淬火及时效</v>
          </cell>
          <cell r="I1023" t="str">
            <v>Ct·O</v>
          </cell>
          <cell r="J1023" t="str">
            <v>LY10</v>
          </cell>
          <cell r="K1023">
            <v>37</v>
          </cell>
          <cell r="L1023">
            <v>45924</v>
          </cell>
          <cell r="M1023" t="str">
            <v>1-已打印</v>
          </cell>
        </row>
        <row r="1023">
          <cell r="O1023">
            <v>0</v>
          </cell>
          <cell r="P1023" t="str">
            <v>重庆红宇精密工业集团有限公司</v>
          </cell>
          <cell r="Q1023" t="str">
            <v>10</v>
          </cell>
        </row>
        <row r="1023">
          <cell r="U1023" t="str">
            <v>010000849701</v>
          </cell>
          <cell r="V1023" t="str">
            <v/>
          </cell>
          <cell r="W1023" t="str">
            <v/>
          </cell>
          <cell r="X1023" t="str">
            <v>CP-62-5-3-3</v>
          </cell>
          <cell r="Y1023" t="str">
            <v/>
          </cell>
          <cell r="Z1023" t="str">
            <v>1902</v>
          </cell>
          <cell r="AA1023" t="str">
            <v>1100152440</v>
          </cell>
          <cell r="AB1023">
            <v>1700</v>
          </cell>
          <cell r="AC1023" t="str">
            <v/>
          </cell>
          <cell r="AD1023">
            <v>0.45</v>
          </cell>
          <cell r="AE1023" t="str">
            <v>G-100015451-250902-0049-1-T</v>
          </cell>
        </row>
        <row r="1024">
          <cell r="B1024">
            <v>7101021847</v>
          </cell>
          <cell r="C1024" t="str">
            <v>G2505-1067</v>
          </cell>
          <cell r="D1024">
            <v>42944044008983</v>
          </cell>
          <cell r="E1024" t="str">
            <v>钛合金十字槽沉头螺钉</v>
          </cell>
          <cell r="F1024" t="str">
            <v>QJ2584-1993</v>
          </cell>
          <cell r="G1024" t="str">
            <v>M5×6</v>
          </cell>
          <cell r="H1024" t="str">
            <v>σb≥800MPa</v>
          </cell>
          <cell r="I1024" t="str">
            <v>蓝色阳极氧化</v>
          </cell>
          <cell r="J1024" t="str">
            <v>TB3</v>
          </cell>
          <cell r="K1024">
            <v>4032</v>
          </cell>
          <cell r="L1024">
            <v>45946</v>
          </cell>
          <cell r="M1024" t="str">
            <v>4-检验完成</v>
          </cell>
        </row>
        <row r="1024">
          <cell r="P1024" t="str">
            <v>重庆红宇精密工业集团有限公司</v>
          </cell>
          <cell r="Q1024">
            <v>10</v>
          </cell>
          <cell r="R1024">
            <v>45946</v>
          </cell>
        </row>
        <row r="1024">
          <cell r="U1024">
            <v>10000825327</v>
          </cell>
          <cell r="V1024" t="str">
            <v>BIAOQIAN4</v>
          </cell>
        </row>
        <row r="1024">
          <cell r="X1024" t="str">
            <v>CP-108-A</v>
          </cell>
        </row>
        <row r="1024">
          <cell r="Z1024">
            <v>1902</v>
          </cell>
          <cell r="AA1024">
            <v>1100147165</v>
          </cell>
          <cell r="AB1024">
            <v>4100</v>
          </cell>
        </row>
        <row r="1024">
          <cell r="AD1024">
            <v>8.48</v>
          </cell>
          <cell r="AE1024" t="str">
            <v>G-100015451-250516-0033</v>
          </cell>
        </row>
        <row r="1025">
          <cell r="B1025" t="str">
            <v>7101023494</v>
          </cell>
          <cell r="C1025" t="str">
            <v>G2505-0122</v>
          </cell>
          <cell r="D1025" t="str">
            <v>000042944043028915</v>
          </cell>
          <cell r="E1025" t="str">
            <v>开槽凹端紧定螺钉</v>
          </cell>
          <cell r="F1025" t="str">
            <v>GB74-1985</v>
          </cell>
          <cell r="G1025" t="str">
            <v>M10×12</v>
          </cell>
          <cell r="H1025" t="str">
            <v>22H</v>
          </cell>
          <cell r="I1025" t="str">
            <v>Ep·Zn·c2C</v>
          </cell>
          <cell r="J1025" t="str">
            <v>45A</v>
          </cell>
          <cell r="K1025">
            <v>77</v>
          </cell>
          <cell r="L1025">
            <v>45948</v>
          </cell>
          <cell r="M1025" t="str">
            <v>4-检验完成</v>
          </cell>
        </row>
        <row r="1025">
          <cell r="O1025">
            <v>0</v>
          </cell>
          <cell r="P1025" t="str">
            <v>重庆红宇精密工业集团有限公司</v>
          </cell>
          <cell r="Q1025" t="str">
            <v>10</v>
          </cell>
          <cell r="R1025">
            <v>45951</v>
          </cell>
        </row>
        <row r="1025">
          <cell r="U1025" t="str">
            <v>010000821036</v>
          </cell>
          <cell r="V1025" t="str">
            <v>BIAOQIAN1</v>
          </cell>
          <cell r="W1025" t="str">
            <v/>
          </cell>
          <cell r="X1025" t="str">
            <v>CP-12-2-6-6</v>
          </cell>
          <cell r="Y1025" t="str">
            <v/>
          </cell>
          <cell r="Z1025" t="str">
            <v>1902</v>
          </cell>
          <cell r="AA1025" t="str">
            <v>1100152441</v>
          </cell>
          <cell r="AB1025">
            <v>100</v>
          </cell>
          <cell r="AC1025" t="str">
            <v/>
          </cell>
          <cell r="AD1025">
            <v>5.09</v>
          </cell>
          <cell r="AE1025" t="str">
            <v>G-100015451-250902-0049-2-H</v>
          </cell>
        </row>
        <row r="1026">
          <cell r="B1026" t="str">
            <v>7101023493</v>
          </cell>
          <cell r="C1026" t="str">
            <v>G2509-1694</v>
          </cell>
          <cell r="D1026" t="str">
            <v>000042944320008241</v>
          </cell>
          <cell r="E1026" t="str">
            <v>90°沉头铆钉</v>
          </cell>
          <cell r="F1026" t="str">
            <v>HB6306-2002</v>
          </cell>
          <cell r="G1026" t="str">
            <v>3×13</v>
          </cell>
          <cell r="H1026" t="str">
            <v>淬火及时效</v>
          </cell>
          <cell r="I1026" t="str">
            <v>Ct·O</v>
          </cell>
          <cell r="J1026" t="str">
            <v>LY10</v>
          </cell>
          <cell r="K1026">
            <v>62</v>
          </cell>
          <cell r="L1026">
            <v>45948</v>
          </cell>
          <cell r="M1026" t="str">
            <v>4-检验完成</v>
          </cell>
        </row>
        <row r="1026">
          <cell r="O1026">
            <v>0</v>
          </cell>
          <cell r="P1026" t="str">
            <v>重庆红宇精密工业集团有限公司</v>
          </cell>
          <cell r="Q1026" t="str">
            <v>10</v>
          </cell>
          <cell r="R1026">
            <v>45952</v>
          </cell>
        </row>
        <row r="1026">
          <cell r="U1026" t="str">
            <v>010000864436</v>
          </cell>
          <cell r="V1026" t="str">
            <v>BIAOQIAN4</v>
          </cell>
          <cell r="W1026" t="str">
            <v/>
          </cell>
          <cell r="X1026" t="str">
            <v>CP-41-3-1-15</v>
          </cell>
          <cell r="Y1026" t="str">
            <v/>
          </cell>
          <cell r="Z1026" t="str">
            <v>1902</v>
          </cell>
          <cell r="AA1026" t="str">
            <v>1100152440</v>
          </cell>
          <cell r="AB1026">
            <v>1700</v>
          </cell>
          <cell r="AC1026" t="str">
            <v/>
          </cell>
          <cell r="AD1026">
            <v>0.45</v>
          </cell>
          <cell r="AE1026" t="str">
            <v>G-100015451-250902-0049-1-T</v>
          </cell>
        </row>
        <row r="1027">
          <cell r="B1027" t="str">
            <v>7101023492</v>
          </cell>
          <cell r="C1027" t="str">
            <v>G2410-1324</v>
          </cell>
          <cell r="D1027" t="str">
            <v>000042944320008241</v>
          </cell>
          <cell r="E1027" t="str">
            <v>90°沉头铆钉</v>
          </cell>
          <cell r="F1027" t="str">
            <v>HB6306-2002</v>
          </cell>
          <cell r="G1027" t="str">
            <v>3×13</v>
          </cell>
          <cell r="H1027" t="str">
            <v>淬火及时效</v>
          </cell>
          <cell r="I1027" t="str">
            <v>Ct·O</v>
          </cell>
          <cell r="J1027" t="str">
            <v>LY10</v>
          </cell>
          <cell r="K1027">
            <v>21</v>
          </cell>
          <cell r="L1027">
            <v>45948</v>
          </cell>
          <cell r="M1027" t="str">
            <v>4-检验完成</v>
          </cell>
        </row>
        <row r="1027">
          <cell r="O1027">
            <v>0</v>
          </cell>
          <cell r="P1027" t="str">
            <v>重庆红宇精密工业集团有限公司</v>
          </cell>
          <cell r="Q1027" t="str">
            <v>10</v>
          </cell>
          <cell r="R1027">
            <v>45951</v>
          </cell>
        </row>
        <row r="1027">
          <cell r="U1027" t="str">
            <v>010000742655</v>
          </cell>
          <cell r="V1027" t="str">
            <v>BIAOQIAN1</v>
          </cell>
          <cell r="W1027" t="str">
            <v/>
          </cell>
          <cell r="X1027" t="str">
            <v>CP-108-A</v>
          </cell>
          <cell r="Y1027" t="str">
            <v/>
          </cell>
          <cell r="Z1027" t="str">
            <v>1902</v>
          </cell>
          <cell r="AA1027" t="str">
            <v>1100152440</v>
          </cell>
          <cell r="AB1027">
            <v>1700</v>
          </cell>
          <cell r="AC1027" t="str">
            <v/>
          </cell>
          <cell r="AD1027">
            <v>0.45</v>
          </cell>
          <cell r="AE1027" t="str">
            <v>G-100015451-250902-0049-1-T</v>
          </cell>
        </row>
        <row r="1028">
          <cell r="B1028" t="str">
            <v>7101023491</v>
          </cell>
          <cell r="C1028" t="str">
            <v>G2104-2372</v>
          </cell>
          <cell r="D1028" t="str">
            <v>000042944320008241</v>
          </cell>
          <cell r="E1028" t="str">
            <v>90°沉头铆钉</v>
          </cell>
          <cell r="F1028" t="str">
            <v>HB6306-2002</v>
          </cell>
          <cell r="G1028" t="str">
            <v>3×13</v>
          </cell>
          <cell r="H1028" t="str">
            <v>淬火及时效</v>
          </cell>
          <cell r="I1028" t="str">
            <v>Ct·O</v>
          </cell>
          <cell r="J1028" t="str">
            <v>LY10</v>
          </cell>
          <cell r="K1028">
            <v>20</v>
          </cell>
          <cell r="L1028">
            <v>45948</v>
          </cell>
          <cell r="M1028" t="str">
            <v>3-配货完成</v>
          </cell>
        </row>
        <row r="1028">
          <cell r="O1028">
            <v>0</v>
          </cell>
          <cell r="P1028" t="str">
            <v>重庆红宇精密工业集团有限公司</v>
          </cell>
          <cell r="Q1028" t="str">
            <v>10</v>
          </cell>
        </row>
        <row r="1028">
          <cell r="U1028" t="str">
            <v>010000362399</v>
          </cell>
          <cell r="V1028" t="str">
            <v>BIAOQIAN4</v>
          </cell>
          <cell r="W1028" t="str">
            <v/>
          </cell>
          <cell r="X1028" t="str">
            <v>CP-19-3-3-7</v>
          </cell>
          <cell r="Y1028" t="str">
            <v/>
          </cell>
          <cell r="Z1028" t="str">
            <v>1902</v>
          </cell>
          <cell r="AA1028" t="str">
            <v>1100152440</v>
          </cell>
          <cell r="AB1028">
            <v>1700</v>
          </cell>
          <cell r="AC1028" t="str">
            <v/>
          </cell>
          <cell r="AD1028">
            <v>0.45</v>
          </cell>
          <cell r="AE1028" t="str">
            <v>G-100015451-250902-0049-1-T</v>
          </cell>
        </row>
        <row r="1029">
          <cell r="B1029" t="str">
            <v>7101023490</v>
          </cell>
          <cell r="C1029" t="str">
            <v>G2010-2300</v>
          </cell>
          <cell r="D1029" t="str">
            <v>000042944320008241</v>
          </cell>
          <cell r="E1029" t="str">
            <v>90°沉头铆钉</v>
          </cell>
          <cell r="F1029" t="str">
            <v>HB6306-2002</v>
          </cell>
          <cell r="G1029" t="str">
            <v>3×13</v>
          </cell>
          <cell r="H1029" t="str">
            <v>淬火及时效</v>
          </cell>
          <cell r="I1029" t="str">
            <v>Ct·O</v>
          </cell>
          <cell r="J1029" t="str">
            <v>LY10</v>
          </cell>
          <cell r="K1029">
            <v>20</v>
          </cell>
          <cell r="L1029">
            <v>45948</v>
          </cell>
          <cell r="M1029" t="str">
            <v>4-检验完成</v>
          </cell>
        </row>
        <row r="1029">
          <cell r="O1029">
            <v>0</v>
          </cell>
          <cell r="P1029" t="str">
            <v>重庆红宇精密工业集团有限公司</v>
          </cell>
          <cell r="Q1029" t="str">
            <v>10</v>
          </cell>
          <cell r="R1029">
            <v>45951</v>
          </cell>
        </row>
        <row r="1029">
          <cell r="U1029" t="str">
            <v>010000289215</v>
          </cell>
          <cell r="V1029" t="str">
            <v>PANQIFANG</v>
          </cell>
          <cell r="W1029" t="str">
            <v/>
          </cell>
          <cell r="X1029" t="str">
            <v>CP-52-2-3-8</v>
          </cell>
          <cell r="Y1029" t="str">
            <v/>
          </cell>
          <cell r="Z1029" t="str">
            <v>1902</v>
          </cell>
          <cell r="AA1029" t="str">
            <v>1100152440</v>
          </cell>
          <cell r="AB1029">
            <v>1700</v>
          </cell>
          <cell r="AC1029" t="str">
            <v/>
          </cell>
          <cell r="AD1029">
            <v>0.45</v>
          </cell>
          <cell r="AE1029" t="str">
            <v>G-100015451-250902-0049-1-T</v>
          </cell>
        </row>
        <row r="1030">
          <cell r="B1030" t="str">
            <v>7101022650</v>
          </cell>
          <cell r="C1030" t="str">
            <v>G2509-1672</v>
          </cell>
          <cell r="D1030" t="str">
            <v>000042944044153303</v>
          </cell>
          <cell r="E1030" t="str">
            <v>十字槽沉头螺钉</v>
          </cell>
          <cell r="F1030" t="str">
            <v>GB/T819.1-2016</v>
          </cell>
          <cell r="G1030" t="str">
            <v>M3×10</v>
          </cell>
          <cell r="H1030" t="str">
            <v>4.8</v>
          </cell>
          <cell r="I1030" t="str">
            <v>Ep·Zn·c2C</v>
          </cell>
          <cell r="J1030" t="str">
            <v>ML25</v>
          </cell>
          <cell r="K1030">
            <v>300</v>
          </cell>
          <cell r="L1030">
            <v>45947</v>
          </cell>
          <cell r="M1030" t="str">
            <v>4-检验完成</v>
          </cell>
        </row>
        <row r="1030">
          <cell r="O1030">
            <v>0</v>
          </cell>
          <cell r="P1030" t="str">
            <v>重庆红宇精密工业集团有限公司</v>
          </cell>
          <cell r="Q1030" t="str">
            <v>10</v>
          </cell>
          <cell r="R1030">
            <v>45947</v>
          </cell>
        </row>
        <row r="1030">
          <cell r="U1030" t="str">
            <v>010000864289</v>
          </cell>
          <cell r="V1030" t="str">
            <v>PANQIFANG</v>
          </cell>
          <cell r="W1030" t="str">
            <v/>
          </cell>
          <cell r="X1030" t="str">
            <v>CP-108-A</v>
          </cell>
          <cell r="Y1030" t="str">
            <v/>
          </cell>
          <cell r="Z1030" t="str">
            <v>1902</v>
          </cell>
          <cell r="AA1030" t="str">
            <v>1100152442</v>
          </cell>
          <cell r="AB1030">
            <v>300</v>
          </cell>
          <cell r="AC1030" t="str">
            <v/>
          </cell>
          <cell r="AD1030">
            <v>0.68</v>
          </cell>
          <cell r="AE1030" t="str">
            <v>G-100015451-250902-0049-2</v>
          </cell>
        </row>
        <row r="1031">
          <cell r="B1031" t="str">
            <v>7101022649</v>
          </cell>
          <cell r="C1031" t="str">
            <v>G2507-0114</v>
          </cell>
          <cell r="D1031" t="str">
            <v>000042944201092160</v>
          </cell>
          <cell r="E1031" t="str">
            <v>六角头螺栓全螺纹</v>
          </cell>
          <cell r="F1031" t="str">
            <v>GB/T5783-2000(CQHY)</v>
          </cell>
          <cell r="G1031" t="str">
            <v>M8×25</v>
          </cell>
          <cell r="H1031" t="str">
            <v>8.8</v>
          </cell>
          <cell r="I1031" t="str">
            <v>Ep·Zn·c2C</v>
          </cell>
          <cell r="J1031" t="str">
            <v>ML30CrMnSiA</v>
          </cell>
          <cell r="K1031">
            <v>2</v>
          </cell>
          <cell r="L1031">
            <v>45947</v>
          </cell>
          <cell r="M1031" t="str">
            <v>4-检验完成</v>
          </cell>
        </row>
        <row r="1031">
          <cell r="O1031">
            <v>0</v>
          </cell>
          <cell r="P1031" t="str">
            <v>重庆红宇精密工业集团有限公司</v>
          </cell>
          <cell r="Q1031" t="str">
            <v>60</v>
          </cell>
          <cell r="R1031">
            <v>45948</v>
          </cell>
        </row>
        <row r="1031">
          <cell r="U1031" t="str">
            <v>010000839680</v>
          </cell>
          <cell r="V1031" t="str">
            <v>PANQIFANG</v>
          </cell>
          <cell r="W1031" t="str">
            <v/>
          </cell>
          <cell r="X1031" t="str">
            <v>CP-108-A</v>
          </cell>
          <cell r="Y1031" t="str">
            <v/>
          </cell>
          <cell r="Z1031" t="str">
            <v>1902</v>
          </cell>
          <cell r="AA1031" t="str">
            <v>1100144700</v>
          </cell>
          <cell r="AB1031">
            <v>2</v>
          </cell>
          <cell r="AC1031" t="str">
            <v/>
          </cell>
          <cell r="AD1031">
            <v>3.45</v>
          </cell>
          <cell r="AE1031" t="str">
            <v>G-100015451-250403-0022</v>
          </cell>
        </row>
        <row r="1032">
          <cell r="B1032" t="str">
            <v>7101013498</v>
          </cell>
          <cell r="C1032" t="str">
            <v>G2507-2299</v>
          </cell>
          <cell r="D1032" t="str">
            <v>000042944320008241</v>
          </cell>
          <cell r="E1032" t="str">
            <v>90°沉头铆钉</v>
          </cell>
          <cell r="F1032" t="str">
            <v>HB6306-2002</v>
          </cell>
          <cell r="G1032" t="str">
            <v>3×13</v>
          </cell>
          <cell r="H1032" t="str">
            <v>淬火及时效</v>
          </cell>
          <cell r="I1032" t="str">
            <v>Ct·O</v>
          </cell>
          <cell r="J1032" t="str">
            <v>LY10</v>
          </cell>
          <cell r="K1032">
            <v>37</v>
          </cell>
          <cell r="L1032">
            <v>45924</v>
          </cell>
          <cell r="M1032" t="str">
            <v>1-已打印</v>
          </cell>
        </row>
        <row r="1032">
          <cell r="O1032">
            <v>0</v>
          </cell>
          <cell r="P1032" t="str">
            <v>重庆红宇精密工业集团有限公司</v>
          </cell>
          <cell r="Q1032" t="str">
            <v>10</v>
          </cell>
        </row>
        <row r="1032">
          <cell r="U1032" t="str">
            <v>010000849701</v>
          </cell>
          <cell r="V1032" t="str">
            <v/>
          </cell>
          <cell r="W1032" t="str">
            <v/>
          </cell>
          <cell r="X1032" t="str">
            <v>CP-62-5-3-3</v>
          </cell>
          <cell r="Y1032" t="str">
            <v/>
          </cell>
          <cell r="Z1032" t="str">
            <v>1902</v>
          </cell>
          <cell r="AA1032" t="str">
            <v>1100152440</v>
          </cell>
          <cell r="AB1032">
            <v>1700</v>
          </cell>
          <cell r="AC1032" t="str">
            <v/>
          </cell>
          <cell r="AD1032">
            <v>0.45</v>
          </cell>
          <cell r="AE1032" t="str">
            <v>G-100015451-250902-0049-1-T</v>
          </cell>
        </row>
        <row r="1033">
          <cell r="B1033" t="str">
            <v>7101026412</v>
          </cell>
          <cell r="C1033" t="str">
            <v>G2407-1622</v>
          </cell>
          <cell r="D1033" t="str">
            <v>000042944045000283</v>
          </cell>
          <cell r="E1033" t="str">
            <v>开槽平端紧定螺钉</v>
          </cell>
          <cell r="F1033" t="str">
            <v>GB73-1985</v>
          </cell>
          <cell r="G1033" t="str">
            <v>M3×5</v>
          </cell>
          <cell r="H1033" t="str">
            <v>14H</v>
          </cell>
          <cell r="I1033" t="str">
            <v>Ep·Zn·c2C</v>
          </cell>
          <cell r="J1033" t="str">
            <v>ML25</v>
          </cell>
          <cell r="K1033">
            <v>62</v>
          </cell>
          <cell r="L1033">
            <v>45954</v>
          </cell>
          <cell r="M1033" t="str">
            <v>3-配货完成</v>
          </cell>
        </row>
        <row r="1033">
          <cell r="O1033">
            <v>0</v>
          </cell>
          <cell r="P1033" t="str">
            <v>重庆红宇精密工业集团有限公司</v>
          </cell>
          <cell r="Q1033" t="str">
            <v>10</v>
          </cell>
        </row>
        <row r="1033">
          <cell r="U1033" t="str">
            <v>010000719433</v>
          </cell>
          <cell r="V1033" t="str">
            <v>BIAOQIAN1</v>
          </cell>
          <cell r="W1033" t="str">
            <v/>
          </cell>
          <cell r="X1033" t="str">
            <v>CP-108-A</v>
          </cell>
          <cell r="Y1033" t="str">
            <v/>
          </cell>
          <cell r="Z1033" t="str">
            <v>1902</v>
          </cell>
          <cell r="AA1033" t="str">
            <v>1100154712</v>
          </cell>
          <cell r="AB1033">
            <v>62</v>
          </cell>
          <cell r="AC1033" t="str">
            <v/>
          </cell>
          <cell r="AD1033">
            <v>2.26</v>
          </cell>
          <cell r="AE1033" t="str">
            <v>G-100015451-251024-0052XH</v>
          </cell>
        </row>
        <row r="1034">
          <cell r="B1034" t="str">
            <v>7101026246</v>
          </cell>
          <cell r="C1034" t="str">
            <v>G2510-1048</v>
          </cell>
          <cell r="D1034" t="str">
            <v>000042944041079363</v>
          </cell>
          <cell r="E1034" t="str">
            <v>内六角平端紧定螺钉</v>
          </cell>
          <cell r="F1034" t="str">
            <v>GB/T77-2007</v>
          </cell>
          <cell r="G1034" t="str">
            <v>M8×16</v>
          </cell>
          <cell r="H1034" t="str">
            <v>A2-21H</v>
          </cell>
          <cell r="I1034" t="str">
            <v>ECP</v>
          </cell>
          <cell r="J1034" t="str">
            <v>1Cr18Ni9Ti</v>
          </cell>
          <cell r="K1034">
            <v>174</v>
          </cell>
          <cell r="L1034">
            <v>45953</v>
          </cell>
          <cell r="M1034" t="str">
            <v>1-已打印</v>
          </cell>
        </row>
        <row r="1034">
          <cell r="O1034">
            <v>0</v>
          </cell>
          <cell r="P1034" t="str">
            <v>重庆红宇精密工业集团有限公司</v>
          </cell>
          <cell r="Q1034" t="str">
            <v>60</v>
          </cell>
        </row>
        <row r="1034">
          <cell r="U1034" t="str">
            <v>010000875508</v>
          </cell>
          <cell r="V1034" t="str">
            <v/>
          </cell>
          <cell r="W1034" t="str">
            <v/>
          </cell>
          <cell r="X1034" t="str">
            <v>CP-108-A</v>
          </cell>
          <cell r="Y1034" t="str">
            <v/>
          </cell>
          <cell r="Z1034" t="str">
            <v>1902</v>
          </cell>
          <cell r="AA1034" t="str">
            <v>1100139596</v>
          </cell>
          <cell r="AB1034">
            <v>1100</v>
          </cell>
          <cell r="AC1034" t="str">
            <v/>
          </cell>
          <cell r="AD1034">
            <v>3.39</v>
          </cell>
          <cell r="AE1034" t="str">
            <v>G-100015451-250102-0002</v>
          </cell>
        </row>
        <row r="1035">
          <cell r="B1035" t="str">
            <v>7101023494</v>
          </cell>
          <cell r="C1035" t="str">
            <v>G2505-0122</v>
          </cell>
          <cell r="D1035" t="str">
            <v>000042944043028915</v>
          </cell>
          <cell r="E1035" t="str">
            <v>开槽凹端紧定螺钉</v>
          </cell>
          <cell r="F1035" t="str">
            <v>GB74-1985</v>
          </cell>
          <cell r="G1035" t="str">
            <v>M10×12</v>
          </cell>
          <cell r="H1035" t="str">
            <v>22H</v>
          </cell>
          <cell r="I1035" t="str">
            <v>Ep·Zn·c2C</v>
          </cell>
          <cell r="J1035" t="str">
            <v>45A</v>
          </cell>
          <cell r="K1035">
            <v>77</v>
          </cell>
          <cell r="L1035">
            <v>45948</v>
          </cell>
          <cell r="M1035" t="str">
            <v>4-检验完成</v>
          </cell>
        </row>
        <row r="1035">
          <cell r="O1035">
            <v>0</v>
          </cell>
          <cell r="P1035" t="str">
            <v>重庆红宇精密工业集团有限公司</v>
          </cell>
          <cell r="Q1035" t="str">
            <v>10</v>
          </cell>
          <cell r="R1035">
            <v>45951</v>
          </cell>
        </row>
        <row r="1035">
          <cell r="U1035" t="str">
            <v>010000821036</v>
          </cell>
          <cell r="V1035" t="str">
            <v>BIAOQIAN1</v>
          </cell>
          <cell r="W1035" t="str">
            <v/>
          </cell>
          <cell r="X1035" t="str">
            <v>CP-12-2-6-6</v>
          </cell>
          <cell r="Y1035" t="str">
            <v/>
          </cell>
          <cell r="Z1035" t="str">
            <v>1902</v>
          </cell>
          <cell r="AA1035" t="str">
            <v>1100152441</v>
          </cell>
          <cell r="AB1035">
            <v>100</v>
          </cell>
          <cell r="AC1035" t="str">
            <v/>
          </cell>
          <cell r="AD1035">
            <v>5.09</v>
          </cell>
          <cell r="AE1035" t="str">
            <v>G-100015451-250902-0049-2-H</v>
          </cell>
        </row>
        <row r="1036">
          <cell r="B1036" t="str">
            <v>7101027367</v>
          </cell>
          <cell r="C1036" t="str">
            <v>G2510-0679</v>
          </cell>
          <cell r="D1036" t="str">
            <v>000042944044018456</v>
          </cell>
          <cell r="E1036" t="str">
            <v>十字槽沉头螺钉</v>
          </cell>
          <cell r="F1036" t="str">
            <v>GB/T819.2-2016</v>
          </cell>
          <cell r="G1036" t="str">
            <v>M4×8</v>
          </cell>
          <cell r="H1036" t="str">
            <v>A2-70</v>
          </cell>
          <cell r="I1036" t="str">
            <v>ECP</v>
          </cell>
          <cell r="J1036" t="str">
            <v>ML1Cr18Ni9Ti</v>
          </cell>
          <cell r="K1036">
            <v>200</v>
          </cell>
          <cell r="L1036">
            <v>45955</v>
          </cell>
          <cell r="M1036" t="str">
            <v>1-已打印</v>
          </cell>
        </row>
        <row r="1036">
          <cell r="O1036">
            <v>0</v>
          </cell>
          <cell r="P1036" t="str">
            <v>重庆红宇精密工业集团有限公司</v>
          </cell>
          <cell r="Q1036" t="str">
            <v>50</v>
          </cell>
        </row>
        <row r="1036">
          <cell r="U1036" t="str">
            <v>010000873792</v>
          </cell>
          <cell r="V1036" t="str">
            <v/>
          </cell>
          <cell r="W1036" t="str">
            <v/>
          </cell>
          <cell r="X1036" t="str">
            <v>CP-108-A</v>
          </cell>
          <cell r="Y1036" t="str">
            <v/>
          </cell>
          <cell r="Z1036" t="str">
            <v>1902</v>
          </cell>
          <cell r="AA1036" t="str">
            <v>1100139596</v>
          </cell>
          <cell r="AB1036">
            <v>53800</v>
          </cell>
          <cell r="AC1036" t="str">
            <v/>
          </cell>
          <cell r="AD1036">
            <v>0.57</v>
          </cell>
          <cell r="AE1036" t="str">
            <v>G-100015451-250102-0002</v>
          </cell>
        </row>
        <row r="1037">
          <cell r="B1037" t="str">
            <v>7101027365</v>
          </cell>
          <cell r="C1037" t="str">
            <v>G2510-0679</v>
          </cell>
          <cell r="D1037" t="str">
            <v>000042944044018456</v>
          </cell>
          <cell r="E1037" t="str">
            <v>十字槽沉头螺钉</v>
          </cell>
          <cell r="F1037" t="str">
            <v>GB/T819.2-2016</v>
          </cell>
          <cell r="G1037" t="str">
            <v>M4×8</v>
          </cell>
          <cell r="H1037" t="str">
            <v>A2-70</v>
          </cell>
          <cell r="I1037" t="str">
            <v>ECP</v>
          </cell>
          <cell r="J1037" t="str">
            <v>ML1Cr18Ni9Ti</v>
          </cell>
          <cell r="K1037">
            <v>8741</v>
          </cell>
          <cell r="L1037">
            <v>45955</v>
          </cell>
          <cell r="M1037" t="str">
            <v>1-已打印</v>
          </cell>
        </row>
        <row r="1037">
          <cell r="O1037">
            <v>0</v>
          </cell>
          <cell r="P1037" t="str">
            <v>重庆红宇精密工业集团有限公司</v>
          </cell>
          <cell r="Q1037" t="str">
            <v>60</v>
          </cell>
        </row>
        <row r="1037">
          <cell r="U1037" t="str">
            <v>010000873792</v>
          </cell>
          <cell r="V1037" t="str">
            <v/>
          </cell>
          <cell r="W1037" t="str">
            <v/>
          </cell>
          <cell r="X1037" t="str">
            <v>CP-108-A</v>
          </cell>
          <cell r="Y1037" t="str">
            <v/>
          </cell>
          <cell r="Z1037" t="str">
            <v>1902</v>
          </cell>
          <cell r="AA1037" t="str">
            <v>1100139595</v>
          </cell>
          <cell r="AB1037">
            <v>22800</v>
          </cell>
          <cell r="AC1037" t="str">
            <v/>
          </cell>
          <cell r="AD1037">
            <v>0.57</v>
          </cell>
          <cell r="AE1037" t="str">
            <v>G-100015451-250102-0001</v>
          </cell>
        </row>
        <row r="1038">
          <cell r="B1038" t="str">
            <v>7101027340</v>
          </cell>
          <cell r="C1038" t="str">
            <v>G2504-4320</v>
          </cell>
          <cell r="D1038" t="str">
            <v>000042944288000715</v>
          </cell>
          <cell r="E1038" t="str">
            <v>气密双耳托板自锁螺母</v>
          </cell>
          <cell r="F1038" t="str">
            <v>GB933-1988</v>
          </cell>
          <cell r="G1038" t="str">
            <v>M8</v>
          </cell>
          <cell r="H1038" t="str">
            <v>30-36HRC</v>
          </cell>
          <cell r="I1038" t="str">
            <v>Ep·Cd·c2C</v>
          </cell>
          <cell r="J1038" t="str">
            <v>组件(螺母体ML30CrMnSiA)</v>
          </cell>
          <cell r="K1038">
            <v>3246</v>
          </cell>
          <cell r="L1038">
            <v>45955</v>
          </cell>
          <cell r="M1038" t="str">
            <v>1-已打印</v>
          </cell>
        </row>
        <row r="1038">
          <cell r="O1038">
            <v>0</v>
          </cell>
          <cell r="P1038" t="str">
            <v>重庆红宇精密工业集团有限公司</v>
          </cell>
          <cell r="Q1038" t="str">
            <v>20</v>
          </cell>
        </row>
        <row r="1038">
          <cell r="U1038" t="str">
            <v>010000818232</v>
          </cell>
          <cell r="V1038" t="str">
            <v/>
          </cell>
          <cell r="W1038" t="str">
            <v/>
          </cell>
          <cell r="X1038" t="str">
            <v>XC-29-1-4-4</v>
          </cell>
          <cell r="Y1038" t="str">
            <v/>
          </cell>
          <cell r="Z1038" t="str">
            <v>1902</v>
          </cell>
          <cell r="AA1038" t="str">
            <v>1100146429</v>
          </cell>
          <cell r="AB1038">
            <v>3400</v>
          </cell>
          <cell r="AC1038" t="str">
            <v/>
          </cell>
          <cell r="AD1038">
            <v>11.07</v>
          </cell>
          <cell r="AE1038" t="str">
            <v>G-100015451-250503-0031</v>
          </cell>
        </row>
        <row r="1039">
          <cell r="B1039">
            <v>7101027522</v>
          </cell>
          <cell r="C1039" t="str">
            <v>G2510-0680</v>
          </cell>
          <cell r="D1039">
            <v>42944044018456</v>
          </cell>
          <cell r="E1039" t="str">
            <v>十字槽沉头螺钉</v>
          </cell>
          <cell r="F1039" t="str">
            <v>GB/T819.2-2016</v>
          </cell>
          <cell r="G1039" t="str">
            <v>M4×8</v>
          </cell>
          <cell r="H1039" t="str">
            <v>A2-70</v>
          </cell>
          <cell r="I1039" t="str">
            <v>ECP</v>
          </cell>
          <cell r="J1039" t="str">
            <v>ML1Cr18Ni9Ti</v>
          </cell>
          <cell r="K1039">
            <v>10330</v>
          </cell>
          <cell r="L1039">
            <v>45955</v>
          </cell>
          <cell r="M1039" t="str">
            <v>6-过账完成</v>
          </cell>
        </row>
        <row r="1039">
          <cell r="P1039" t="str">
            <v>重庆红宇精密工业集团有限公司</v>
          </cell>
          <cell r="Q1039">
            <v>50</v>
          </cell>
          <cell r="R1039">
            <v>45955</v>
          </cell>
          <cell r="S1039">
            <v>45955</v>
          </cell>
          <cell r="T1039">
            <v>45955</v>
          </cell>
          <cell r="U1039">
            <v>10000873793</v>
          </cell>
          <cell r="V1039" t="str">
            <v>BIAOQIAN4</v>
          </cell>
        </row>
        <row r="1039">
          <cell r="X1039" t="str">
            <v>CP-108-A</v>
          </cell>
          <cell r="Y1039" t="str">
            <v>ANXINGYOU</v>
          </cell>
          <cell r="Z1039">
            <v>1902</v>
          </cell>
          <cell r="AA1039">
            <v>1100139596</v>
          </cell>
          <cell r="AB1039">
            <v>53800</v>
          </cell>
        </row>
        <row r="1039">
          <cell r="AD1039">
            <v>0.57</v>
          </cell>
          <cell r="AE1039" t="str">
            <v>G-100015451-250102-0002</v>
          </cell>
        </row>
        <row r="1040">
          <cell r="B1040" t="str">
            <v>7101029412</v>
          </cell>
          <cell r="C1040" t="str">
            <v>G2503-0374</v>
          </cell>
          <cell r="D1040" t="str">
            <v>000042944041114976</v>
          </cell>
          <cell r="E1040" t="str">
            <v>内六角圆柱头螺钉</v>
          </cell>
          <cell r="F1040" t="str">
            <v>GB/T70.1-2008(CQHY)</v>
          </cell>
          <cell r="G1040" t="str">
            <v>M10×20</v>
          </cell>
          <cell r="H1040" t="str">
            <v>12.9</v>
          </cell>
          <cell r="I1040" t="str">
            <v>Ct·P</v>
          </cell>
          <cell r="J1040" t="str">
            <v>17-4PH</v>
          </cell>
          <cell r="K1040">
            <v>3060</v>
          </cell>
          <cell r="L1040">
            <v>45960</v>
          </cell>
          <cell r="M1040" t="str">
            <v>3-配货完成</v>
          </cell>
        </row>
        <row r="1040">
          <cell r="O1040">
            <v>0</v>
          </cell>
          <cell r="P1040" t="str">
            <v>重庆红宇精密工业集团有限公司</v>
          </cell>
          <cell r="Q1040" t="str">
            <v>40</v>
          </cell>
        </row>
        <row r="1040">
          <cell r="U1040" t="str">
            <v>010000791909</v>
          </cell>
          <cell r="V1040" t="str">
            <v>BIAOQIAN1</v>
          </cell>
          <cell r="W1040" t="str">
            <v/>
          </cell>
          <cell r="X1040" t="str">
            <v>CP-108-A</v>
          </cell>
          <cell r="Y1040" t="str">
            <v/>
          </cell>
          <cell r="Z1040" t="str">
            <v>1902</v>
          </cell>
          <cell r="AA1040" t="str">
            <v>1100146429</v>
          </cell>
          <cell r="AB1040">
            <v>3100</v>
          </cell>
          <cell r="AC1040" t="str">
            <v/>
          </cell>
          <cell r="AD1040">
            <v>20.34</v>
          </cell>
          <cell r="AE1040" t="str">
            <v>G-100015451-250503-0031</v>
          </cell>
        </row>
        <row r="1041">
          <cell r="B1041" t="str">
            <v>7101029411</v>
          </cell>
          <cell r="C1041" t="str">
            <v>G2503-0374</v>
          </cell>
          <cell r="D1041" t="str">
            <v>000042944041114976</v>
          </cell>
          <cell r="E1041" t="str">
            <v>内六角圆柱头螺钉</v>
          </cell>
          <cell r="F1041" t="str">
            <v>GB/T70.1-2008(CQHY)</v>
          </cell>
          <cell r="G1041" t="str">
            <v>M10×20</v>
          </cell>
          <cell r="H1041" t="str">
            <v>12.9</v>
          </cell>
          <cell r="I1041" t="str">
            <v>Ct·P</v>
          </cell>
          <cell r="J1041" t="str">
            <v>17-4PH</v>
          </cell>
          <cell r="K1041">
            <v>9</v>
          </cell>
          <cell r="L1041">
            <v>45960</v>
          </cell>
          <cell r="M1041" t="str">
            <v>3-配货完成</v>
          </cell>
        </row>
        <row r="1041">
          <cell r="O1041">
            <v>0</v>
          </cell>
          <cell r="P1041" t="str">
            <v>重庆红宇精密工业集团有限公司</v>
          </cell>
          <cell r="Q1041" t="str">
            <v>30</v>
          </cell>
        </row>
        <row r="1041">
          <cell r="U1041" t="str">
            <v>010000791909</v>
          </cell>
          <cell r="V1041" t="str">
            <v>BIAOQIAN1</v>
          </cell>
          <cell r="W1041" t="str">
            <v/>
          </cell>
          <cell r="X1041" t="str">
            <v>CP-108-A</v>
          </cell>
          <cell r="Y1041" t="str">
            <v/>
          </cell>
          <cell r="Z1041" t="str">
            <v>1902</v>
          </cell>
          <cell r="AA1041" t="str">
            <v>1100135497</v>
          </cell>
          <cell r="AB1041">
            <v>900</v>
          </cell>
          <cell r="AC1041" t="str">
            <v/>
          </cell>
          <cell r="AD1041">
            <v>20.34</v>
          </cell>
          <cell r="AE1041" t="str">
            <v>G-100015451-241016-0035</v>
          </cell>
        </row>
        <row r="1042">
          <cell r="B1042" t="str">
            <v>7101029091</v>
          </cell>
          <cell r="C1042" t="str">
            <v>GW2510-119</v>
          </cell>
          <cell r="D1042" t="str">
            <v>000042944041000921</v>
          </cell>
          <cell r="E1042" t="str">
            <v>内六角圆柱头螺钉</v>
          </cell>
          <cell r="F1042" t="str">
            <v>GB/T70.1-2008</v>
          </cell>
          <cell r="G1042" t="str">
            <v>M4×16</v>
          </cell>
          <cell r="H1042" t="str">
            <v>A2-70</v>
          </cell>
          <cell r="I1042" t="str">
            <v>ECP</v>
          </cell>
          <cell r="J1042" t="str">
            <v>ML1Cr18Ni9Ti</v>
          </cell>
          <cell r="K1042">
            <v>500</v>
          </cell>
          <cell r="L1042">
            <v>45959</v>
          </cell>
          <cell r="M1042" t="str">
            <v>3-配货完成</v>
          </cell>
        </row>
        <row r="1042">
          <cell r="O1042">
            <v>0</v>
          </cell>
          <cell r="P1042" t="str">
            <v>重庆红宇精密工业集团有限公司</v>
          </cell>
          <cell r="Q1042" t="str">
            <v>10</v>
          </cell>
        </row>
        <row r="1042">
          <cell r="U1042" t="str">
            <v/>
          </cell>
          <cell r="V1042" t="str">
            <v>BIAOQIAN4</v>
          </cell>
          <cell r="W1042" t="str">
            <v/>
          </cell>
          <cell r="X1042" t="str">
            <v>XH-000</v>
          </cell>
          <cell r="Y1042" t="str">
            <v/>
          </cell>
          <cell r="Z1042" t="str">
            <v>1902</v>
          </cell>
          <cell r="AA1042" t="str">
            <v>1100154326</v>
          </cell>
          <cell r="AB1042">
            <v>500</v>
          </cell>
          <cell r="AC1042" t="str">
            <v/>
          </cell>
          <cell r="AD1042">
            <v>2.26</v>
          </cell>
          <cell r="AE1042" t="str">
            <v>G-100015451-251017-0051-1-H-XH</v>
          </cell>
        </row>
        <row r="1043">
          <cell r="B1043" t="str">
            <v>7101037514</v>
          </cell>
          <cell r="C1043" t="str">
            <v>G2505-1665</v>
          </cell>
          <cell r="D1043" t="str">
            <v>000042944043153280</v>
          </cell>
          <cell r="E1043" t="str">
            <v>开槽平端紧定螺钉</v>
          </cell>
          <cell r="F1043" t="str">
            <v>GB/T73-2017</v>
          </cell>
          <cell r="G1043" t="str">
            <v>M4×6</v>
          </cell>
          <cell r="H1043" t="str">
            <v>22H</v>
          </cell>
          <cell r="I1043" t="str">
            <v>Ep·Zn·c2C</v>
          </cell>
          <cell r="J1043" t="str">
            <v>45A</v>
          </cell>
          <cell r="K1043">
            <v>276</v>
          </cell>
          <cell r="L1043">
            <v>45979</v>
          </cell>
          <cell r="M1043" t="str">
            <v>4-检验完成</v>
          </cell>
        </row>
        <row r="1043">
          <cell r="O1043">
            <v>0</v>
          </cell>
          <cell r="P1043" t="str">
            <v>重庆红宇精密工业集团有限公司</v>
          </cell>
          <cell r="Q1043" t="str">
            <v>10</v>
          </cell>
          <cell r="R1043">
            <v>45980</v>
          </cell>
        </row>
        <row r="1043">
          <cell r="U1043" t="str">
            <v>010000828731</v>
          </cell>
          <cell r="V1043" t="str">
            <v>BIAOQIAN3</v>
          </cell>
          <cell r="W1043" t="str">
            <v/>
          </cell>
          <cell r="X1043" t="str">
            <v>CP-108-A</v>
          </cell>
          <cell r="Y1043" t="str">
            <v/>
          </cell>
          <cell r="Z1043" t="str">
            <v>1902</v>
          </cell>
          <cell r="AA1043" t="str">
            <v>1100146026</v>
          </cell>
          <cell r="AB1043">
            <v>500</v>
          </cell>
          <cell r="AC1043" t="str">
            <v/>
          </cell>
          <cell r="AD1043">
            <v>4.52</v>
          </cell>
          <cell r="AE1043" t="str">
            <v>G-100015451-250423-0030</v>
          </cell>
        </row>
        <row r="1044">
          <cell r="B1044" t="str">
            <v>7101037513</v>
          </cell>
          <cell r="C1044" t="str">
            <v>G2505-1665</v>
          </cell>
          <cell r="D1044" t="str">
            <v>000042944043153280</v>
          </cell>
          <cell r="E1044" t="str">
            <v>开槽平端紧定螺钉</v>
          </cell>
          <cell r="F1044" t="str">
            <v>GB/T73-2017</v>
          </cell>
          <cell r="G1044" t="str">
            <v>M4×6</v>
          </cell>
          <cell r="H1044" t="str">
            <v>22H</v>
          </cell>
          <cell r="I1044" t="str">
            <v>Ep·Zn·c2C</v>
          </cell>
          <cell r="J1044" t="str">
            <v>45A</v>
          </cell>
          <cell r="K1044">
            <v>200</v>
          </cell>
          <cell r="L1044">
            <v>45979</v>
          </cell>
          <cell r="M1044" t="str">
            <v>4-检验完成</v>
          </cell>
        </row>
        <row r="1044">
          <cell r="O1044">
            <v>0</v>
          </cell>
          <cell r="P1044" t="str">
            <v>重庆红宇精密工业集团有限公司</v>
          </cell>
          <cell r="Q1044" t="str">
            <v>50</v>
          </cell>
          <cell r="R1044">
            <v>45980</v>
          </cell>
        </row>
        <row r="1044">
          <cell r="U1044" t="str">
            <v>010000828731</v>
          </cell>
          <cell r="V1044" t="str">
            <v>BIAOQIAN3</v>
          </cell>
          <cell r="W1044" t="str">
            <v/>
          </cell>
          <cell r="X1044" t="str">
            <v>CP-108-A</v>
          </cell>
          <cell r="Y1044" t="str">
            <v/>
          </cell>
          <cell r="Z1044" t="str">
            <v>1902</v>
          </cell>
          <cell r="AA1044" t="str">
            <v>1100149917</v>
          </cell>
          <cell r="AB1044">
            <v>200</v>
          </cell>
          <cell r="AC1044" t="str">
            <v/>
          </cell>
          <cell r="AD1044">
            <v>4.52</v>
          </cell>
          <cell r="AE1044" t="str">
            <v>G-100015451-250709-0045</v>
          </cell>
        </row>
        <row r="1045">
          <cell r="B1045" t="str">
            <v>7101030030</v>
          </cell>
          <cell r="C1045" t="str">
            <v>GW2510-178</v>
          </cell>
          <cell r="D1045" t="str">
            <v>000042944320008241</v>
          </cell>
          <cell r="E1045" t="str">
            <v>90°沉头铆钉</v>
          </cell>
          <cell r="F1045" t="str">
            <v>HB6306-2002</v>
          </cell>
          <cell r="G1045" t="str">
            <v>3×13</v>
          </cell>
          <cell r="H1045" t="str">
            <v>淬火及时效</v>
          </cell>
          <cell r="I1045" t="str">
            <v>Ct·O</v>
          </cell>
          <cell r="J1045" t="str">
            <v>LY10</v>
          </cell>
          <cell r="K1045">
            <v>1555</v>
          </cell>
          <cell r="L1045">
            <v>45961</v>
          </cell>
          <cell r="M1045" t="str">
            <v>4-检验完成</v>
          </cell>
        </row>
        <row r="1045">
          <cell r="O1045">
            <v>0</v>
          </cell>
          <cell r="P1045" t="str">
            <v>重庆红宇精密工业集团有限公司</v>
          </cell>
          <cell r="Q1045" t="str">
            <v>10</v>
          </cell>
          <cell r="R1045">
            <v>45964</v>
          </cell>
        </row>
        <row r="1045">
          <cell r="U1045" t="str">
            <v/>
          </cell>
          <cell r="V1045" t="str">
            <v>BIAOQIAN2</v>
          </cell>
          <cell r="W1045" t="str">
            <v/>
          </cell>
          <cell r="X1045" t="str">
            <v>XH-000</v>
          </cell>
          <cell r="Y1045" t="str">
            <v/>
          </cell>
          <cell r="Z1045" t="str">
            <v>1902</v>
          </cell>
          <cell r="AA1045" t="str">
            <v>1100152440</v>
          </cell>
          <cell r="AB1045">
            <v>1700</v>
          </cell>
          <cell r="AC1045" t="str">
            <v/>
          </cell>
          <cell r="AD1045">
            <v>0.45</v>
          </cell>
          <cell r="AE1045" t="str">
            <v>G-100015451-250902-0049-1-T</v>
          </cell>
        </row>
        <row r="1046">
          <cell r="B1046" t="str">
            <v>7101029091</v>
          </cell>
          <cell r="C1046" t="str">
            <v>GW2510-119</v>
          </cell>
          <cell r="D1046" t="str">
            <v>000042944041000921</v>
          </cell>
          <cell r="E1046" t="str">
            <v>内六角圆柱头螺钉</v>
          </cell>
          <cell r="F1046" t="str">
            <v>GB/T70.1-2008</v>
          </cell>
          <cell r="G1046" t="str">
            <v>M4×16</v>
          </cell>
          <cell r="H1046" t="str">
            <v>A2-70</v>
          </cell>
          <cell r="I1046" t="str">
            <v>ECP</v>
          </cell>
          <cell r="J1046" t="str">
            <v>ML1Cr18Ni9Ti</v>
          </cell>
          <cell r="K1046">
            <v>500</v>
          </cell>
          <cell r="L1046">
            <v>45959</v>
          </cell>
          <cell r="M1046" t="str">
            <v>4-检验完成</v>
          </cell>
        </row>
        <row r="1046">
          <cell r="O1046">
            <v>0</v>
          </cell>
          <cell r="P1046" t="str">
            <v>重庆红宇精密工业集团有限公司</v>
          </cell>
          <cell r="Q1046" t="str">
            <v>10</v>
          </cell>
          <cell r="R1046">
            <v>45960</v>
          </cell>
        </row>
        <row r="1046">
          <cell r="U1046" t="str">
            <v/>
          </cell>
          <cell r="V1046" t="str">
            <v>BIAOQIAN4</v>
          </cell>
          <cell r="W1046" t="str">
            <v/>
          </cell>
          <cell r="X1046" t="str">
            <v>XH-000</v>
          </cell>
          <cell r="Y1046" t="str">
            <v/>
          </cell>
          <cell r="Z1046" t="str">
            <v>1902</v>
          </cell>
          <cell r="AA1046" t="str">
            <v>1100154326</v>
          </cell>
          <cell r="AB1046">
            <v>500</v>
          </cell>
          <cell r="AC1046" t="str">
            <v/>
          </cell>
          <cell r="AD1046">
            <v>2.26</v>
          </cell>
          <cell r="AE1046" t="str">
            <v>G-100015451-251017-0051-1-H-XH</v>
          </cell>
        </row>
        <row r="1047">
          <cell r="B1047" t="str">
            <v>7101040334</v>
          </cell>
          <cell r="C1047" t="str">
            <v>G2507-0915</v>
          </cell>
          <cell r="D1047" t="str">
            <v>000042944041002002</v>
          </cell>
          <cell r="E1047" t="str">
            <v>内六角圆柱头螺钉</v>
          </cell>
          <cell r="F1047" t="str">
            <v>GB/T70.1-2008</v>
          </cell>
          <cell r="G1047" t="str">
            <v>M4×10</v>
          </cell>
          <cell r="H1047" t="str">
            <v>8.8</v>
          </cell>
          <cell r="I1047" t="str">
            <v>Ep·Zn·c2C</v>
          </cell>
          <cell r="J1047" t="str">
            <v>ML30CrMnSiA</v>
          </cell>
          <cell r="K1047">
            <v>120</v>
          </cell>
          <cell r="L1047">
            <v>45985</v>
          </cell>
          <cell r="M1047" t="str">
            <v>3-配货完成</v>
          </cell>
        </row>
        <row r="1047">
          <cell r="O1047">
            <v>0</v>
          </cell>
          <cell r="P1047" t="str">
            <v>重庆红宇精密工业集团有限公司</v>
          </cell>
          <cell r="Q1047" t="str">
            <v>10</v>
          </cell>
        </row>
        <row r="1047">
          <cell r="U1047" t="str">
            <v>010000844042</v>
          </cell>
          <cell r="V1047" t="str">
            <v>BIAOQIAN4</v>
          </cell>
          <cell r="W1047" t="str">
            <v/>
          </cell>
          <cell r="X1047" t="str">
            <v>CP-108-A</v>
          </cell>
          <cell r="Y1047" t="str">
            <v/>
          </cell>
          <cell r="Z1047" t="str">
            <v>1902</v>
          </cell>
          <cell r="AA1047" t="str">
            <v>1100149917</v>
          </cell>
          <cell r="AB1047">
            <v>120</v>
          </cell>
          <cell r="AC1047" t="str">
            <v/>
          </cell>
          <cell r="AD1047">
            <v>2.83</v>
          </cell>
          <cell r="AE1047" t="str">
            <v>G-100015451-250709-0045</v>
          </cell>
        </row>
        <row r="1048">
          <cell r="B1048" t="str">
            <v>7101030030</v>
          </cell>
          <cell r="C1048" t="str">
            <v>GW2510-178</v>
          </cell>
          <cell r="D1048" t="str">
            <v>000042944320008241</v>
          </cell>
          <cell r="E1048" t="str">
            <v>90°沉头铆钉</v>
          </cell>
          <cell r="F1048" t="str">
            <v>HB6306-2002</v>
          </cell>
          <cell r="G1048" t="str">
            <v>3×13</v>
          </cell>
          <cell r="H1048" t="str">
            <v>淬火及时效</v>
          </cell>
          <cell r="I1048" t="str">
            <v>Ct·O</v>
          </cell>
          <cell r="J1048" t="str">
            <v>LY10</v>
          </cell>
          <cell r="K1048">
            <v>1555</v>
          </cell>
          <cell r="L1048">
            <v>45961</v>
          </cell>
          <cell r="M1048" t="str">
            <v>4-检验完成</v>
          </cell>
        </row>
        <row r="1048">
          <cell r="O1048">
            <v>0</v>
          </cell>
          <cell r="P1048" t="str">
            <v>重庆红宇精密工业集团有限公司</v>
          </cell>
          <cell r="Q1048" t="str">
            <v>10</v>
          </cell>
          <cell r="R1048">
            <v>45964</v>
          </cell>
        </row>
        <row r="1048">
          <cell r="U1048" t="str">
            <v/>
          </cell>
          <cell r="V1048" t="str">
            <v>BIAOQIAN2</v>
          </cell>
          <cell r="W1048" t="str">
            <v/>
          </cell>
          <cell r="X1048" t="str">
            <v>XH-000</v>
          </cell>
          <cell r="Y1048" t="str">
            <v/>
          </cell>
          <cell r="Z1048" t="str">
            <v>1902</v>
          </cell>
          <cell r="AA1048" t="str">
            <v>1100152440</v>
          </cell>
          <cell r="AB1048">
            <v>1700</v>
          </cell>
          <cell r="AC1048" t="str">
            <v/>
          </cell>
          <cell r="AD1048">
            <v>0.45</v>
          </cell>
          <cell r="AE1048" t="str">
            <v>G-100015451-250902-0049-1-T</v>
          </cell>
        </row>
        <row r="1049">
          <cell r="B1049" t="str">
            <v>7101029091</v>
          </cell>
          <cell r="C1049" t="str">
            <v>GW2510-119</v>
          </cell>
          <cell r="D1049" t="str">
            <v>000042944041000921</v>
          </cell>
          <cell r="E1049" t="str">
            <v>内六角圆柱头螺钉</v>
          </cell>
          <cell r="F1049" t="str">
            <v>GB/T70.1-2008</v>
          </cell>
          <cell r="G1049" t="str">
            <v>M4×16</v>
          </cell>
          <cell r="H1049" t="str">
            <v>A2-70</v>
          </cell>
          <cell r="I1049" t="str">
            <v>ECP</v>
          </cell>
          <cell r="J1049" t="str">
            <v>ML1Cr18Ni9Ti</v>
          </cell>
          <cell r="K1049">
            <v>500</v>
          </cell>
          <cell r="L1049">
            <v>45959</v>
          </cell>
          <cell r="M1049" t="str">
            <v>4-检验完成</v>
          </cell>
        </row>
        <row r="1049">
          <cell r="O1049">
            <v>0</v>
          </cell>
          <cell r="P1049" t="str">
            <v>重庆红宇精密工业集团有限公司</v>
          </cell>
          <cell r="Q1049" t="str">
            <v>10</v>
          </cell>
          <cell r="R1049">
            <v>45960</v>
          </cell>
        </row>
        <row r="1049">
          <cell r="U1049" t="str">
            <v/>
          </cell>
          <cell r="V1049" t="str">
            <v>BIAOQIAN4</v>
          </cell>
          <cell r="W1049" t="str">
            <v/>
          </cell>
          <cell r="X1049" t="str">
            <v>XH-000</v>
          </cell>
          <cell r="Y1049" t="str">
            <v/>
          </cell>
          <cell r="Z1049" t="str">
            <v>1902</v>
          </cell>
          <cell r="AA1049" t="str">
            <v>1100154326</v>
          </cell>
          <cell r="AB1049">
            <v>500</v>
          </cell>
          <cell r="AC1049" t="str">
            <v/>
          </cell>
          <cell r="AD1049">
            <v>2.26</v>
          </cell>
          <cell r="AE1049" t="str">
            <v>G-100015451-251017-0051-1-H-XH</v>
          </cell>
        </row>
        <row r="1050">
          <cell r="B1050" t="str">
            <v>7101044225</v>
          </cell>
          <cell r="C1050" t="str">
            <v>G2507-0889</v>
          </cell>
          <cell r="D1050" t="str">
            <v>000042944043153280</v>
          </cell>
          <cell r="E1050" t="str">
            <v>开槽平端紧定螺钉</v>
          </cell>
          <cell r="F1050" t="str">
            <v>GB/T73-2017</v>
          </cell>
          <cell r="G1050" t="str">
            <v>M4×6</v>
          </cell>
          <cell r="H1050" t="str">
            <v>22H</v>
          </cell>
          <cell r="I1050" t="str">
            <v>Ep·Zn·c2C</v>
          </cell>
          <cell r="J1050" t="str">
            <v>45</v>
          </cell>
          <cell r="K1050">
            <v>218</v>
          </cell>
          <cell r="L1050">
            <v>45990</v>
          </cell>
          <cell r="M1050" t="str">
            <v>1-已打印</v>
          </cell>
        </row>
        <row r="1050">
          <cell r="O1050">
            <v>0</v>
          </cell>
          <cell r="P1050" t="str">
            <v>重庆红宇精密工业集团有限公司</v>
          </cell>
          <cell r="Q1050" t="str">
            <v>10</v>
          </cell>
        </row>
        <row r="1050">
          <cell r="U1050" t="str">
            <v>010000843900</v>
          </cell>
          <cell r="V1050" t="str">
            <v/>
          </cell>
          <cell r="W1050" t="str">
            <v/>
          </cell>
          <cell r="X1050" t="str">
            <v>CP-108-A</v>
          </cell>
          <cell r="Y1050" t="str">
            <v/>
          </cell>
          <cell r="Z1050" t="str">
            <v>1902</v>
          </cell>
          <cell r="AA1050" t="str">
            <v>1100146026</v>
          </cell>
          <cell r="AB1050">
            <v>500</v>
          </cell>
          <cell r="AC1050" t="str">
            <v/>
          </cell>
          <cell r="AD1050">
            <v>4.52</v>
          </cell>
          <cell r="AE1050" t="str">
            <v>G-100015451-250423-0030</v>
          </cell>
        </row>
        <row r="1051">
          <cell r="B1051" t="str">
            <v>7101043605</v>
          </cell>
          <cell r="C1051" t="str">
            <v>G12511-101</v>
          </cell>
          <cell r="D1051" t="str">
            <v>000042944041002059</v>
          </cell>
          <cell r="E1051" t="str">
            <v>内六角圆柱头螺钉</v>
          </cell>
          <cell r="F1051" t="str">
            <v>GB/T70.1-2008</v>
          </cell>
          <cell r="G1051" t="str">
            <v>M6×25</v>
          </cell>
          <cell r="H1051" t="str">
            <v>A2-70</v>
          </cell>
          <cell r="I1051" t="str">
            <v>ECP</v>
          </cell>
          <cell r="J1051" t="str">
            <v>1Cr18Ni9Ti</v>
          </cell>
          <cell r="K1051">
            <v>100</v>
          </cell>
          <cell r="L1051">
            <v>45989</v>
          </cell>
          <cell r="M1051" t="str">
            <v>3-配货完成</v>
          </cell>
        </row>
        <row r="1051">
          <cell r="O1051">
            <v>0</v>
          </cell>
          <cell r="P1051" t="str">
            <v>重庆红宇精密工业集团有限公司</v>
          </cell>
          <cell r="Q1051" t="str">
            <v>10</v>
          </cell>
        </row>
        <row r="1051">
          <cell r="U1051" t="str">
            <v/>
          </cell>
          <cell r="V1051" t="str">
            <v>BIAOQIAN4</v>
          </cell>
          <cell r="W1051" t="str">
            <v/>
          </cell>
          <cell r="X1051" t="str">
            <v>XH-000</v>
          </cell>
          <cell r="Y1051" t="str">
            <v/>
          </cell>
          <cell r="Z1051" t="str">
            <v>1902</v>
          </cell>
          <cell r="AA1051" t="str">
            <v>1100155828</v>
          </cell>
          <cell r="AB1051">
            <v>100</v>
          </cell>
          <cell r="AC1051" t="str">
            <v/>
          </cell>
          <cell r="AD1051">
            <v>3.16</v>
          </cell>
          <cell r="AE1051" t="str">
            <v>G-100015451-251115-0055-1-H-XH</v>
          </cell>
        </row>
        <row r="1052">
          <cell r="B1052" t="str">
            <v>7101030030</v>
          </cell>
          <cell r="C1052" t="str">
            <v>GW2510-178</v>
          </cell>
          <cell r="D1052" t="str">
            <v>000042944320008241</v>
          </cell>
          <cell r="E1052" t="str">
            <v>90°沉头铆钉</v>
          </cell>
          <cell r="F1052" t="str">
            <v>HB6306-2002</v>
          </cell>
          <cell r="G1052" t="str">
            <v>3×13</v>
          </cell>
          <cell r="H1052" t="str">
            <v>淬火及时效</v>
          </cell>
          <cell r="I1052" t="str">
            <v>Ct·O</v>
          </cell>
          <cell r="J1052" t="str">
            <v>LY10</v>
          </cell>
          <cell r="K1052">
            <v>1555</v>
          </cell>
          <cell r="L1052">
            <v>45961</v>
          </cell>
          <cell r="M1052" t="str">
            <v>4-检验完成</v>
          </cell>
        </row>
        <row r="1052">
          <cell r="O1052">
            <v>0</v>
          </cell>
          <cell r="P1052" t="str">
            <v>重庆红宇精密工业集团有限公司</v>
          </cell>
          <cell r="Q1052" t="str">
            <v>10</v>
          </cell>
          <cell r="R1052">
            <v>45964</v>
          </cell>
        </row>
        <row r="1052">
          <cell r="U1052" t="str">
            <v/>
          </cell>
          <cell r="V1052" t="str">
            <v>BIAOQIAN2</v>
          </cell>
          <cell r="W1052" t="str">
            <v/>
          </cell>
          <cell r="X1052" t="str">
            <v>XH-000</v>
          </cell>
          <cell r="Y1052" t="str">
            <v/>
          </cell>
          <cell r="Z1052" t="str">
            <v>1902</v>
          </cell>
          <cell r="AA1052" t="str">
            <v>1100152440</v>
          </cell>
          <cell r="AB1052">
            <v>1700</v>
          </cell>
          <cell r="AC1052" t="str">
            <v/>
          </cell>
          <cell r="AD1052">
            <v>0.45</v>
          </cell>
          <cell r="AE1052" t="str">
            <v>G-100015451-250902-0049-1-T</v>
          </cell>
        </row>
        <row r="1053">
          <cell r="B1053" t="str">
            <v>7101029091</v>
          </cell>
          <cell r="C1053" t="str">
            <v>GW2510-119</v>
          </cell>
          <cell r="D1053" t="str">
            <v>000042944041000921</v>
          </cell>
          <cell r="E1053" t="str">
            <v>内六角圆柱头螺钉</v>
          </cell>
          <cell r="F1053" t="str">
            <v>GB/T70.1-2008</v>
          </cell>
          <cell r="G1053" t="str">
            <v>M4×16</v>
          </cell>
          <cell r="H1053" t="str">
            <v>A2-70</v>
          </cell>
          <cell r="I1053" t="str">
            <v>ECP</v>
          </cell>
          <cell r="J1053" t="str">
            <v>ML1Cr18Ni9Ti</v>
          </cell>
          <cell r="K1053">
            <v>500</v>
          </cell>
          <cell r="L1053">
            <v>45959</v>
          </cell>
          <cell r="M1053" t="str">
            <v>4-检验完成</v>
          </cell>
        </row>
        <row r="1053">
          <cell r="O1053">
            <v>0</v>
          </cell>
          <cell r="P1053" t="str">
            <v>重庆红宇精密工业集团有限公司</v>
          </cell>
          <cell r="Q1053" t="str">
            <v>10</v>
          </cell>
          <cell r="R1053">
            <v>45960</v>
          </cell>
        </row>
        <row r="1053">
          <cell r="U1053" t="str">
            <v/>
          </cell>
          <cell r="V1053" t="str">
            <v>BIAOQIAN4</v>
          </cell>
          <cell r="W1053" t="str">
            <v/>
          </cell>
          <cell r="X1053" t="str">
            <v>XH-000</v>
          </cell>
          <cell r="Y1053" t="str">
            <v/>
          </cell>
          <cell r="Z1053" t="str">
            <v>1902</v>
          </cell>
          <cell r="AA1053" t="str">
            <v>1100154326</v>
          </cell>
          <cell r="AB1053">
            <v>500</v>
          </cell>
          <cell r="AC1053" t="str">
            <v/>
          </cell>
          <cell r="AD1053">
            <v>2.26</v>
          </cell>
          <cell r="AE1053" t="str">
            <v>G-100015451-251017-0051-1-H-XH</v>
          </cell>
        </row>
        <row r="1054">
          <cell r="B1054" t="str">
            <v>7101044225</v>
          </cell>
          <cell r="C1054" t="str">
            <v>G2507-0889</v>
          </cell>
          <cell r="D1054" t="str">
            <v>000042944043153280</v>
          </cell>
          <cell r="E1054" t="str">
            <v>开槽平端紧定螺钉</v>
          </cell>
          <cell r="F1054" t="str">
            <v>GB/T73-2017</v>
          </cell>
          <cell r="G1054" t="str">
            <v>M4×6</v>
          </cell>
          <cell r="H1054" t="str">
            <v>22H</v>
          </cell>
          <cell r="I1054" t="str">
            <v>Ep·Zn·c2C</v>
          </cell>
          <cell r="J1054" t="str">
            <v>45</v>
          </cell>
          <cell r="K1054">
            <v>218</v>
          </cell>
          <cell r="L1054">
            <v>45990</v>
          </cell>
          <cell r="M1054" t="str">
            <v>4-检验完成</v>
          </cell>
        </row>
        <row r="1054">
          <cell r="O1054">
            <v>0</v>
          </cell>
          <cell r="P1054" t="str">
            <v>重庆红宇精密工业集团有限公司</v>
          </cell>
          <cell r="Q1054" t="str">
            <v>10</v>
          </cell>
          <cell r="R1054">
            <v>45992</v>
          </cell>
        </row>
        <row r="1054">
          <cell r="U1054" t="str">
            <v>010000843900</v>
          </cell>
          <cell r="V1054" t="str">
            <v>BIAOQIAN3</v>
          </cell>
          <cell r="W1054" t="str">
            <v/>
          </cell>
          <cell r="X1054" t="str">
            <v>CP-108-A</v>
          </cell>
          <cell r="Y1054" t="str">
            <v/>
          </cell>
          <cell r="Z1054" t="str">
            <v>1902</v>
          </cell>
          <cell r="AA1054" t="str">
            <v>1100146026</v>
          </cell>
          <cell r="AB1054">
            <v>500</v>
          </cell>
          <cell r="AC1054" t="str">
            <v/>
          </cell>
          <cell r="AD1054">
            <v>4.52</v>
          </cell>
          <cell r="AE1054" t="str">
            <v>G-100015451-250423-0030</v>
          </cell>
        </row>
        <row r="1055">
          <cell r="B1055" t="str">
            <v>7101030030</v>
          </cell>
          <cell r="C1055" t="str">
            <v>GW2510-178</v>
          </cell>
          <cell r="D1055" t="str">
            <v>000042944320008241</v>
          </cell>
          <cell r="E1055" t="str">
            <v>90°沉头铆钉</v>
          </cell>
          <cell r="F1055" t="str">
            <v>HB6306-2002</v>
          </cell>
          <cell r="G1055" t="str">
            <v>3×13</v>
          </cell>
          <cell r="H1055" t="str">
            <v>淬火及时效</v>
          </cell>
          <cell r="I1055" t="str">
            <v>Ct·O</v>
          </cell>
          <cell r="J1055" t="str">
            <v>LY10</v>
          </cell>
          <cell r="K1055">
            <v>1555</v>
          </cell>
          <cell r="L1055">
            <v>45961</v>
          </cell>
          <cell r="M1055" t="str">
            <v>4-检验完成</v>
          </cell>
        </row>
        <row r="1055">
          <cell r="O1055">
            <v>0</v>
          </cell>
          <cell r="P1055" t="str">
            <v>重庆红宇精密工业集团有限公司</v>
          </cell>
          <cell r="Q1055" t="str">
            <v>10</v>
          </cell>
          <cell r="R1055">
            <v>45964</v>
          </cell>
        </row>
        <row r="1055">
          <cell r="U1055" t="str">
            <v/>
          </cell>
          <cell r="V1055" t="str">
            <v>BIAOQIAN2</v>
          </cell>
          <cell r="W1055" t="str">
            <v/>
          </cell>
          <cell r="X1055" t="str">
            <v>XH-000</v>
          </cell>
          <cell r="Y1055" t="str">
            <v/>
          </cell>
          <cell r="Z1055" t="str">
            <v>1902</v>
          </cell>
          <cell r="AA1055" t="str">
            <v>1100152440</v>
          </cell>
          <cell r="AB1055">
            <v>1700</v>
          </cell>
          <cell r="AC1055" t="str">
            <v/>
          </cell>
          <cell r="AD1055">
            <v>0.45</v>
          </cell>
          <cell r="AE1055" t="str">
            <v>G-100015451-250902-0049-1-T</v>
          </cell>
        </row>
        <row r="1056">
          <cell r="B1056" t="str">
            <v>7101029091</v>
          </cell>
          <cell r="C1056" t="str">
            <v>GW2510-119</v>
          </cell>
          <cell r="D1056" t="str">
            <v>000042944041000921</v>
          </cell>
          <cell r="E1056" t="str">
            <v>内六角圆柱头螺钉</v>
          </cell>
          <cell r="F1056" t="str">
            <v>GB/T70.1-2008</v>
          </cell>
          <cell r="G1056" t="str">
            <v>M4×16</v>
          </cell>
          <cell r="H1056" t="str">
            <v>A2-70</v>
          </cell>
          <cell r="I1056" t="str">
            <v>ECP</v>
          </cell>
          <cell r="J1056" t="str">
            <v>ML1Cr18Ni9Ti</v>
          </cell>
          <cell r="K1056">
            <v>500</v>
          </cell>
          <cell r="L1056">
            <v>45959</v>
          </cell>
          <cell r="M1056" t="str">
            <v>4-检验完成</v>
          </cell>
        </row>
        <row r="1056">
          <cell r="O1056">
            <v>0</v>
          </cell>
          <cell r="P1056" t="str">
            <v>重庆红宇精密工业集团有限公司</v>
          </cell>
          <cell r="Q1056" t="str">
            <v>10</v>
          </cell>
          <cell r="R1056">
            <v>45960</v>
          </cell>
        </row>
        <row r="1056">
          <cell r="U1056" t="str">
            <v/>
          </cell>
          <cell r="V1056" t="str">
            <v>BIAOQIAN4</v>
          </cell>
          <cell r="W1056" t="str">
            <v/>
          </cell>
          <cell r="X1056" t="str">
            <v>XH-000</v>
          </cell>
          <cell r="Y1056" t="str">
            <v/>
          </cell>
          <cell r="Z1056" t="str">
            <v>1902</v>
          </cell>
          <cell r="AA1056" t="str">
            <v>1100154326</v>
          </cell>
          <cell r="AB1056">
            <v>500</v>
          </cell>
          <cell r="AC1056" t="str">
            <v/>
          </cell>
          <cell r="AD1056">
            <v>2.26</v>
          </cell>
          <cell r="AE1056" t="str">
            <v>G-100015451-251017-0051-1-H-XH</v>
          </cell>
        </row>
        <row r="1057">
          <cell r="B1057" t="str">
            <v>7101050059</v>
          </cell>
          <cell r="C1057" t="str">
            <v>G2504-2028</v>
          </cell>
          <cell r="D1057" t="str">
            <v>000042944044151253</v>
          </cell>
          <cell r="E1057" t="str">
            <v>十字槽沉头螺钉</v>
          </cell>
          <cell r="F1057" t="str">
            <v>GB/T819.2-2016(CQHY)</v>
          </cell>
          <cell r="G1057" t="str">
            <v>M8×16</v>
          </cell>
          <cell r="H1057" t="str">
            <v>12.9</v>
          </cell>
          <cell r="I1057" t="str">
            <v>Ct·P</v>
          </cell>
          <cell r="J1057" t="str">
            <v>17-4PH</v>
          </cell>
          <cell r="K1057">
            <v>500</v>
          </cell>
          <cell r="L1057">
            <v>46005</v>
          </cell>
          <cell r="M1057" t="str">
            <v>3-配货完成</v>
          </cell>
        </row>
        <row r="1057">
          <cell r="O1057">
            <v>0</v>
          </cell>
          <cell r="P1057" t="str">
            <v>重庆红宇精密工业集团有限公司</v>
          </cell>
          <cell r="Q1057" t="str">
            <v>10</v>
          </cell>
        </row>
        <row r="1057">
          <cell r="U1057" t="str">
            <v>010000809502</v>
          </cell>
          <cell r="V1057" t="str">
            <v>BIAOQIAN1</v>
          </cell>
          <cell r="W1057" t="str">
            <v/>
          </cell>
          <cell r="X1057" t="str">
            <v>CP-108-A</v>
          </cell>
          <cell r="Y1057" t="str">
            <v/>
          </cell>
          <cell r="Z1057" t="str">
            <v>1902</v>
          </cell>
          <cell r="AA1057" t="str">
            <v>1100143739</v>
          </cell>
          <cell r="AB1057">
            <v>500</v>
          </cell>
          <cell r="AC1057" t="str">
            <v/>
          </cell>
          <cell r="AD1057">
            <v>15.82</v>
          </cell>
          <cell r="AE1057" t="str">
            <v>G-100015451-250318-0011</v>
          </cell>
        </row>
        <row r="1058">
          <cell r="B1058" t="str">
            <v>7101051431</v>
          </cell>
          <cell r="C1058" t="str">
            <v>G12512-015</v>
          </cell>
          <cell r="D1058" t="str">
            <v>000042944043028915</v>
          </cell>
          <cell r="E1058" t="str">
            <v>开槽凹端紧定螺钉</v>
          </cell>
          <cell r="F1058" t="str">
            <v>GB74-1985</v>
          </cell>
          <cell r="G1058" t="str">
            <v>M10×12</v>
          </cell>
          <cell r="H1058" t="str">
            <v>22H</v>
          </cell>
          <cell r="I1058" t="str">
            <v>Ep·Zn·c2C</v>
          </cell>
          <cell r="J1058" t="str">
            <v>45A</v>
          </cell>
          <cell r="K1058">
            <v>23</v>
          </cell>
          <cell r="L1058">
            <v>46009</v>
          </cell>
          <cell r="M1058" t="str">
            <v>4-检验完成</v>
          </cell>
        </row>
        <row r="1058">
          <cell r="O1058">
            <v>0</v>
          </cell>
          <cell r="P1058" t="str">
            <v>重庆红宇精密工业集团有限公司</v>
          </cell>
          <cell r="Q1058" t="str">
            <v>10</v>
          </cell>
          <cell r="R1058">
            <v>46011</v>
          </cell>
        </row>
        <row r="1058">
          <cell r="U1058" t="str">
            <v/>
          </cell>
          <cell r="V1058" t="str">
            <v>BIAOQIAN4</v>
          </cell>
          <cell r="W1058" t="str">
            <v/>
          </cell>
          <cell r="X1058" t="str">
            <v>XH-000</v>
          </cell>
          <cell r="Y1058" t="str">
            <v/>
          </cell>
          <cell r="Z1058" t="str">
            <v>1902</v>
          </cell>
          <cell r="AA1058" t="str">
            <v>1100152441</v>
          </cell>
          <cell r="AB1058">
            <v>100</v>
          </cell>
          <cell r="AC1058" t="str">
            <v/>
          </cell>
          <cell r="AD1058">
            <v>5.09</v>
          </cell>
          <cell r="AE1058" t="str">
            <v>G-100015451-250902-0049-2-H</v>
          </cell>
        </row>
        <row r="1059">
          <cell r="B1059" t="str">
            <v>7101064352</v>
          </cell>
          <cell r="C1059" t="str">
            <v>G2507-0360</v>
          </cell>
          <cell r="D1059" t="str">
            <v>000042944041002059</v>
          </cell>
          <cell r="E1059" t="str">
            <v>内六角圆柱头螺钉</v>
          </cell>
          <cell r="F1059" t="str">
            <v>GB/T70.1-2008</v>
          </cell>
          <cell r="G1059" t="str">
            <v>M6×25</v>
          </cell>
          <cell r="H1059" t="str">
            <v>A2-70</v>
          </cell>
          <cell r="I1059" t="str">
            <v>ECP</v>
          </cell>
          <cell r="J1059" t="str">
            <v>1Cr18Ni9Ti</v>
          </cell>
          <cell r="K1059">
            <v>1150</v>
          </cell>
          <cell r="L1059">
            <v>46038</v>
          </cell>
          <cell r="M1059" t="str">
            <v>4-检验完成</v>
          </cell>
        </row>
        <row r="1059">
          <cell r="O1059">
            <v>0</v>
          </cell>
          <cell r="P1059" t="str">
            <v>重庆红宇精密工业集团有限公司</v>
          </cell>
          <cell r="Q1059" t="str">
            <v>40</v>
          </cell>
          <cell r="R1059">
            <v>46038</v>
          </cell>
        </row>
        <row r="1059">
          <cell r="U1059" t="str">
            <v>010000840686</v>
          </cell>
          <cell r="V1059" t="str">
            <v>BIAOQIAN1</v>
          </cell>
          <cell r="W1059" t="str">
            <v/>
          </cell>
          <cell r="X1059" t="str">
            <v>CP-108-A</v>
          </cell>
          <cell r="Y1059" t="str">
            <v/>
          </cell>
          <cell r="Z1059" t="str">
            <v>1902</v>
          </cell>
          <cell r="AA1059" t="str">
            <v>1100149492</v>
          </cell>
          <cell r="AB1059">
            <v>1200</v>
          </cell>
          <cell r="AC1059" t="str">
            <v/>
          </cell>
          <cell r="AD1059">
            <v>3.16</v>
          </cell>
          <cell r="AE1059" t="str">
            <v>G-100015451-250701-0043</v>
          </cell>
        </row>
        <row r="1060">
          <cell r="B1060" t="str">
            <v>7101068313</v>
          </cell>
          <cell r="C1060" t="str">
            <v>G2510-2030</v>
          </cell>
          <cell r="D1060" t="str">
            <v>000042944041079363</v>
          </cell>
          <cell r="E1060" t="str">
            <v>内六角平端紧定螺钉</v>
          </cell>
          <cell r="F1060" t="str">
            <v>GB/T77-2007</v>
          </cell>
          <cell r="G1060" t="str">
            <v>M8×16</v>
          </cell>
          <cell r="H1060" t="str">
            <v>A2-21H</v>
          </cell>
          <cell r="I1060" t="str">
            <v>ECP</v>
          </cell>
          <cell r="J1060" t="str">
            <v>1Cr18Ni9Ti</v>
          </cell>
          <cell r="K1060">
            <v>422</v>
          </cell>
          <cell r="L1060">
            <v>46046</v>
          </cell>
          <cell r="M1060" t="str">
            <v>3-配货完成</v>
          </cell>
        </row>
        <row r="1060">
          <cell r="O1060">
            <v>0</v>
          </cell>
          <cell r="P1060" t="str">
            <v>重庆红宇精密工业集团有限公司</v>
          </cell>
          <cell r="Q1060" t="str">
            <v>60</v>
          </cell>
        </row>
        <row r="1060">
          <cell r="U1060" t="str">
            <v>010000879249</v>
          </cell>
          <cell r="V1060" t="str">
            <v>BIAOQIAN1</v>
          </cell>
          <cell r="W1060" t="str">
            <v/>
          </cell>
          <cell r="X1060" t="str">
            <v>CP-108-A</v>
          </cell>
          <cell r="Y1060" t="str">
            <v/>
          </cell>
          <cell r="Z1060" t="str">
            <v>1902</v>
          </cell>
          <cell r="AA1060" t="str">
            <v>1100139596</v>
          </cell>
          <cell r="AB1060">
            <v>1100</v>
          </cell>
          <cell r="AC1060" t="str">
            <v/>
          </cell>
          <cell r="AD1060">
            <v>3.39</v>
          </cell>
          <cell r="AE1060" t="str">
            <v>G-100015451-250102-0002</v>
          </cell>
        </row>
        <row r="1061">
          <cell r="B1061" t="str">
            <v>7101067813</v>
          </cell>
          <cell r="C1061" t="str">
            <v>G2509-2409</v>
          </cell>
          <cell r="D1061" t="str">
            <v>000042944044061515</v>
          </cell>
          <cell r="E1061" t="str">
            <v>十字槽沉头螺钉</v>
          </cell>
          <cell r="F1061" t="str">
            <v>GB/T819.2-2016</v>
          </cell>
          <cell r="G1061" t="str">
            <v>M3×8</v>
          </cell>
          <cell r="H1061" t="str">
            <v>A2-70</v>
          </cell>
          <cell r="I1061" t="str">
            <v>ECP</v>
          </cell>
          <cell r="J1061" t="str">
            <v>ML1Cr18Ni9Ti</v>
          </cell>
          <cell r="K1061">
            <v>462</v>
          </cell>
          <cell r="L1061">
            <v>46045</v>
          </cell>
          <cell r="M1061" t="str">
            <v>3-配货完成</v>
          </cell>
        </row>
        <row r="1061">
          <cell r="O1061">
            <v>0</v>
          </cell>
          <cell r="P1061" t="str">
            <v>重庆红宇精密工业集团有限公司</v>
          </cell>
          <cell r="Q1061" t="str">
            <v>10</v>
          </cell>
        </row>
        <row r="1061">
          <cell r="U1061" t="str">
            <v>010000866951</v>
          </cell>
          <cell r="V1061" t="str">
            <v>BIAOQIAN3</v>
          </cell>
          <cell r="W1061" t="str">
            <v/>
          </cell>
          <cell r="X1061" t="str">
            <v>CP-58-1-2-7</v>
          </cell>
          <cell r="Y1061" t="str">
            <v/>
          </cell>
          <cell r="Z1061" t="str">
            <v>1902</v>
          </cell>
          <cell r="AA1061" t="str">
            <v>1100159279</v>
          </cell>
          <cell r="AB1061">
            <v>1100</v>
          </cell>
          <cell r="AC1061" t="str">
            <v/>
          </cell>
          <cell r="AD1061">
            <v>1.2</v>
          </cell>
          <cell r="AE1061" t="str">
            <v>G-100015451-260120-0001</v>
          </cell>
        </row>
        <row r="1062">
          <cell r="B1062" t="str">
            <v>7101067217</v>
          </cell>
          <cell r="C1062" t="str">
            <v>G2505-9221</v>
          </cell>
          <cell r="D1062" t="str">
            <v>000042944041002031</v>
          </cell>
          <cell r="E1062" t="str">
            <v>内六角圆柱头螺钉</v>
          </cell>
          <cell r="F1062" t="str">
            <v>GB/T70.1-2008</v>
          </cell>
          <cell r="G1062" t="str">
            <v>M5×20</v>
          </cell>
          <cell r="H1062" t="str">
            <v>A2-70</v>
          </cell>
          <cell r="I1062" t="str">
            <v>ECP</v>
          </cell>
          <cell r="J1062" t="str">
            <v>ML1Cr18Ni9Ti</v>
          </cell>
          <cell r="K1062">
            <v>47</v>
          </cell>
          <cell r="L1062">
            <v>46044</v>
          </cell>
          <cell r="M1062" t="str">
            <v>4-检验完成</v>
          </cell>
        </row>
        <row r="1062">
          <cell r="O1062">
            <v>0</v>
          </cell>
          <cell r="P1062" t="str">
            <v>重庆红宇精密工业集团有限公司</v>
          </cell>
          <cell r="Q1062" t="str">
            <v>40</v>
          </cell>
          <cell r="R1062">
            <v>46046</v>
          </cell>
        </row>
        <row r="1062">
          <cell r="U1062" t="str">
            <v>010000827535</v>
          </cell>
          <cell r="V1062" t="str">
            <v>BIAOQIAN4</v>
          </cell>
          <cell r="W1062" t="str">
            <v/>
          </cell>
          <cell r="X1062" t="str">
            <v>CP-29-3-1-8</v>
          </cell>
          <cell r="Y1062" t="str">
            <v/>
          </cell>
          <cell r="Z1062" t="str">
            <v>1902</v>
          </cell>
          <cell r="AA1062" t="str">
            <v>1100159279</v>
          </cell>
          <cell r="AB1062">
            <v>800</v>
          </cell>
          <cell r="AC1062" t="str">
            <v/>
          </cell>
          <cell r="AD1062">
            <v>2.6</v>
          </cell>
          <cell r="AE1062" t="str">
            <v>G-100015451-260120-0001</v>
          </cell>
        </row>
        <row r="1063">
          <cell r="B1063" t="str">
            <v>7101067217</v>
          </cell>
          <cell r="C1063" t="str">
            <v>G2008-2240</v>
          </cell>
          <cell r="D1063" t="str">
            <v>000042944041002031</v>
          </cell>
          <cell r="E1063" t="str">
            <v>内六角圆柱头螺钉</v>
          </cell>
          <cell r="F1063" t="str">
            <v>GB/T70.1-2008</v>
          </cell>
          <cell r="G1063" t="str">
            <v>M5×20</v>
          </cell>
          <cell r="H1063" t="str">
            <v>A2-70</v>
          </cell>
          <cell r="I1063" t="str">
            <v>ECP</v>
          </cell>
          <cell r="J1063" t="str">
            <v>ML1Cr18Ni9Ti</v>
          </cell>
          <cell r="K1063">
            <v>20</v>
          </cell>
          <cell r="L1063">
            <v>46044</v>
          </cell>
          <cell r="M1063" t="str">
            <v>4-检验完成</v>
          </cell>
        </row>
        <row r="1063">
          <cell r="O1063">
            <v>0</v>
          </cell>
          <cell r="P1063" t="str">
            <v>重庆红宇精密工业集团有限公司</v>
          </cell>
          <cell r="Q1063" t="str">
            <v>40</v>
          </cell>
          <cell r="R1063">
            <v>46046</v>
          </cell>
        </row>
        <row r="1063">
          <cell r="U1063" t="str">
            <v>010000272507</v>
          </cell>
          <cell r="V1063" t="str">
            <v>BIAOQIAN4</v>
          </cell>
          <cell r="W1063" t="str">
            <v/>
          </cell>
          <cell r="X1063" t="str">
            <v>CP-53-2-2-6</v>
          </cell>
          <cell r="Y1063" t="str">
            <v/>
          </cell>
          <cell r="Z1063" t="str">
            <v>1902</v>
          </cell>
          <cell r="AA1063" t="str">
            <v>1100159279</v>
          </cell>
          <cell r="AB1063">
            <v>800</v>
          </cell>
          <cell r="AC1063" t="str">
            <v/>
          </cell>
          <cell r="AD1063">
            <v>2.6</v>
          </cell>
          <cell r="AE1063" t="str">
            <v>G-100015451-260120-0001</v>
          </cell>
        </row>
        <row r="1064">
          <cell r="B1064" t="str">
            <v>7101067040</v>
          </cell>
          <cell r="C1064" t="str">
            <v>G2507-0360</v>
          </cell>
          <cell r="D1064" t="str">
            <v>000042944041002059</v>
          </cell>
          <cell r="E1064" t="str">
            <v>内六角圆柱头螺钉</v>
          </cell>
          <cell r="F1064" t="str">
            <v>GB/T70.1-2008</v>
          </cell>
          <cell r="G1064" t="str">
            <v>M6×25</v>
          </cell>
          <cell r="H1064" t="str">
            <v>A2-70</v>
          </cell>
          <cell r="I1064" t="str">
            <v>ECP</v>
          </cell>
          <cell r="J1064" t="str">
            <v>ML1Cr18Ni9Ti</v>
          </cell>
          <cell r="K1064">
            <v>239</v>
          </cell>
          <cell r="L1064">
            <v>46044</v>
          </cell>
          <cell r="M1064" t="str">
            <v>4-检验完成</v>
          </cell>
        </row>
        <row r="1064">
          <cell r="O1064">
            <v>0</v>
          </cell>
          <cell r="P1064" t="str">
            <v>重庆红宇精密工业集团有限公司</v>
          </cell>
          <cell r="Q1064" t="str">
            <v>60</v>
          </cell>
          <cell r="R1064">
            <v>46045</v>
          </cell>
        </row>
        <row r="1064">
          <cell r="U1064" t="str">
            <v>010000840686</v>
          </cell>
          <cell r="V1064" t="str">
            <v>BIAOQIAN1</v>
          </cell>
          <cell r="W1064" t="str">
            <v/>
          </cell>
          <cell r="X1064" t="str">
            <v>CP-48-3-1-17</v>
          </cell>
          <cell r="Y1064" t="str">
            <v/>
          </cell>
          <cell r="Z1064" t="str">
            <v>1902</v>
          </cell>
          <cell r="AA1064" t="str">
            <v>1100159279</v>
          </cell>
          <cell r="AB1064">
            <v>300</v>
          </cell>
          <cell r="AC1064" t="str">
            <v/>
          </cell>
          <cell r="AD1064">
            <v>3.16</v>
          </cell>
          <cell r="AE1064" t="str">
            <v>G-100015451-260120-0001</v>
          </cell>
        </row>
        <row r="1065">
          <cell r="B1065" t="str">
            <v>7101066513</v>
          </cell>
          <cell r="C1065" t="str">
            <v>G2311-0316</v>
          </cell>
          <cell r="D1065" t="str">
            <v>000042944401000445</v>
          </cell>
          <cell r="E1065" t="str">
            <v>平垫圈</v>
          </cell>
          <cell r="F1065" t="str">
            <v>GB/T97.1-2002</v>
          </cell>
          <cell r="G1065" t="str">
            <v>5</v>
          </cell>
          <cell r="H1065" t="str">
            <v>200HV</v>
          </cell>
          <cell r="I1065" t="str">
            <v>ECP</v>
          </cell>
          <cell r="J1065" t="str">
            <v>1Cr18Ni9Ti</v>
          </cell>
          <cell r="K1065">
            <v>700</v>
          </cell>
          <cell r="L1065">
            <v>46043</v>
          </cell>
          <cell r="M1065" t="str">
            <v>4-检验完成</v>
          </cell>
        </row>
        <row r="1065">
          <cell r="O1065">
            <v>0</v>
          </cell>
          <cell r="P1065" t="str">
            <v>重庆红宇精密工业集团有限公司</v>
          </cell>
          <cell r="Q1065" t="str">
            <v>10</v>
          </cell>
          <cell r="R1065">
            <v>46045</v>
          </cell>
        </row>
        <row r="1065">
          <cell r="U1065" t="str">
            <v>010000648524</v>
          </cell>
          <cell r="V1065" t="str">
            <v>BIAOQIAN3</v>
          </cell>
          <cell r="W1065" t="str">
            <v/>
          </cell>
          <cell r="X1065" t="str">
            <v>CP-C7-5-1-3</v>
          </cell>
          <cell r="Y1065" t="str">
            <v/>
          </cell>
          <cell r="Z1065" t="str">
            <v>1902</v>
          </cell>
          <cell r="AA1065" t="str">
            <v>1100159233</v>
          </cell>
          <cell r="AB1065">
            <v>700</v>
          </cell>
          <cell r="AC1065" t="str">
            <v/>
          </cell>
          <cell r="AD1065">
            <v>0.7</v>
          </cell>
          <cell r="AE1065" t="str">
            <v>G-100015451-260120-0003XH</v>
          </cell>
        </row>
        <row r="1066">
          <cell r="B1066" t="str">
            <v>71010665131</v>
          </cell>
          <cell r="C1066" t="str">
            <v>G2403-0647</v>
          </cell>
          <cell r="D1066" t="str">
            <v>000042944044087064</v>
          </cell>
          <cell r="E1066" t="str">
            <v>十字槽沉头螺钉</v>
          </cell>
          <cell r="F1066" t="str">
            <v>GB/T819.2-2016</v>
          </cell>
          <cell r="G1066" t="str">
            <v>M4×14</v>
          </cell>
          <cell r="H1066" t="str">
            <v>A2-70</v>
          </cell>
          <cell r="I1066" t="str">
            <v>ECP</v>
          </cell>
          <cell r="J1066" t="str">
            <v>1Cr18Ni9Ti</v>
          </cell>
          <cell r="K1066">
            <v>92</v>
          </cell>
          <cell r="L1066">
            <v>46043</v>
          </cell>
          <cell r="M1066" t="str">
            <v>4-检验完成</v>
          </cell>
        </row>
        <row r="1066">
          <cell r="O1066">
            <v>0</v>
          </cell>
          <cell r="P1066" t="str">
            <v>重庆红宇精密工业集团有限公司</v>
          </cell>
          <cell r="Q1066" t="str">
            <v>20</v>
          </cell>
          <cell r="R1066">
            <v>46045</v>
          </cell>
        </row>
        <row r="1066">
          <cell r="U1066" t="str">
            <v>010000680075</v>
          </cell>
          <cell r="V1066" t="str">
            <v>BIAOQIAN3</v>
          </cell>
          <cell r="W1066" t="str">
            <v/>
          </cell>
          <cell r="X1066" t="str">
            <v>CP-36-1-3-5</v>
          </cell>
          <cell r="Y1066" t="str">
            <v/>
          </cell>
          <cell r="Z1066" t="str">
            <v>1902</v>
          </cell>
          <cell r="AA1066" t="str">
            <v>1100159233</v>
          </cell>
          <cell r="AB1066">
            <v>200</v>
          </cell>
          <cell r="AC1066" t="str">
            <v/>
          </cell>
          <cell r="AD1066">
            <v>1.2</v>
          </cell>
          <cell r="AE1066" t="str">
            <v>G-100015451-260120-0003XH</v>
          </cell>
        </row>
        <row r="1067">
          <cell r="B1067" t="str">
            <v>71010665132</v>
          </cell>
          <cell r="C1067" t="str">
            <v>G2510-0661</v>
          </cell>
          <cell r="D1067" t="str">
            <v>000042944044087064</v>
          </cell>
          <cell r="E1067" t="str">
            <v>十字槽沉头螺钉</v>
          </cell>
          <cell r="F1067" t="str">
            <v>GB/T819.2-2016</v>
          </cell>
          <cell r="G1067" t="str">
            <v>M4×14</v>
          </cell>
          <cell r="H1067" t="str">
            <v>A2-70</v>
          </cell>
          <cell r="I1067" t="str">
            <v>ECP</v>
          </cell>
          <cell r="J1067" t="str">
            <v>1Cr18Ni9Ti</v>
          </cell>
          <cell r="K1067">
            <v>108</v>
          </cell>
          <cell r="L1067">
            <v>46043</v>
          </cell>
          <cell r="M1067" t="str">
            <v>4-检验完成</v>
          </cell>
        </row>
        <row r="1067">
          <cell r="O1067">
            <v>0</v>
          </cell>
          <cell r="P1067" t="str">
            <v>重庆红宇精密工业集团有限公司</v>
          </cell>
          <cell r="Q1067" t="str">
            <v>20</v>
          </cell>
          <cell r="R1067">
            <v>46045</v>
          </cell>
        </row>
        <row r="1067">
          <cell r="U1067" t="str">
            <v>010000873771</v>
          </cell>
          <cell r="V1067" t="str">
            <v>BIAOQIAN3</v>
          </cell>
          <cell r="W1067" t="str">
            <v/>
          </cell>
          <cell r="X1067" t="str">
            <v>CP-58-1-2-5</v>
          </cell>
          <cell r="Y1067" t="str">
            <v/>
          </cell>
          <cell r="Z1067" t="str">
            <v>1902</v>
          </cell>
          <cell r="AA1067" t="str">
            <v>1100159233</v>
          </cell>
          <cell r="AB1067">
            <v>200</v>
          </cell>
          <cell r="AC1067" t="str">
            <v/>
          </cell>
          <cell r="AD1067">
            <v>1.2</v>
          </cell>
          <cell r="AE1067" t="str">
            <v>G-100015451-260120-0003XH</v>
          </cell>
        </row>
        <row r="1068">
          <cell r="B1068" t="str">
            <v>7101067813</v>
          </cell>
          <cell r="C1068" t="str">
            <v>G2509-2409</v>
          </cell>
          <cell r="D1068" t="str">
            <v>000042944044061515</v>
          </cell>
          <cell r="E1068" t="str">
            <v>十字槽沉头螺钉</v>
          </cell>
          <cell r="F1068" t="str">
            <v>GB/T819.2-2016</v>
          </cell>
          <cell r="G1068" t="str">
            <v>M3×8</v>
          </cell>
          <cell r="H1068" t="str">
            <v>A2-70</v>
          </cell>
          <cell r="I1068" t="str">
            <v>ECP</v>
          </cell>
          <cell r="J1068" t="str">
            <v>ML1Cr18Ni9Ti</v>
          </cell>
          <cell r="K1068">
            <v>462</v>
          </cell>
          <cell r="L1068">
            <v>46045</v>
          </cell>
          <cell r="M1068" t="str">
            <v>4-检验完成</v>
          </cell>
        </row>
        <row r="1068">
          <cell r="O1068">
            <v>0</v>
          </cell>
          <cell r="P1068" t="str">
            <v>重庆红宇精密工业集团有限公司</v>
          </cell>
          <cell r="Q1068" t="str">
            <v>10</v>
          </cell>
          <cell r="R1068">
            <v>46046</v>
          </cell>
        </row>
        <row r="1068">
          <cell r="U1068" t="str">
            <v>010000866951</v>
          </cell>
          <cell r="V1068" t="str">
            <v>BIAOQIAN3</v>
          </cell>
          <cell r="W1068" t="str">
            <v/>
          </cell>
          <cell r="X1068" t="str">
            <v>CP-58-1-2-7</v>
          </cell>
          <cell r="Y1068" t="str">
            <v/>
          </cell>
          <cell r="Z1068" t="str">
            <v>1902</v>
          </cell>
          <cell r="AA1068" t="str">
            <v>1100159279</v>
          </cell>
          <cell r="AB1068">
            <v>1100</v>
          </cell>
          <cell r="AC1068" t="str">
            <v/>
          </cell>
          <cell r="AD1068">
            <v>1.2</v>
          </cell>
          <cell r="AE1068" t="str">
            <v>G-100015451-260120-0001</v>
          </cell>
        </row>
        <row r="1069">
          <cell r="B1069" t="str">
            <v>7101067217</v>
          </cell>
          <cell r="C1069" t="str">
            <v>G2008-2240</v>
          </cell>
          <cell r="D1069" t="str">
            <v>000042944041002031</v>
          </cell>
          <cell r="E1069" t="str">
            <v>内六角圆柱头螺钉</v>
          </cell>
          <cell r="F1069" t="str">
            <v>GB/T70.1-2008</v>
          </cell>
          <cell r="G1069" t="str">
            <v>M5×20</v>
          </cell>
          <cell r="H1069" t="str">
            <v>A2-70</v>
          </cell>
          <cell r="I1069" t="str">
            <v>ECP</v>
          </cell>
          <cell r="J1069" t="str">
            <v>ML1Cr18Ni9Ti</v>
          </cell>
          <cell r="K1069">
            <v>20</v>
          </cell>
          <cell r="L1069">
            <v>46044</v>
          </cell>
          <cell r="M1069" t="str">
            <v>4-检验完成</v>
          </cell>
        </row>
        <row r="1069">
          <cell r="O1069">
            <v>0</v>
          </cell>
          <cell r="P1069" t="str">
            <v>重庆红宇精密工业集团有限公司</v>
          </cell>
          <cell r="Q1069" t="str">
            <v>40</v>
          </cell>
          <cell r="R1069">
            <v>46046</v>
          </cell>
        </row>
        <row r="1069">
          <cell r="U1069" t="str">
            <v>010000272507</v>
          </cell>
          <cell r="V1069" t="str">
            <v>BIAOQIAN4</v>
          </cell>
          <cell r="W1069" t="str">
            <v/>
          </cell>
          <cell r="X1069" t="str">
            <v>CP-53-2-2-6</v>
          </cell>
          <cell r="Y1069" t="str">
            <v/>
          </cell>
          <cell r="Z1069" t="str">
            <v>1902</v>
          </cell>
          <cell r="AA1069" t="str">
            <v>1100159279</v>
          </cell>
          <cell r="AB1069">
            <v>800</v>
          </cell>
          <cell r="AC1069" t="str">
            <v/>
          </cell>
          <cell r="AD1069">
            <v>2.6</v>
          </cell>
          <cell r="AE1069" t="str">
            <v>G-100015451-260120-0001</v>
          </cell>
        </row>
        <row r="1070">
          <cell r="B1070" t="str">
            <v>7101067217</v>
          </cell>
          <cell r="C1070" t="str">
            <v>G2505-9221</v>
          </cell>
          <cell r="D1070" t="str">
            <v>000042944041002031</v>
          </cell>
          <cell r="E1070" t="str">
            <v>内六角圆柱头螺钉</v>
          </cell>
          <cell r="F1070" t="str">
            <v>GB/T70.1-2008</v>
          </cell>
          <cell r="G1070" t="str">
            <v>M5×20</v>
          </cell>
          <cell r="H1070" t="str">
            <v>A2-70</v>
          </cell>
          <cell r="I1070" t="str">
            <v>ECP</v>
          </cell>
          <cell r="J1070" t="str">
            <v>ML1Cr18Ni9Ti</v>
          </cell>
          <cell r="K1070">
            <v>47</v>
          </cell>
          <cell r="L1070">
            <v>46044</v>
          </cell>
          <cell r="M1070" t="str">
            <v>4-检验完成</v>
          </cell>
        </row>
        <row r="1070">
          <cell r="O1070">
            <v>0</v>
          </cell>
          <cell r="P1070" t="str">
            <v>重庆红宇精密工业集团有限公司</v>
          </cell>
          <cell r="Q1070" t="str">
            <v>40</v>
          </cell>
          <cell r="R1070">
            <v>46046</v>
          </cell>
        </row>
        <row r="1070">
          <cell r="U1070" t="str">
            <v>010000827535</v>
          </cell>
          <cell r="V1070" t="str">
            <v>BIAOQIAN4</v>
          </cell>
          <cell r="W1070" t="str">
            <v/>
          </cell>
          <cell r="X1070" t="str">
            <v>CP-29-3-1-8</v>
          </cell>
          <cell r="Y1070" t="str">
            <v/>
          </cell>
          <cell r="Z1070" t="str">
            <v>1902</v>
          </cell>
          <cell r="AA1070" t="str">
            <v>1100159279</v>
          </cell>
          <cell r="AB1070">
            <v>800</v>
          </cell>
          <cell r="AC1070" t="str">
            <v/>
          </cell>
          <cell r="AD1070">
            <v>2.6</v>
          </cell>
          <cell r="AE1070" t="str">
            <v>G-100015451-260120-0001</v>
          </cell>
        </row>
        <row r="1071">
          <cell r="B1071" t="str">
            <v>7101067040</v>
          </cell>
          <cell r="C1071" t="str">
            <v>G2507-0360</v>
          </cell>
          <cell r="D1071" t="str">
            <v>000042944041002059</v>
          </cell>
          <cell r="E1071" t="str">
            <v>内六角圆柱头螺钉</v>
          </cell>
          <cell r="F1071" t="str">
            <v>GB/T70.1-2008</v>
          </cell>
          <cell r="G1071" t="str">
            <v>M6×25</v>
          </cell>
          <cell r="H1071" t="str">
            <v>A2-70</v>
          </cell>
          <cell r="I1071" t="str">
            <v>ECP</v>
          </cell>
          <cell r="J1071" t="str">
            <v>ML1Cr18Ni9Ti</v>
          </cell>
          <cell r="K1071">
            <v>239</v>
          </cell>
          <cell r="L1071">
            <v>46044</v>
          </cell>
          <cell r="M1071" t="str">
            <v>4-检验完成</v>
          </cell>
        </row>
        <row r="1071">
          <cell r="O1071">
            <v>0</v>
          </cell>
          <cell r="P1071" t="str">
            <v>重庆红宇精密工业集团有限公司</v>
          </cell>
          <cell r="Q1071" t="str">
            <v>60</v>
          </cell>
          <cell r="R1071">
            <v>46045</v>
          </cell>
        </row>
        <row r="1071">
          <cell r="U1071" t="str">
            <v>010000840686</v>
          </cell>
          <cell r="V1071" t="str">
            <v>BIAOQIAN1</v>
          </cell>
          <cell r="W1071" t="str">
            <v/>
          </cell>
          <cell r="X1071" t="str">
            <v>CP-48-3-1-17</v>
          </cell>
          <cell r="Y1071" t="str">
            <v/>
          </cell>
          <cell r="Z1071" t="str">
            <v>1902</v>
          </cell>
          <cell r="AA1071" t="str">
            <v>1100159279</v>
          </cell>
          <cell r="AB1071">
            <v>300</v>
          </cell>
          <cell r="AC1071" t="str">
            <v/>
          </cell>
          <cell r="AD1071">
            <v>3.16</v>
          </cell>
          <cell r="AE1071" t="str">
            <v>G-100015451-260120-0001</v>
          </cell>
        </row>
        <row r="1072">
          <cell r="B1072" t="str">
            <v>7101066513</v>
          </cell>
          <cell r="C1072" t="str">
            <v>G2311-0316</v>
          </cell>
          <cell r="D1072" t="str">
            <v>000042944401000445</v>
          </cell>
          <cell r="E1072" t="str">
            <v>平垫圈</v>
          </cell>
          <cell r="F1072" t="str">
            <v>GB/T97.1-2002</v>
          </cell>
          <cell r="G1072" t="str">
            <v>5</v>
          </cell>
          <cell r="H1072" t="str">
            <v>200HV</v>
          </cell>
          <cell r="I1072" t="str">
            <v>ECP</v>
          </cell>
          <cell r="J1072" t="str">
            <v>1Cr18Ni9Ti</v>
          </cell>
          <cell r="K1072">
            <v>700</v>
          </cell>
          <cell r="L1072">
            <v>46043</v>
          </cell>
          <cell r="M1072" t="str">
            <v>4-检验完成</v>
          </cell>
        </row>
        <row r="1072">
          <cell r="O1072">
            <v>0</v>
          </cell>
          <cell r="P1072" t="str">
            <v>重庆红宇精密工业集团有限公司</v>
          </cell>
          <cell r="Q1072" t="str">
            <v>10</v>
          </cell>
          <cell r="R1072">
            <v>46045</v>
          </cell>
        </row>
        <row r="1072">
          <cell r="U1072" t="str">
            <v>010000648524</v>
          </cell>
          <cell r="V1072" t="str">
            <v>BIAOQIAN3</v>
          </cell>
          <cell r="W1072" t="str">
            <v/>
          </cell>
          <cell r="X1072" t="str">
            <v>CP-C7-5-1-3</v>
          </cell>
          <cell r="Y1072" t="str">
            <v/>
          </cell>
          <cell r="Z1072" t="str">
            <v>1902</v>
          </cell>
          <cell r="AA1072" t="str">
            <v>1100159233</v>
          </cell>
          <cell r="AB1072">
            <v>700</v>
          </cell>
          <cell r="AC1072" t="str">
            <v/>
          </cell>
          <cell r="AD1072">
            <v>0.7</v>
          </cell>
          <cell r="AE1072" t="str">
            <v>G-100015451-260120-0003XH</v>
          </cell>
        </row>
        <row r="1073">
          <cell r="B1073" t="str">
            <v>7101066513</v>
          </cell>
          <cell r="C1073" t="str">
            <v>G2403-0647</v>
          </cell>
          <cell r="D1073" t="str">
            <v>000042944044087064</v>
          </cell>
          <cell r="E1073" t="str">
            <v>十字槽沉头螺钉</v>
          </cell>
          <cell r="F1073" t="str">
            <v>GB/T819.2-2016</v>
          </cell>
          <cell r="G1073" t="str">
            <v>M4×14</v>
          </cell>
          <cell r="H1073" t="str">
            <v>A2-70</v>
          </cell>
          <cell r="I1073" t="str">
            <v>ECP</v>
          </cell>
          <cell r="J1073" t="str">
            <v>1Cr18Ni9Ti</v>
          </cell>
          <cell r="K1073">
            <v>92</v>
          </cell>
          <cell r="L1073">
            <v>46043</v>
          </cell>
          <cell r="M1073" t="str">
            <v>4-检验完成</v>
          </cell>
        </row>
        <row r="1073">
          <cell r="O1073">
            <v>0</v>
          </cell>
          <cell r="P1073" t="str">
            <v>重庆红宇精密工业集团有限公司</v>
          </cell>
          <cell r="Q1073" t="str">
            <v>20</v>
          </cell>
          <cell r="R1073">
            <v>46045</v>
          </cell>
        </row>
        <row r="1073">
          <cell r="U1073" t="str">
            <v>010000680075</v>
          </cell>
          <cell r="V1073" t="str">
            <v>BIAOQIAN3</v>
          </cell>
          <cell r="W1073" t="str">
            <v/>
          </cell>
          <cell r="X1073" t="str">
            <v>CP-36-1-3-5</v>
          </cell>
          <cell r="Y1073" t="str">
            <v/>
          </cell>
          <cell r="Z1073" t="str">
            <v>1902</v>
          </cell>
          <cell r="AA1073" t="str">
            <v>1100159233</v>
          </cell>
          <cell r="AB1073">
            <v>200</v>
          </cell>
          <cell r="AC1073" t="str">
            <v/>
          </cell>
          <cell r="AD1073">
            <v>1.2</v>
          </cell>
          <cell r="AE1073" t="str">
            <v>G-100015451-260120-0003XH</v>
          </cell>
        </row>
        <row r="1074">
          <cell r="B1074" t="str">
            <v>7101066513</v>
          </cell>
          <cell r="C1074" t="str">
            <v>G2510-0661</v>
          </cell>
          <cell r="D1074" t="str">
            <v>000042944044087064</v>
          </cell>
          <cell r="E1074" t="str">
            <v>十字槽沉头螺钉</v>
          </cell>
          <cell r="F1074" t="str">
            <v>GB/T819.2-2016</v>
          </cell>
          <cell r="G1074" t="str">
            <v>M4×14</v>
          </cell>
          <cell r="H1074" t="str">
            <v>A2-70</v>
          </cell>
          <cell r="I1074" t="str">
            <v>ECP</v>
          </cell>
          <cell r="J1074" t="str">
            <v>1Cr18Ni9Ti</v>
          </cell>
          <cell r="K1074">
            <v>108</v>
          </cell>
          <cell r="L1074">
            <v>46043</v>
          </cell>
          <cell r="M1074" t="str">
            <v>4-检验完成</v>
          </cell>
        </row>
        <row r="1074">
          <cell r="O1074">
            <v>0</v>
          </cell>
          <cell r="P1074" t="str">
            <v>重庆红宇精密工业集团有限公司</v>
          </cell>
          <cell r="Q1074" t="str">
            <v>20</v>
          </cell>
          <cell r="R1074">
            <v>46045</v>
          </cell>
        </row>
        <row r="1074">
          <cell r="U1074" t="str">
            <v>010000873771</v>
          </cell>
          <cell r="V1074" t="str">
            <v>BIAOQIAN3</v>
          </cell>
          <cell r="W1074" t="str">
            <v/>
          </cell>
          <cell r="X1074" t="str">
            <v>CP-58-1-2-5</v>
          </cell>
          <cell r="Y1074" t="str">
            <v/>
          </cell>
          <cell r="Z1074" t="str">
            <v>1902</v>
          </cell>
          <cell r="AA1074" t="str">
            <v>1100159233</v>
          </cell>
          <cell r="AB1074">
            <v>200</v>
          </cell>
          <cell r="AC1074" t="str">
            <v/>
          </cell>
          <cell r="AD1074">
            <v>1.2</v>
          </cell>
          <cell r="AE1074" t="str">
            <v>G-100015451-260120-0003XH</v>
          </cell>
        </row>
        <row r="1075">
          <cell r="B1075" t="str">
            <v>7101072980</v>
          </cell>
          <cell r="C1075" t="str">
            <v>G2601-2572</v>
          </cell>
          <cell r="D1075" t="str">
            <v>000042944044168283</v>
          </cell>
          <cell r="E1075" t="str">
            <v>十字槽沉头螺钉</v>
          </cell>
          <cell r="F1075" t="str">
            <v>GB/T819.1-2016(CQHY)</v>
          </cell>
          <cell r="G1075" t="str">
            <v>M4×10</v>
          </cell>
          <cell r="H1075" t="str">
            <v>4.8</v>
          </cell>
          <cell r="I1075" t="str">
            <v>Ep·Zn-Ni6-10·c2C</v>
          </cell>
          <cell r="J1075" t="str">
            <v>ML25</v>
          </cell>
          <cell r="K1075">
            <v>4098</v>
          </cell>
          <cell r="L1075">
            <v>46056</v>
          </cell>
          <cell r="M1075" t="str">
            <v>4-检验完成</v>
          </cell>
        </row>
        <row r="1075">
          <cell r="O1075">
            <v>0</v>
          </cell>
          <cell r="P1075" t="str">
            <v>重庆红宇精密工业集团有限公司</v>
          </cell>
          <cell r="Q1075" t="str">
            <v>20</v>
          </cell>
          <cell r="R1075">
            <v>46057</v>
          </cell>
        </row>
        <row r="1075">
          <cell r="U1075" t="str">
            <v>010000909745</v>
          </cell>
          <cell r="V1075" t="str">
            <v>BIAOQIAN1</v>
          </cell>
          <cell r="W1075" t="str">
            <v/>
          </cell>
          <cell r="X1075" t="str">
            <v/>
          </cell>
          <cell r="Y1075" t="str">
            <v/>
          </cell>
          <cell r="Z1075" t="str">
            <v>1902</v>
          </cell>
          <cell r="AA1075" t="str">
            <v>1100159301</v>
          </cell>
          <cell r="AB1075">
            <v>10900</v>
          </cell>
          <cell r="AC1075" t="str">
            <v/>
          </cell>
          <cell r="AD1075">
            <v>0.9</v>
          </cell>
          <cell r="AE1075" t="str">
            <v>G-100015451-260120-0002</v>
          </cell>
        </row>
        <row r="1076">
          <cell r="B1076" t="str">
            <v>7101072611</v>
          </cell>
          <cell r="C1076" t="str">
            <v>G2601-2571</v>
          </cell>
          <cell r="D1076" t="str">
            <v>000042944044168283</v>
          </cell>
          <cell r="E1076" t="str">
            <v>十字槽沉头螺钉</v>
          </cell>
          <cell r="F1076" t="str">
            <v>GB/T819.1-2016(CQHY)</v>
          </cell>
          <cell r="G1076" t="str">
            <v>M4×10</v>
          </cell>
          <cell r="H1076" t="str">
            <v>4.8</v>
          </cell>
          <cell r="I1076" t="str">
            <v>Ep·Zn-Ni6-10·c2C</v>
          </cell>
          <cell r="J1076" t="str">
            <v>ML25</v>
          </cell>
          <cell r="K1076">
            <v>5549</v>
          </cell>
          <cell r="L1076">
            <v>46056</v>
          </cell>
          <cell r="M1076" t="str">
            <v>4-检验完成</v>
          </cell>
        </row>
        <row r="1076">
          <cell r="O1076">
            <v>0</v>
          </cell>
          <cell r="P1076" t="str">
            <v>重庆红宇精密工业集团有限公司</v>
          </cell>
          <cell r="Q1076" t="str">
            <v>20</v>
          </cell>
          <cell r="R1076">
            <v>46056</v>
          </cell>
        </row>
        <row r="1076">
          <cell r="U1076" t="str">
            <v>010000909744</v>
          </cell>
          <cell r="V1076" t="str">
            <v>BIAOQIAN4</v>
          </cell>
          <cell r="W1076" t="str">
            <v/>
          </cell>
          <cell r="X1076" t="str">
            <v>CP-108-A</v>
          </cell>
          <cell r="Y1076" t="str">
            <v/>
          </cell>
          <cell r="Z1076" t="str">
            <v>1902</v>
          </cell>
          <cell r="AA1076" t="str">
            <v>1100159301</v>
          </cell>
          <cell r="AB1076">
            <v>10900</v>
          </cell>
          <cell r="AC1076" t="str">
            <v/>
          </cell>
          <cell r="AD1076">
            <v>0.9</v>
          </cell>
          <cell r="AE1076" t="str">
            <v>G-100015451-260120-0002</v>
          </cell>
        </row>
        <row r="1077">
          <cell r="B1077" t="str">
            <v>7101079511</v>
          </cell>
          <cell r="C1077" t="str">
            <v>G2601-9116</v>
          </cell>
          <cell r="D1077" t="str">
            <v>000042944044079997</v>
          </cell>
          <cell r="E1077" t="str">
            <v>十字槽沉头螺钉</v>
          </cell>
          <cell r="F1077" t="str">
            <v>GB/T819.2-2016</v>
          </cell>
          <cell r="G1077" t="str">
            <v>M5×10</v>
          </cell>
          <cell r="H1077" t="str">
            <v>A2-70</v>
          </cell>
          <cell r="I1077" t="str">
            <v>ECP</v>
          </cell>
          <cell r="J1077" t="str">
            <v>ML1Cr18Ni9Ti</v>
          </cell>
          <cell r="K1077">
            <v>385</v>
          </cell>
          <cell r="L1077">
            <v>46078</v>
          </cell>
          <cell r="M1077" t="str">
            <v>4-检验完成</v>
          </cell>
        </row>
        <row r="1077">
          <cell r="O1077">
            <v>0</v>
          </cell>
          <cell r="P1077" t="str">
            <v>重庆红宇精密工业集团有限公司</v>
          </cell>
          <cell r="Q1077" t="str">
            <v>20</v>
          </cell>
          <cell r="R1077">
            <v>46084</v>
          </cell>
        </row>
        <row r="1077">
          <cell r="U1077" t="str">
            <v>010000907241</v>
          </cell>
          <cell r="V1077" t="str">
            <v>BIAOQIAN1</v>
          </cell>
          <cell r="W1077" t="str">
            <v/>
          </cell>
          <cell r="X1077" t="str">
            <v>CP-108-A</v>
          </cell>
          <cell r="Y1077" t="str">
            <v/>
          </cell>
          <cell r="Z1077" t="str">
            <v>1902</v>
          </cell>
          <cell r="AA1077" t="str">
            <v>1100159279</v>
          </cell>
          <cell r="AB1077">
            <v>800</v>
          </cell>
          <cell r="AC1077" t="str">
            <v/>
          </cell>
          <cell r="AD1077">
            <v>1.5</v>
          </cell>
          <cell r="AE1077" t="str">
            <v>G-100015451-260120-0001</v>
          </cell>
        </row>
        <row r="1078">
          <cell r="B1078" t="str">
            <v>7101087034</v>
          </cell>
          <cell r="C1078" t="str">
            <v>G2507-1564</v>
          </cell>
          <cell r="D1078" t="str">
            <v>000042944401156925</v>
          </cell>
          <cell r="E1078" t="str">
            <v>平垫圈</v>
          </cell>
          <cell r="F1078" t="str">
            <v>GB/T97.1-2002</v>
          </cell>
          <cell r="G1078" t="str">
            <v>18</v>
          </cell>
          <cell r="H1078" t="str">
            <v>200HV</v>
          </cell>
          <cell r="I1078" t="str">
            <v>Ep·Zn-Ni·c2C</v>
          </cell>
          <cell r="J1078" t="str">
            <v>30CrMnSiA</v>
          </cell>
          <cell r="K1078">
            <v>157</v>
          </cell>
          <cell r="L1078">
            <v>46094</v>
          </cell>
          <cell r="M1078" t="str">
            <v>4-检验完成</v>
          </cell>
        </row>
        <row r="1078">
          <cell r="O1078">
            <v>0</v>
          </cell>
          <cell r="P1078" t="str">
            <v>重庆红宇精密工业集团有限公司</v>
          </cell>
          <cell r="Q1078" t="str">
            <v>60</v>
          </cell>
          <cell r="R1078">
            <v>46095</v>
          </cell>
        </row>
        <row r="1078">
          <cell r="U1078" t="str">
            <v>010000847021</v>
          </cell>
          <cell r="V1078" t="str">
            <v>BIAOQIAN8</v>
          </cell>
          <cell r="W1078" t="str">
            <v/>
          </cell>
          <cell r="X1078" t="str">
            <v>CP-18-1-2-2</v>
          </cell>
          <cell r="Y1078" t="str">
            <v/>
          </cell>
          <cell r="Z1078" t="str">
            <v>1902</v>
          </cell>
          <cell r="AA1078" t="str">
            <v>1100161675</v>
          </cell>
          <cell r="AB1078">
            <v>4100</v>
          </cell>
          <cell r="AC1078" t="str">
            <v/>
          </cell>
          <cell r="AD1078">
            <v>2.71</v>
          </cell>
          <cell r="AE1078" t="str">
            <v>G-100015451-260312-0004</v>
          </cell>
        </row>
        <row r="1079">
          <cell r="B1079" t="str">
            <v>7101094813</v>
          </cell>
          <cell r="C1079" t="str">
            <v>G2601-9055</v>
          </cell>
          <cell r="D1079" t="str">
            <v>000042944044071579</v>
          </cell>
          <cell r="E1079" t="str">
            <v>十字槽沉头螺钉</v>
          </cell>
          <cell r="F1079" t="str">
            <v>GB/T819.2-2016</v>
          </cell>
          <cell r="G1079" t="str">
            <v>M4×12</v>
          </cell>
          <cell r="H1079" t="str">
            <v>A2-70</v>
          </cell>
          <cell r="I1079" t="str">
            <v>ECP</v>
          </cell>
          <cell r="J1079" t="str">
            <v>1Cr18Ni9Ti</v>
          </cell>
          <cell r="K1079">
            <v>1364</v>
          </cell>
          <cell r="L1079">
            <v>46112</v>
          </cell>
          <cell r="M1079" t="str">
            <v>3-配货完成</v>
          </cell>
        </row>
        <row r="1079">
          <cell r="O1079">
            <v>0</v>
          </cell>
          <cell r="P1079" t="str">
            <v>中国运载火箭技术研究院</v>
          </cell>
          <cell r="Q1079" t="str">
            <v>250</v>
          </cell>
        </row>
        <row r="1079">
          <cell r="U1079" t="str">
            <v>010000901192</v>
          </cell>
          <cell r="V1079" t="str">
            <v>BIAOQIAN4</v>
          </cell>
          <cell r="W1079" t="str">
            <v/>
          </cell>
          <cell r="X1079" t="str">
            <v>CP-108-A</v>
          </cell>
          <cell r="Y1079" t="str">
            <v/>
          </cell>
          <cell r="Z1079" t="str">
            <v>1901</v>
          </cell>
          <cell r="AA1079" t="str">
            <v>1100157995</v>
          </cell>
          <cell r="AB1079">
            <v>22000</v>
          </cell>
          <cell r="AC1079" t="str">
            <v/>
          </cell>
          <cell r="AD1079">
            <v>2</v>
          </cell>
          <cell r="AE1079" t="str">
            <v>G-100001932-260103-0001</v>
          </cell>
        </row>
        <row r="1080">
          <cell r="B1080" t="str">
            <v>7101094511</v>
          </cell>
          <cell r="C1080" t="str">
            <v>G2603-1122</v>
          </cell>
          <cell r="D1080" t="str">
            <v>000042944439000396</v>
          </cell>
          <cell r="E1080" t="str">
            <v>小垫圈</v>
          </cell>
          <cell r="F1080" t="str">
            <v>GB/T848-2002</v>
          </cell>
          <cell r="G1080" t="str">
            <v>3</v>
          </cell>
          <cell r="H1080" t="str">
            <v>200HV</v>
          </cell>
          <cell r="I1080" t="str">
            <v>ECP</v>
          </cell>
          <cell r="J1080" t="str">
            <v>1Cr18Ni9Ti</v>
          </cell>
          <cell r="K1080">
            <v>4034</v>
          </cell>
          <cell r="L1080">
            <v>46112</v>
          </cell>
          <cell r="M1080" t="str">
            <v>3-配货完成</v>
          </cell>
        </row>
        <row r="1080">
          <cell r="O1080">
            <v>0</v>
          </cell>
          <cell r="P1080" t="str">
            <v>中国运载火箭技术研究院</v>
          </cell>
          <cell r="Q1080" t="str">
            <v>20</v>
          </cell>
        </row>
        <row r="1080">
          <cell r="U1080" t="str">
            <v>010000926173</v>
          </cell>
          <cell r="V1080" t="str">
            <v>BIAOQIAN1</v>
          </cell>
          <cell r="W1080" t="str">
            <v/>
          </cell>
          <cell r="X1080" t="str">
            <v>CP-108-A</v>
          </cell>
          <cell r="Y1080" t="str">
            <v/>
          </cell>
          <cell r="Z1080" t="str">
            <v>1901</v>
          </cell>
          <cell r="AA1080" t="str">
            <v>1100158122</v>
          </cell>
          <cell r="AB1080">
            <v>209000</v>
          </cell>
          <cell r="AC1080" t="str">
            <v/>
          </cell>
          <cell r="AD1080">
            <v>0.66</v>
          </cell>
          <cell r="AE1080" t="str">
            <v>G-100001932-260105-0019</v>
          </cell>
        </row>
        <row r="1081">
          <cell r="B1081" t="str">
            <v>7101092547</v>
          </cell>
          <cell r="C1081" t="str">
            <v>G2601-9024</v>
          </cell>
          <cell r="D1081" t="str">
            <v>000042944044087063</v>
          </cell>
          <cell r="E1081" t="str">
            <v>十字槽沉头螺钉</v>
          </cell>
          <cell r="F1081" t="str">
            <v>GB/T819.2-2016</v>
          </cell>
          <cell r="G1081" t="str">
            <v>M4×10</v>
          </cell>
          <cell r="H1081" t="str">
            <v>A2-70</v>
          </cell>
          <cell r="I1081" t="str">
            <v>ECP</v>
          </cell>
          <cell r="J1081" t="str">
            <v>ML1Cr18Ni9Ti</v>
          </cell>
          <cell r="K1081">
            <v>10000</v>
          </cell>
          <cell r="L1081">
            <v>46106</v>
          </cell>
          <cell r="M1081" t="str">
            <v>4-检验完成</v>
          </cell>
        </row>
        <row r="1081">
          <cell r="O1081">
            <v>0</v>
          </cell>
          <cell r="P1081" t="str">
            <v>中国运载火箭技术研究院</v>
          </cell>
          <cell r="Q1081" t="str">
            <v>240</v>
          </cell>
          <cell r="R1081">
            <v>46112</v>
          </cell>
        </row>
        <row r="1081">
          <cell r="U1081" t="str">
            <v>010000900477</v>
          </cell>
          <cell r="V1081" t="str">
            <v>BIAOQIAN2</v>
          </cell>
          <cell r="W1081" t="str">
            <v/>
          </cell>
          <cell r="X1081" t="str">
            <v>CP-108-A</v>
          </cell>
          <cell r="Y1081" t="str">
            <v/>
          </cell>
          <cell r="Z1081" t="str">
            <v>1901</v>
          </cell>
          <cell r="AA1081" t="str">
            <v>1100157995</v>
          </cell>
          <cell r="AB1081">
            <v>10000</v>
          </cell>
          <cell r="AC1081" t="str">
            <v/>
          </cell>
          <cell r="AD1081">
            <v>2</v>
          </cell>
          <cell r="AE1081" t="str">
            <v>G-100001932-260103-0001</v>
          </cell>
        </row>
        <row r="1082">
          <cell r="B1082" t="str">
            <v>7101092194</v>
          </cell>
          <cell r="C1082" t="str">
            <v>G12603-001</v>
          </cell>
          <cell r="D1082" t="str">
            <v>000042944360002459</v>
          </cell>
          <cell r="E1082" t="str">
            <v>开口销</v>
          </cell>
          <cell r="F1082" t="str">
            <v>GB/T91-2000</v>
          </cell>
          <cell r="G1082" t="str">
            <v>2.5×50</v>
          </cell>
          <cell r="H1082" t="str">
            <v/>
          </cell>
          <cell r="I1082" t="str">
            <v>ECP</v>
          </cell>
          <cell r="J1082" t="str">
            <v>不锈钢</v>
          </cell>
          <cell r="K1082">
            <v>100</v>
          </cell>
          <cell r="L1082">
            <v>46106</v>
          </cell>
          <cell r="M1082" t="str">
            <v>4-检验完成</v>
          </cell>
        </row>
        <row r="1082">
          <cell r="O1082">
            <v>0</v>
          </cell>
          <cell r="P1082" t="str">
            <v>中国运载火箭技术研究院</v>
          </cell>
          <cell r="Q1082" t="str">
            <v>30</v>
          </cell>
          <cell r="R1082">
            <v>46107</v>
          </cell>
        </row>
        <row r="1082">
          <cell r="U1082" t="str">
            <v/>
          </cell>
          <cell r="V1082" t="str">
            <v>BIAOQIAN3</v>
          </cell>
          <cell r="W1082" t="str">
            <v/>
          </cell>
          <cell r="X1082" t="str">
            <v>XH-000</v>
          </cell>
          <cell r="Y1082" t="str">
            <v/>
          </cell>
          <cell r="Z1082" t="str">
            <v>1901</v>
          </cell>
          <cell r="AA1082" t="str">
            <v>1100160338</v>
          </cell>
          <cell r="AB1082">
            <v>100</v>
          </cell>
          <cell r="AC1082" t="str">
            <v/>
          </cell>
          <cell r="AD1082">
            <v>1.9</v>
          </cell>
          <cell r="AE1082" t="str">
            <v>G-100001932-260205-0207-1-H</v>
          </cell>
        </row>
        <row r="1083">
          <cell r="B1083" t="str">
            <v>7101092193</v>
          </cell>
          <cell r="C1083" t="str">
            <v>G12603-002</v>
          </cell>
          <cell r="D1083" t="str">
            <v>000042944360002459</v>
          </cell>
          <cell r="E1083" t="str">
            <v>开口销</v>
          </cell>
          <cell r="F1083" t="str">
            <v>GB/T91-2000</v>
          </cell>
          <cell r="G1083" t="str">
            <v>2.5×50</v>
          </cell>
          <cell r="H1083" t="str">
            <v/>
          </cell>
          <cell r="I1083" t="str">
            <v>ECP</v>
          </cell>
          <cell r="J1083" t="str">
            <v>不锈钢</v>
          </cell>
          <cell r="K1083">
            <v>100</v>
          </cell>
          <cell r="L1083">
            <v>46106</v>
          </cell>
          <cell r="M1083" t="str">
            <v>4-检验完成</v>
          </cell>
        </row>
        <row r="1083">
          <cell r="O1083">
            <v>0</v>
          </cell>
          <cell r="P1083" t="str">
            <v>中国运载火箭技术研究院</v>
          </cell>
          <cell r="Q1083" t="str">
            <v>40</v>
          </cell>
          <cell r="R1083">
            <v>46107</v>
          </cell>
        </row>
        <row r="1083">
          <cell r="U1083" t="str">
            <v/>
          </cell>
          <cell r="V1083" t="str">
            <v>BIAOQIAN2</v>
          </cell>
          <cell r="W1083" t="str">
            <v/>
          </cell>
          <cell r="X1083" t="str">
            <v>XH-000</v>
          </cell>
          <cell r="Y1083" t="str">
            <v/>
          </cell>
          <cell r="Z1083" t="str">
            <v>1901</v>
          </cell>
          <cell r="AA1083" t="str">
            <v>1100160338</v>
          </cell>
          <cell r="AB1083">
            <v>100</v>
          </cell>
          <cell r="AC1083" t="str">
            <v/>
          </cell>
          <cell r="AD1083">
            <v>1.9</v>
          </cell>
          <cell r="AE1083" t="str">
            <v>G-100001932-260205-0207-1-H</v>
          </cell>
        </row>
        <row r="1084">
          <cell r="B1084" t="str">
            <v>7101091972</v>
          </cell>
          <cell r="C1084" t="str">
            <v>G2601-9025</v>
          </cell>
          <cell r="D1084" t="str">
            <v>000042944044087065</v>
          </cell>
          <cell r="E1084" t="str">
            <v>十字槽沉头螺钉</v>
          </cell>
          <cell r="F1084" t="str">
            <v>GB/T819.2-2016</v>
          </cell>
          <cell r="G1084" t="str">
            <v>M4×16</v>
          </cell>
          <cell r="H1084" t="str">
            <v>A2-70</v>
          </cell>
          <cell r="I1084" t="str">
            <v>ECP</v>
          </cell>
          <cell r="J1084" t="str">
            <v>ML1Cr18Ni9Ti</v>
          </cell>
          <cell r="K1084">
            <v>9000</v>
          </cell>
          <cell r="L1084">
            <v>46105</v>
          </cell>
          <cell r="M1084" t="str">
            <v>3-配货完成</v>
          </cell>
        </row>
        <row r="1084">
          <cell r="O1084">
            <v>0</v>
          </cell>
          <cell r="P1084" t="str">
            <v>中国运载火箭技术研究院</v>
          </cell>
          <cell r="Q1084" t="str">
            <v>260</v>
          </cell>
        </row>
        <row r="1084">
          <cell r="U1084" t="str">
            <v>010000900478</v>
          </cell>
          <cell r="V1084" t="str">
            <v>BIAOQIAN3</v>
          </cell>
          <cell r="W1084" t="str">
            <v/>
          </cell>
          <cell r="X1084" t="str">
            <v>CP-108-A</v>
          </cell>
          <cell r="Y1084" t="str">
            <v/>
          </cell>
          <cell r="Z1084" t="str">
            <v>1901</v>
          </cell>
          <cell r="AA1084" t="str">
            <v>1100157995</v>
          </cell>
          <cell r="AB1084">
            <v>9000</v>
          </cell>
          <cell r="AC1084" t="str">
            <v/>
          </cell>
          <cell r="AD1084">
            <v>2</v>
          </cell>
          <cell r="AE1084" t="str">
            <v>G-100001932-260103-0001</v>
          </cell>
        </row>
        <row r="1085">
          <cell r="B1085" t="str">
            <v>7101091025</v>
          </cell>
          <cell r="C1085" t="str">
            <v>G2601-9007</v>
          </cell>
          <cell r="D1085" t="str">
            <v>000042944043104737</v>
          </cell>
          <cell r="E1085" t="str">
            <v>开槽沉头螺钉</v>
          </cell>
          <cell r="F1085" t="str">
            <v>GB/T68-2016</v>
          </cell>
          <cell r="G1085" t="str">
            <v>M1.6×5</v>
          </cell>
          <cell r="H1085" t="str">
            <v>A2-50</v>
          </cell>
          <cell r="I1085" t="str">
            <v>ECP</v>
          </cell>
          <cell r="J1085" t="str">
            <v>ML1Cr18Ni9Ti</v>
          </cell>
          <cell r="K1085">
            <v>14150</v>
          </cell>
          <cell r="L1085">
            <v>46104</v>
          </cell>
          <cell r="M1085" t="str">
            <v>3-配货完成</v>
          </cell>
        </row>
        <row r="1085">
          <cell r="O1085">
            <v>0</v>
          </cell>
          <cell r="P1085" t="str">
            <v>中国运载火箭技术研究院</v>
          </cell>
          <cell r="Q1085" t="str">
            <v>40</v>
          </cell>
        </row>
        <row r="1085">
          <cell r="U1085" t="str">
            <v>010000900446</v>
          </cell>
          <cell r="V1085" t="str">
            <v>BIAOQIAN4</v>
          </cell>
          <cell r="W1085" t="str">
            <v/>
          </cell>
          <cell r="X1085" t="str">
            <v>CP-108-A</v>
          </cell>
          <cell r="Y1085" t="str">
            <v/>
          </cell>
          <cell r="Z1085" t="str">
            <v>1901</v>
          </cell>
          <cell r="AA1085" t="str">
            <v>1100157995</v>
          </cell>
          <cell r="AB1085">
            <v>17000</v>
          </cell>
          <cell r="AC1085" t="str">
            <v/>
          </cell>
          <cell r="AD1085">
            <v>1</v>
          </cell>
          <cell r="AE1085" t="str">
            <v>G-100001932-260103-0001</v>
          </cell>
        </row>
        <row r="1086">
          <cell r="B1086" t="str">
            <v>7101089011</v>
          </cell>
          <cell r="C1086" t="str">
            <v>G2501-9014</v>
          </cell>
          <cell r="D1086" t="str">
            <v>000042944044079365</v>
          </cell>
          <cell r="E1086" t="str">
            <v>十字槽沉头螺钉</v>
          </cell>
          <cell r="F1086" t="str">
            <v>GB/T819.2-2016</v>
          </cell>
          <cell r="G1086" t="str">
            <v>M6×12</v>
          </cell>
          <cell r="H1086" t="str">
            <v>A2-70</v>
          </cell>
          <cell r="I1086" t="str">
            <v>ECP</v>
          </cell>
          <cell r="J1086" t="str">
            <v>ML1Cr18Ni9Ti</v>
          </cell>
          <cell r="K1086">
            <v>400</v>
          </cell>
          <cell r="L1086">
            <v>46099</v>
          </cell>
          <cell r="M1086" t="str">
            <v>3-配货完成</v>
          </cell>
        </row>
        <row r="1086">
          <cell r="O1086">
            <v>0</v>
          </cell>
          <cell r="P1086" t="str">
            <v>中国运载火箭技术研究院</v>
          </cell>
          <cell r="Q1086" t="str">
            <v>370</v>
          </cell>
        </row>
        <row r="1086">
          <cell r="U1086" t="str">
            <v>010000769948</v>
          </cell>
          <cell r="V1086" t="str">
            <v>BIAOQIAN3</v>
          </cell>
          <cell r="W1086" t="str">
            <v/>
          </cell>
          <cell r="X1086" t="str">
            <v>CP-67-3-1-1</v>
          </cell>
          <cell r="Y1086" t="str">
            <v/>
          </cell>
          <cell r="Z1086" t="str">
            <v>1901</v>
          </cell>
          <cell r="AA1086" t="str">
            <v>1100157995</v>
          </cell>
          <cell r="AB1086">
            <v>1000</v>
          </cell>
          <cell r="AC1086" t="str">
            <v/>
          </cell>
          <cell r="AD1086">
            <v>2</v>
          </cell>
          <cell r="AE1086" t="str">
            <v>G-100001932-260103-0001</v>
          </cell>
        </row>
        <row r="1087">
          <cell r="B1087" t="str">
            <v>7101089011</v>
          </cell>
          <cell r="C1087" t="str">
            <v>G2601-9014</v>
          </cell>
          <cell r="D1087" t="str">
            <v>000042944044079365</v>
          </cell>
          <cell r="E1087" t="str">
            <v>十字槽沉头螺钉</v>
          </cell>
          <cell r="F1087" t="str">
            <v>GB/T819.2-2016</v>
          </cell>
          <cell r="G1087" t="str">
            <v>M6×12</v>
          </cell>
          <cell r="H1087" t="str">
            <v>A2-70</v>
          </cell>
          <cell r="I1087" t="str">
            <v>ECP</v>
          </cell>
          <cell r="J1087" t="str">
            <v>ML1Cr18Ni9Ti</v>
          </cell>
          <cell r="K1087">
            <v>600</v>
          </cell>
          <cell r="L1087">
            <v>46099</v>
          </cell>
          <cell r="M1087" t="str">
            <v>3-配货完成</v>
          </cell>
        </row>
        <row r="1087">
          <cell r="O1087">
            <v>0</v>
          </cell>
          <cell r="P1087" t="str">
            <v>中国运载火箭技术研究院</v>
          </cell>
          <cell r="Q1087" t="str">
            <v>370</v>
          </cell>
        </row>
        <row r="1087">
          <cell r="U1087" t="str">
            <v>010000900454</v>
          </cell>
          <cell r="V1087" t="str">
            <v>BIAOQIAN3</v>
          </cell>
          <cell r="W1087" t="str">
            <v/>
          </cell>
          <cell r="X1087" t="str">
            <v>CP-14-3-1-7</v>
          </cell>
          <cell r="Y1087" t="str">
            <v/>
          </cell>
          <cell r="Z1087" t="str">
            <v>1901</v>
          </cell>
          <cell r="AA1087" t="str">
            <v>1100157995</v>
          </cell>
          <cell r="AB1087">
            <v>1000</v>
          </cell>
          <cell r="AC1087" t="str">
            <v/>
          </cell>
          <cell r="AD1087">
            <v>2</v>
          </cell>
          <cell r="AE1087" t="str">
            <v>G-100001932-260103-0001</v>
          </cell>
        </row>
        <row r="1088">
          <cell r="B1088" t="str">
            <v>7101089010</v>
          </cell>
          <cell r="C1088" t="str">
            <v>G2501-9094</v>
          </cell>
          <cell r="D1088" t="str">
            <v>000042944044087059</v>
          </cell>
          <cell r="E1088" t="str">
            <v>十字槽沉头螺钉</v>
          </cell>
          <cell r="F1088" t="str">
            <v>GB/T819.2-2016</v>
          </cell>
          <cell r="G1088" t="str">
            <v>M3×16</v>
          </cell>
          <cell r="H1088" t="str">
            <v>A2-70</v>
          </cell>
          <cell r="I1088" t="str">
            <v>ECP</v>
          </cell>
          <cell r="J1088" t="str">
            <v>ML1Cr18Ni9Ti</v>
          </cell>
          <cell r="K1088">
            <v>56</v>
          </cell>
          <cell r="L1088">
            <v>46099</v>
          </cell>
          <cell r="M1088" t="str">
            <v>4-检验完成</v>
          </cell>
        </row>
        <row r="1088">
          <cell r="O1088">
            <v>0</v>
          </cell>
          <cell r="P1088" t="str">
            <v>中国运载火箭技术研究院</v>
          </cell>
          <cell r="Q1088" t="str">
            <v>220</v>
          </cell>
          <cell r="R1088">
            <v>46106</v>
          </cell>
        </row>
        <row r="1088">
          <cell r="U1088" t="str">
            <v>010000778244</v>
          </cell>
          <cell r="V1088" t="str">
            <v>BIAOQIAN1</v>
          </cell>
          <cell r="W1088" t="str">
            <v/>
          </cell>
          <cell r="X1088" t="str">
            <v>CP-32-3-3-8</v>
          </cell>
          <cell r="Y1088" t="str">
            <v/>
          </cell>
          <cell r="Z1088" t="str">
            <v>1901</v>
          </cell>
          <cell r="AA1088" t="str">
            <v>1100157995</v>
          </cell>
          <cell r="AB1088">
            <v>1000</v>
          </cell>
          <cell r="AC1088" t="str">
            <v/>
          </cell>
          <cell r="AD1088">
            <v>1</v>
          </cell>
          <cell r="AE1088" t="str">
            <v>G-100001932-260103-0001</v>
          </cell>
        </row>
        <row r="1089">
          <cell r="B1089" t="str">
            <v>7101089009</v>
          </cell>
          <cell r="C1089" t="str">
            <v>G2601-9108</v>
          </cell>
          <cell r="D1089" t="str">
            <v>000042944043086956</v>
          </cell>
          <cell r="E1089" t="str">
            <v>开槽沉头螺钉</v>
          </cell>
          <cell r="F1089" t="str">
            <v>GB/T68-2016</v>
          </cell>
          <cell r="G1089" t="str">
            <v>M2×12</v>
          </cell>
          <cell r="H1089" t="str">
            <v>A2-70</v>
          </cell>
          <cell r="I1089" t="str">
            <v>ECP</v>
          </cell>
          <cell r="J1089" t="str">
            <v>ML1Cr18Ni9Ti</v>
          </cell>
          <cell r="K1089">
            <v>92</v>
          </cell>
          <cell r="L1089">
            <v>46099</v>
          </cell>
          <cell r="M1089" t="str">
            <v>3-配货完成</v>
          </cell>
        </row>
        <row r="1089">
          <cell r="O1089">
            <v>0</v>
          </cell>
          <cell r="P1089" t="str">
            <v>中国运载火箭技术研究院</v>
          </cell>
          <cell r="Q1089" t="str">
            <v>60</v>
          </cell>
        </row>
        <row r="1089">
          <cell r="U1089" t="str">
            <v>010000906275</v>
          </cell>
          <cell r="V1089" t="str">
            <v>BIAOQIAN3</v>
          </cell>
          <cell r="W1089" t="str">
            <v/>
          </cell>
          <cell r="X1089" t="str">
            <v>CP-23-3-1-9</v>
          </cell>
          <cell r="Y1089" t="str">
            <v/>
          </cell>
          <cell r="Z1089" t="str">
            <v>1901</v>
          </cell>
          <cell r="AA1089" t="str">
            <v>1100157995</v>
          </cell>
          <cell r="AB1089">
            <v>10000</v>
          </cell>
          <cell r="AC1089" t="str">
            <v/>
          </cell>
          <cell r="AD1089">
            <v>1.5</v>
          </cell>
          <cell r="AE1089" t="str">
            <v>G-100001932-260103-0001</v>
          </cell>
        </row>
        <row r="1090">
          <cell r="B1090" t="str">
            <v>7101089009</v>
          </cell>
          <cell r="C1090" t="str">
            <v>G2509-1948</v>
          </cell>
          <cell r="D1090" t="str">
            <v>000042944043086956</v>
          </cell>
          <cell r="E1090" t="str">
            <v>开槽沉头螺钉</v>
          </cell>
          <cell r="F1090" t="str">
            <v>GB/T68-2016</v>
          </cell>
          <cell r="G1090" t="str">
            <v>M2×12</v>
          </cell>
          <cell r="H1090" t="str">
            <v>A2-70</v>
          </cell>
          <cell r="I1090" t="str">
            <v>ECP</v>
          </cell>
          <cell r="J1090" t="str">
            <v>ML1Cr18Ni9Ti</v>
          </cell>
          <cell r="K1090">
            <v>76</v>
          </cell>
          <cell r="L1090">
            <v>46099</v>
          </cell>
          <cell r="M1090" t="str">
            <v>3-配货完成</v>
          </cell>
        </row>
        <row r="1090">
          <cell r="O1090">
            <v>0</v>
          </cell>
          <cell r="P1090" t="str">
            <v>中国运载火箭技术研究院</v>
          </cell>
          <cell r="Q1090" t="str">
            <v>60</v>
          </cell>
        </row>
        <row r="1090">
          <cell r="U1090" t="str">
            <v>010000865398</v>
          </cell>
          <cell r="V1090" t="str">
            <v>BIAOQIAN3</v>
          </cell>
          <cell r="W1090" t="str">
            <v/>
          </cell>
          <cell r="X1090" t="str">
            <v>CP-81-1-4-7</v>
          </cell>
          <cell r="Y1090" t="str">
            <v/>
          </cell>
          <cell r="Z1090" t="str">
            <v>1901</v>
          </cell>
          <cell r="AA1090" t="str">
            <v>1100157995</v>
          </cell>
          <cell r="AB1090">
            <v>10000</v>
          </cell>
          <cell r="AC1090" t="str">
            <v/>
          </cell>
          <cell r="AD1090">
            <v>1.5</v>
          </cell>
          <cell r="AE1090" t="str">
            <v>G-100001932-260103-0001</v>
          </cell>
        </row>
        <row r="1091">
          <cell r="B1091" t="str">
            <v>7101088545</v>
          </cell>
          <cell r="C1091" t="str">
            <v>G2601-9027</v>
          </cell>
          <cell r="D1091" t="str">
            <v>000042944044087067</v>
          </cell>
          <cell r="E1091" t="str">
            <v>十字槽沉头螺钉</v>
          </cell>
          <cell r="F1091" t="str">
            <v>GB/T819.2-2016</v>
          </cell>
          <cell r="G1091" t="str">
            <v>M4×20</v>
          </cell>
          <cell r="H1091" t="str">
            <v>A2-70</v>
          </cell>
          <cell r="I1091" t="str">
            <v>ECP</v>
          </cell>
          <cell r="J1091" t="str">
            <v>ML1Cr18Ni9Ti</v>
          </cell>
          <cell r="K1091">
            <v>4000</v>
          </cell>
          <cell r="L1091">
            <v>46098</v>
          </cell>
          <cell r="M1091" t="str">
            <v>4-检验完成</v>
          </cell>
        </row>
        <row r="1091">
          <cell r="O1091">
            <v>0</v>
          </cell>
          <cell r="P1091" t="str">
            <v>中国运载火箭技术研究院</v>
          </cell>
          <cell r="Q1091" t="str">
            <v>280</v>
          </cell>
          <cell r="R1091">
            <v>46105</v>
          </cell>
        </row>
        <row r="1091">
          <cell r="U1091" t="str">
            <v>010000900481</v>
          </cell>
          <cell r="V1091" t="str">
            <v>BIAOQIAN3</v>
          </cell>
          <cell r="W1091" t="str">
            <v/>
          </cell>
          <cell r="X1091" t="str">
            <v>CP-108-A</v>
          </cell>
          <cell r="Y1091" t="str">
            <v/>
          </cell>
          <cell r="Z1091" t="str">
            <v>1901</v>
          </cell>
          <cell r="AA1091" t="str">
            <v>1100157995</v>
          </cell>
          <cell r="AB1091">
            <v>4000</v>
          </cell>
          <cell r="AC1091" t="str">
            <v/>
          </cell>
          <cell r="AD1091">
            <v>1.5</v>
          </cell>
          <cell r="AE1091" t="str">
            <v>G-100001932-260103-0001</v>
          </cell>
        </row>
        <row r="1092">
          <cell r="B1092" t="str">
            <v>7101088532</v>
          </cell>
          <cell r="C1092" t="str">
            <v>G2510-0659</v>
          </cell>
          <cell r="D1092" t="str">
            <v>000042944044063151</v>
          </cell>
          <cell r="E1092" t="str">
            <v>十字槽沉头螺钉</v>
          </cell>
          <cell r="F1092" t="str">
            <v>GB/T819.2-2016</v>
          </cell>
          <cell r="G1092" t="str">
            <v>M4×6</v>
          </cell>
          <cell r="H1092" t="str">
            <v>A2-70</v>
          </cell>
          <cell r="I1092" t="str">
            <v>ECP</v>
          </cell>
          <cell r="J1092" t="str">
            <v>ML1Cr18Ni9Ti</v>
          </cell>
          <cell r="K1092">
            <v>20000</v>
          </cell>
          <cell r="L1092">
            <v>46098</v>
          </cell>
          <cell r="M1092" t="str">
            <v>4-检验完成</v>
          </cell>
        </row>
        <row r="1092">
          <cell r="O1092">
            <v>0</v>
          </cell>
          <cell r="P1092" t="str">
            <v>中国运载火箭技术研究院</v>
          </cell>
          <cell r="Q1092" t="str">
            <v>480</v>
          </cell>
          <cell r="R1092">
            <v>46101</v>
          </cell>
        </row>
        <row r="1092">
          <cell r="U1092" t="str">
            <v>010000873769</v>
          </cell>
          <cell r="V1092" t="str">
            <v>BIAOQIAN4</v>
          </cell>
          <cell r="W1092" t="str">
            <v/>
          </cell>
          <cell r="X1092" t="str">
            <v>CP-108-A</v>
          </cell>
          <cell r="Y1092" t="str">
            <v/>
          </cell>
          <cell r="Z1092" t="str">
            <v>1901</v>
          </cell>
          <cell r="AA1092" t="str">
            <v>1100140670</v>
          </cell>
          <cell r="AB1092">
            <v>20000</v>
          </cell>
          <cell r="AC1092" t="str">
            <v/>
          </cell>
          <cell r="AD1092">
            <v>1</v>
          </cell>
          <cell r="AE1092" t="str">
            <v>G-100001932-250120-0066</v>
          </cell>
        </row>
        <row r="1093">
          <cell r="B1093" t="str">
            <v>7101088529</v>
          </cell>
          <cell r="C1093" t="str">
            <v>G2510-1585</v>
          </cell>
          <cell r="D1093" t="str">
            <v>000042944439000288</v>
          </cell>
          <cell r="E1093" t="str">
            <v>小垫圈</v>
          </cell>
          <cell r="F1093" t="str">
            <v>GB/T848-2002</v>
          </cell>
          <cell r="G1093" t="str">
            <v>2</v>
          </cell>
          <cell r="H1093" t="str">
            <v>200HV</v>
          </cell>
          <cell r="I1093" t="str">
            <v>ECP</v>
          </cell>
          <cell r="J1093" t="str">
            <v>1Cr18Ni9Ti</v>
          </cell>
          <cell r="K1093">
            <v>3915</v>
          </cell>
          <cell r="L1093">
            <v>46098</v>
          </cell>
          <cell r="M1093" t="str">
            <v>3-配货完成</v>
          </cell>
        </row>
        <row r="1093">
          <cell r="O1093">
            <v>0</v>
          </cell>
          <cell r="P1093" t="str">
            <v>中国运载火箭技术研究院</v>
          </cell>
          <cell r="Q1093" t="str">
            <v>300</v>
          </cell>
        </row>
        <row r="1093">
          <cell r="U1093" t="str">
            <v>010000877377</v>
          </cell>
          <cell r="V1093" t="str">
            <v>BIAOQIAN4</v>
          </cell>
          <cell r="W1093" t="str">
            <v/>
          </cell>
          <cell r="X1093" t="str">
            <v>CP-108-A</v>
          </cell>
          <cell r="Y1093" t="str">
            <v/>
          </cell>
          <cell r="Z1093" t="str">
            <v>1901</v>
          </cell>
          <cell r="AA1093" t="str">
            <v>1100150584</v>
          </cell>
          <cell r="AB1093">
            <v>86000</v>
          </cell>
          <cell r="AC1093" t="str">
            <v/>
          </cell>
          <cell r="AD1093">
            <v>0.6</v>
          </cell>
          <cell r="AE1093" t="str">
            <v>G-100001932-250723-0789</v>
          </cell>
        </row>
        <row r="1094">
          <cell r="B1094" t="str">
            <v>7101088524</v>
          </cell>
          <cell r="C1094" t="str">
            <v>G2601-9107</v>
          </cell>
          <cell r="D1094" t="str">
            <v>000042944043086953</v>
          </cell>
          <cell r="E1094" t="str">
            <v>开槽沉头螺钉</v>
          </cell>
          <cell r="F1094" t="str">
            <v>GB/T68-2016</v>
          </cell>
          <cell r="G1094" t="str">
            <v>M2×6</v>
          </cell>
          <cell r="H1094" t="str">
            <v>A2-70</v>
          </cell>
          <cell r="I1094" t="str">
            <v>ECP</v>
          </cell>
          <cell r="J1094" t="str">
            <v>ML1Cr18Ni9Ti</v>
          </cell>
          <cell r="K1094">
            <v>2000</v>
          </cell>
          <cell r="L1094">
            <v>46098</v>
          </cell>
          <cell r="M1094" t="str">
            <v>4-检验完成</v>
          </cell>
        </row>
        <row r="1094">
          <cell r="O1094">
            <v>0</v>
          </cell>
          <cell r="P1094" t="str">
            <v>中国运载火箭技术研究院</v>
          </cell>
          <cell r="Q1094" t="str">
            <v>60</v>
          </cell>
          <cell r="R1094">
            <v>46105</v>
          </cell>
        </row>
        <row r="1094">
          <cell r="U1094" t="str">
            <v>010000906247</v>
          </cell>
          <cell r="V1094" t="str">
            <v>BIAOQIAN3</v>
          </cell>
          <cell r="W1094" t="str">
            <v/>
          </cell>
          <cell r="X1094" t="str">
            <v>CP-108-A</v>
          </cell>
          <cell r="Y1094" t="str">
            <v/>
          </cell>
          <cell r="Z1094" t="str">
            <v>1901</v>
          </cell>
          <cell r="AA1094" t="str">
            <v>1100159157</v>
          </cell>
          <cell r="AB1094">
            <v>2000</v>
          </cell>
          <cell r="AC1094" t="str">
            <v/>
          </cell>
          <cell r="AD1094">
            <v>0.9</v>
          </cell>
          <cell r="AE1094" t="str">
            <v>G-100001932-260116-0105</v>
          </cell>
        </row>
        <row r="1095">
          <cell r="B1095" t="str">
            <v>7101088516</v>
          </cell>
          <cell r="C1095" t="str">
            <v>G2601-9072</v>
          </cell>
          <cell r="D1095" t="str">
            <v>000042944043086966</v>
          </cell>
          <cell r="E1095" t="str">
            <v>开槽沉头螺钉</v>
          </cell>
          <cell r="F1095" t="str">
            <v>GB/T68-2016</v>
          </cell>
          <cell r="G1095" t="str">
            <v>M3×6</v>
          </cell>
          <cell r="H1095" t="str">
            <v>A2-70</v>
          </cell>
          <cell r="I1095" t="str">
            <v>ECP</v>
          </cell>
          <cell r="J1095" t="str">
            <v>ML1Cr18Ni9Ti</v>
          </cell>
          <cell r="K1095">
            <v>16370</v>
          </cell>
          <cell r="L1095">
            <v>46098</v>
          </cell>
          <cell r="M1095" t="str">
            <v>4-检验完成</v>
          </cell>
        </row>
        <row r="1095">
          <cell r="O1095">
            <v>0</v>
          </cell>
          <cell r="P1095" t="str">
            <v>中国运载火箭技术研究院</v>
          </cell>
          <cell r="Q1095" t="str">
            <v>90</v>
          </cell>
          <cell r="R1095">
            <v>46104</v>
          </cell>
        </row>
        <row r="1095">
          <cell r="U1095" t="str">
            <v>010000902239</v>
          </cell>
          <cell r="V1095" t="str">
            <v>BIAOQIAN2</v>
          </cell>
          <cell r="W1095" t="str">
            <v/>
          </cell>
          <cell r="X1095" t="str">
            <v>CP-108-A</v>
          </cell>
          <cell r="Y1095" t="str">
            <v/>
          </cell>
          <cell r="Z1095" t="str">
            <v>1901</v>
          </cell>
          <cell r="AA1095" t="str">
            <v>1100157995</v>
          </cell>
          <cell r="AB1095">
            <v>33000</v>
          </cell>
          <cell r="AC1095" t="str">
            <v/>
          </cell>
          <cell r="AD1095">
            <v>1.5</v>
          </cell>
          <cell r="AE1095" t="str">
            <v>G-100001932-260103-0001</v>
          </cell>
        </row>
        <row r="1096">
          <cell r="B1096" t="str">
            <v>7101088456</v>
          </cell>
          <cell r="C1096" t="str">
            <v>G2601-9009</v>
          </cell>
          <cell r="D1096" t="str">
            <v>000042944043105396</v>
          </cell>
          <cell r="E1096" t="str">
            <v>开槽沉头螺钉</v>
          </cell>
          <cell r="F1096" t="str">
            <v>GB/T68-2016</v>
          </cell>
          <cell r="G1096" t="str">
            <v>M3×32</v>
          </cell>
          <cell r="H1096" t="str">
            <v>A2-70</v>
          </cell>
          <cell r="I1096" t="str">
            <v>ECP</v>
          </cell>
          <cell r="J1096" t="str">
            <v>ML0Cr18Ni9</v>
          </cell>
          <cell r="K1096">
            <v>1558</v>
          </cell>
          <cell r="L1096">
            <v>46098</v>
          </cell>
          <cell r="M1096" t="str">
            <v>4-检验完成</v>
          </cell>
        </row>
        <row r="1096">
          <cell r="O1096">
            <v>0</v>
          </cell>
          <cell r="P1096" t="str">
            <v>中国运载火箭技术研究院</v>
          </cell>
          <cell r="Q1096" t="str">
            <v>80</v>
          </cell>
          <cell r="R1096">
            <v>46106</v>
          </cell>
        </row>
        <row r="1096">
          <cell r="U1096" t="str">
            <v>010000900448</v>
          </cell>
          <cell r="V1096" t="str">
            <v>BIAOQIAN3</v>
          </cell>
          <cell r="W1096" t="str">
            <v/>
          </cell>
          <cell r="X1096" t="str">
            <v>CP-108-A</v>
          </cell>
          <cell r="Y1096" t="str">
            <v/>
          </cell>
          <cell r="Z1096" t="str">
            <v>1901</v>
          </cell>
          <cell r="AA1096" t="str">
            <v>1100157995</v>
          </cell>
          <cell r="AB1096">
            <v>2000</v>
          </cell>
          <cell r="AC1096" t="str">
            <v/>
          </cell>
          <cell r="AD1096">
            <v>1.5</v>
          </cell>
          <cell r="AE1096" t="str">
            <v>G-100001932-260103-0001</v>
          </cell>
        </row>
        <row r="1097">
          <cell r="B1097" t="str">
            <v>7101088456</v>
          </cell>
          <cell r="C1097" t="str">
            <v>G2507-9040</v>
          </cell>
          <cell r="D1097" t="str">
            <v>000042944043105396</v>
          </cell>
          <cell r="E1097" t="str">
            <v>开槽沉头螺钉</v>
          </cell>
          <cell r="F1097" t="str">
            <v>GB/T68-2016</v>
          </cell>
          <cell r="G1097" t="str">
            <v>M3×32</v>
          </cell>
          <cell r="H1097" t="str">
            <v>A2-70</v>
          </cell>
          <cell r="I1097" t="str">
            <v>ECP</v>
          </cell>
          <cell r="J1097" t="str">
            <v>ML0Cr18Ni9</v>
          </cell>
          <cell r="K1097">
            <v>442</v>
          </cell>
          <cell r="L1097">
            <v>46098</v>
          </cell>
          <cell r="M1097" t="str">
            <v>4-检验完成</v>
          </cell>
        </row>
        <row r="1097">
          <cell r="O1097">
            <v>0</v>
          </cell>
          <cell r="P1097" t="str">
            <v>中国运载火箭技术研究院</v>
          </cell>
          <cell r="Q1097" t="str">
            <v>80</v>
          </cell>
          <cell r="R1097">
            <v>46106</v>
          </cell>
        </row>
        <row r="1097">
          <cell r="U1097" t="str">
            <v>010000848542</v>
          </cell>
          <cell r="V1097" t="str">
            <v>BIAOQIAN3</v>
          </cell>
          <cell r="W1097" t="str">
            <v/>
          </cell>
          <cell r="X1097" t="str">
            <v>CP-50-4-1-8</v>
          </cell>
          <cell r="Y1097" t="str">
            <v/>
          </cell>
          <cell r="Z1097" t="str">
            <v>1901</v>
          </cell>
          <cell r="AA1097" t="str">
            <v>1100157995</v>
          </cell>
          <cell r="AB1097">
            <v>2000</v>
          </cell>
          <cell r="AC1097" t="str">
            <v/>
          </cell>
          <cell r="AD1097">
            <v>1.5</v>
          </cell>
          <cell r="AE1097" t="str">
            <v>G-100001932-260103-0001</v>
          </cell>
        </row>
        <row r="1098">
          <cell r="B1098" t="str">
            <v>7101088455</v>
          </cell>
          <cell r="C1098" t="str">
            <v>G2602-1369</v>
          </cell>
          <cell r="D1098" t="str">
            <v>000042944439000497</v>
          </cell>
          <cell r="E1098" t="str">
            <v>小垫圈</v>
          </cell>
          <cell r="F1098" t="str">
            <v>GB/T848-2002</v>
          </cell>
          <cell r="G1098" t="str">
            <v>5</v>
          </cell>
          <cell r="H1098" t="str">
            <v>200HV</v>
          </cell>
          <cell r="I1098" t="str">
            <v>ECP</v>
          </cell>
          <cell r="J1098" t="str">
            <v>1Cr18Ni9Ti</v>
          </cell>
          <cell r="K1098">
            <v>922</v>
          </cell>
          <cell r="L1098">
            <v>46098</v>
          </cell>
          <cell r="M1098" t="str">
            <v>3-配货完成</v>
          </cell>
        </row>
        <row r="1098">
          <cell r="O1098">
            <v>0</v>
          </cell>
          <cell r="P1098" t="str">
            <v>中国运载火箭技术研究院</v>
          </cell>
          <cell r="Q1098" t="str">
            <v>110</v>
          </cell>
        </row>
        <row r="1098">
          <cell r="U1098" t="str">
            <v>010000917102</v>
          </cell>
          <cell r="V1098" t="str">
            <v>BIAOQIAN3</v>
          </cell>
          <cell r="W1098" t="str">
            <v/>
          </cell>
          <cell r="X1098" t="str">
            <v>CP-108-A</v>
          </cell>
          <cell r="Y1098" t="str">
            <v/>
          </cell>
          <cell r="Z1098" t="str">
            <v>1901</v>
          </cell>
          <cell r="AA1098" t="str">
            <v>1100159157</v>
          </cell>
          <cell r="AB1098">
            <v>30000</v>
          </cell>
          <cell r="AC1098" t="str">
            <v/>
          </cell>
          <cell r="AD1098">
            <v>0.59</v>
          </cell>
          <cell r="AE1098" t="str">
            <v>G-100001932-260116-0105</v>
          </cell>
        </row>
        <row r="1099">
          <cell r="B1099" t="str">
            <v>7101088438</v>
          </cell>
          <cell r="C1099" t="str">
            <v>G2601-9008</v>
          </cell>
          <cell r="D1099" t="str">
            <v>000042944043104740</v>
          </cell>
          <cell r="E1099" t="str">
            <v>开槽沉头螺钉</v>
          </cell>
          <cell r="F1099" t="str">
            <v>GB/T68-2016</v>
          </cell>
          <cell r="G1099" t="str">
            <v>M2.5×20</v>
          </cell>
          <cell r="H1099" t="str">
            <v>A2-70</v>
          </cell>
          <cell r="I1099" t="str">
            <v>ECP</v>
          </cell>
          <cell r="J1099" t="str">
            <v>ML0Cr18Ni9</v>
          </cell>
          <cell r="K1099">
            <v>1000</v>
          </cell>
          <cell r="L1099">
            <v>46098</v>
          </cell>
          <cell r="M1099" t="str">
            <v>4-检验完成</v>
          </cell>
        </row>
        <row r="1099">
          <cell r="O1099">
            <v>0</v>
          </cell>
          <cell r="P1099" t="str">
            <v>中国运载火箭技术研究院</v>
          </cell>
          <cell r="Q1099" t="str">
            <v>50</v>
          </cell>
          <cell r="R1099">
            <v>46104</v>
          </cell>
        </row>
        <row r="1099">
          <cell r="U1099" t="str">
            <v>010000900447</v>
          </cell>
          <cell r="V1099" t="str">
            <v>BIAOQIAN1</v>
          </cell>
          <cell r="W1099" t="str">
            <v/>
          </cell>
          <cell r="X1099" t="str">
            <v>CP-108-A</v>
          </cell>
          <cell r="Y1099" t="str">
            <v/>
          </cell>
          <cell r="Z1099" t="str">
            <v>1901</v>
          </cell>
          <cell r="AA1099" t="str">
            <v>1100157995</v>
          </cell>
          <cell r="AB1099">
            <v>1000</v>
          </cell>
          <cell r="AC1099" t="str">
            <v/>
          </cell>
          <cell r="AD1099">
            <v>1</v>
          </cell>
          <cell r="AE1099" t="str">
            <v>G-100001932-260103-0001</v>
          </cell>
        </row>
        <row r="1100">
          <cell r="B1100" t="str">
            <v>7101088431</v>
          </cell>
          <cell r="C1100" t="str">
            <v>G2509-0973</v>
          </cell>
          <cell r="D1100" t="str">
            <v>000042944000042725</v>
          </cell>
          <cell r="E1100" t="str">
            <v>钉杆</v>
          </cell>
          <cell r="F1100" t="str">
            <v>QJ2996.3A(1)-2004</v>
          </cell>
          <cell r="G1100" t="str">
            <v>5×14</v>
          </cell>
          <cell r="H1100" t="str">
            <v/>
          </cell>
          <cell r="I1100" t="str">
            <v>蓝色阳极化</v>
          </cell>
          <cell r="J1100" t="str">
            <v>TC4</v>
          </cell>
          <cell r="K1100">
            <v>450</v>
          </cell>
          <cell r="L1100">
            <v>46098</v>
          </cell>
          <cell r="M1100" t="str">
            <v>3-配货完成</v>
          </cell>
        </row>
        <row r="1100">
          <cell r="O1100">
            <v>0</v>
          </cell>
          <cell r="P1100" t="str">
            <v>中国运载火箭技术研究院</v>
          </cell>
          <cell r="Q1100" t="str">
            <v>30</v>
          </cell>
        </row>
        <row r="1100">
          <cell r="U1100" t="str">
            <v>010000862164</v>
          </cell>
          <cell r="V1100" t="str">
            <v>BIAOQIAN4</v>
          </cell>
          <cell r="W1100" t="str">
            <v/>
          </cell>
          <cell r="X1100" t="str">
            <v>CP-108-A</v>
          </cell>
          <cell r="Y1100" t="str">
            <v/>
          </cell>
          <cell r="Z1100" t="str">
            <v>1901</v>
          </cell>
          <cell r="AA1100" t="str">
            <v>1100149507</v>
          </cell>
          <cell r="AB1100">
            <v>450</v>
          </cell>
          <cell r="AC1100" t="str">
            <v/>
          </cell>
          <cell r="AD1100">
            <v>39.5</v>
          </cell>
          <cell r="AE1100" t="str">
            <v>G-100001932-250701-0722</v>
          </cell>
        </row>
        <row r="1101">
          <cell r="B1101" t="str">
            <v>7101088429</v>
          </cell>
          <cell r="C1101" t="str">
            <v>G2509-0973</v>
          </cell>
          <cell r="D1101" t="str">
            <v>000042944000042725</v>
          </cell>
          <cell r="E1101" t="str">
            <v>钉杆</v>
          </cell>
          <cell r="F1101" t="str">
            <v>QJ2996.3A(1)-2004</v>
          </cell>
          <cell r="G1101" t="str">
            <v>5×14</v>
          </cell>
          <cell r="H1101" t="str">
            <v/>
          </cell>
          <cell r="I1101" t="str">
            <v>蓝色阳极化</v>
          </cell>
          <cell r="J1101" t="str">
            <v>TC4</v>
          </cell>
          <cell r="K1101">
            <v>155</v>
          </cell>
          <cell r="L1101">
            <v>46098</v>
          </cell>
          <cell r="M1101" t="str">
            <v>3-配货完成</v>
          </cell>
        </row>
        <row r="1101">
          <cell r="O1101">
            <v>0</v>
          </cell>
          <cell r="P1101" t="str">
            <v>中国运载火箭技术研究院</v>
          </cell>
          <cell r="Q1101" t="str">
            <v>10</v>
          </cell>
        </row>
        <row r="1101">
          <cell r="U1101" t="str">
            <v>010000862164</v>
          </cell>
          <cell r="V1101" t="str">
            <v>BIAOQIAN4</v>
          </cell>
          <cell r="W1101" t="str">
            <v/>
          </cell>
          <cell r="X1101" t="str">
            <v>CP-108-A</v>
          </cell>
          <cell r="Y1101" t="str">
            <v/>
          </cell>
          <cell r="Z1101" t="str">
            <v>1901</v>
          </cell>
          <cell r="AA1101" t="str">
            <v>1100146632</v>
          </cell>
          <cell r="AB1101">
            <v>155</v>
          </cell>
          <cell r="AC1101" t="str">
            <v/>
          </cell>
          <cell r="AD1101">
            <v>39.5</v>
          </cell>
          <cell r="AE1101" t="str">
            <v>G-100001932-250508-0505</v>
          </cell>
        </row>
        <row r="1102">
          <cell r="B1102" t="str">
            <v>7101088360</v>
          </cell>
          <cell r="C1102" t="str">
            <v>G2503-1395</v>
          </cell>
          <cell r="D1102" t="str">
            <v>000042944999008088</v>
          </cell>
          <cell r="E1102" t="str">
            <v>钉杆</v>
          </cell>
          <cell r="F1102" t="str">
            <v>QJ2996.2A(1)-2004</v>
          </cell>
          <cell r="G1102" t="str">
            <v>4×10</v>
          </cell>
          <cell r="H1102" t="str">
            <v/>
          </cell>
          <cell r="I1102" t="str">
            <v>蓝色阳极化</v>
          </cell>
          <cell r="J1102" t="str">
            <v>TC4</v>
          </cell>
          <cell r="K1102">
            <v>4885</v>
          </cell>
          <cell r="L1102">
            <v>46098</v>
          </cell>
          <cell r="M1102" t="str">
            <v>4-检验完成</v>
          </cell>
        </row>
        <row r="1102">
          <cell r="O1102">
            <v>0</v>
          </cell>
          <cell r="P1102" t="str">
            <v>中国运载火箭技术研究院</v>
          </cell>
          <cell r="Q1102" t="str">
            <v>110</v>
          </cell>
          <cell r="R1102">
            <v>46100</v>
          </cell>
        </row>
        <row r="1102">
          <cell r="U1102" t="str">
            <v>010000796322</v>
          </cell>
          <cell r="V1102" t="str">
            <v>BIAOQIAN4</v>
          </cell>
          <cell r="W1102" t="str">
            <v/>
          </cell>
          <cell r="X1102" t="str">
            <v>CP-108-A</v>
          </cell>
          <cell r="Y1102" t="str">
            <v/>
          </cell>
          <cell r="Z1102" t="str">
            <v>1901</v>
          </cell>
          <cell r="AA1102" t="str">
            <v>1100143219</v>
          </cell>
          <cell r="AB1102">
            <v>20010</v>
          </cell>
          <cell r="AC1102" t="str">
            <v/>
          </cell>
          <cell r="AD1102">
            <v>41.5</v>
          </cell>
          <cell r="AE1102" t="str">
            <v>G-100001932-250311-0260</v>
          </cell>
        </row>
        <row r="1103">
          <cell r="B1103" t="str">
            <v>7101088327</v>
          </cell>
          <cell r="C1103" t="str">
            <v>G2601-9028</v>
          </cell>
          <cell r="D1103" t="str">
            <v>000042944044087069</v>
          </cell>
          <cell r="E1103" t="str">
            <v>十字槽沉头螺钉</v>
          </cell>
          <cell r="F1103" t="str">
            <v>GB/T819.2-2016</v>
          </cell>
          <cell r="G1103" t="str">
            <v>M4×25</v>
          </cell>
          <cell r="H1103" t="str">
            <v>A2-70</v>
          </cell>
          <cell r="I1103" t="str">
            <v>ECP</v>
          </cell>
          <cell r="J1103" t="str">
            <v>ML1Cr18Ni9Ti</v>
          </cell>
          <cell r="K1103">
            <v>6000</v>
          </cell>
          <cell r="L1103">
            <v>46098</v>
          </cell>
          <cell r="M1103" t="str">
            <v>4-检验完成</v>
          </cell>
        </row>
        <row r="1103">
          <cell r="O1103">
            <v>0</v>
          </cell>
          <cell r="P1103" t="str">
            <v>中国运载火箭技术研究院</v>
          </cell>
          <cell r="Q1103" t="str">
            <v>290</v>
          </cell>
          <cell r="R1103">
            <v>46104</v>
          </cell>
        </row>
        <row r="1103">
          <cell r="U1103" t="str">
            <v>010000900482</v>
          </cell>
          <cell r="V1103" t="str">
            <v>BIAOQIAN1</v>
          </cell>
          <cell r="W1103" t="str">
            <v/>
          </cell>
          <cell r="X1103" t="str">
            <v>CP-108-A</v>
          </cell>
          <cell r="Y1103" t="str">
            <v/>
          </cell>
          <cell r="Z1103" t="str">
            <v>1901</v>
          </cell>
          <cell r="AA1103" t="str">
            <v>1100157995</v>
          </cell>
          <cell r="AB1103">
            <v>6000</v>
          </cell>
          <cell r="AC1103" t="str">
            <v/>
          </cell>
          <cell r="AD1103">
            <v>1.5</v>
          </cell>
          <cell r="AE1103" t="str">
            <v>G-100001932-260103-0001</v>
          </cell>
        </row>
        <row r="1104">
          <cell r="B1104" t="str">
            <v>7101088326</v>
          </cell>
          <cell r="C1104" t="str">
            <v>G2602-1394</v>
          </cell>
          <cell r="D1104" t="str">
            <v>000042944439000330</v>
          </cell>
          <cell r="E1104" t="str">
            <v>小垫圈</v>
          </cell>
          <cell r="F1104" t="str">
            <v>GB/T848-2002</v>
          </cell>
          <cell r="G1104" t="str">
            <v>2.5</v>
          </cell>
          <cell r="H1104" t="str">
            <v>200HV</v>
          </cell>
          <cell r="I1104" t="str">
            <v>ECP</v>
          </cell>
          <cell r="J1104" t="str">
            <v>1Cr18Ni9Ti</v>
          </cell>
          <cell r="K1104">
            <v>4575</v>
          </cell>
          <cell r="L1104">
            <v>46098</v>
          </cell>
          <cell r="M1104" t="str">
            <v>4-检验完成</v>
          </cell>
        </row>
        <row r="1104">
          <cell r="O1104">
            <v>0</v>
          </cell>
          <cell r="P1104" t="str">
            <v>中国运载火箭技术研究院</v>
          </cell>
          <cell r="Q1104" t="str">
            <v>380</v>
          </cell>
          <cell r="R1104">
            <v>46101</v>
          </cell>
        </row>
        <row r="1104">
          <cell r="U1104" t="str">
            <v>010000917133</v>
          </cell>
          <cell r="V1104" t="str">
            <v>BIAOQIAN2</v>
          </cell>
          <cell r="W1104" t="str">
            <v/>
          </cell>
          <cell r="X1104" t="str">
            <v>CP-108-A</v>
          </cell>
          <cell r="Y1104" t="str">
            <v/>
          </cell>
          <cell r="Z1104" t="str">
            <v>1901</v>
          </cell>
          <cell r="AA1104" t="str">
            <v>1100157995</v>
          </cell>
          <cell r="AB1104">
            <v>305000</v>
          </cell>
          <cell r="AC1104" t="str">
            <v/>
          </cell>
          <cell r="AD1104">
            <v>0.66</v>
          </cell>
          <cell r="AE1104" t="str">
            <v>G-100001932-260103-0001</v>
          </cell>
        </row>
        <row r="1105">
          <cell r="B1105" t="str">
            <v>7101088324</v>
          </cell>
          <cell r="C1105" t="str">
            <v>G2601-9012</v>
          </cell>
          <cell r="D1105" t="str">
            <v>000042944044071579</v>
          </cell>
          <cell r="E1105" t="str">
            <v>十字槽沉头螺钉</v>
          </cell>
          <cell r="F1105" t="str">
            <v>GB/T819.2-2016</v>
          </cell>
          <cell r="G1105" t="str">
            <v>M4×12</v>
          </cell>
          <cell r="H1105" t="str">
            <v>A2-70</v>
          </cell>
          <cell r="I1105" t="str">
            <v>ECP</v>
          </cell>
          <cell r="J1105" t="str">
            <v>ML1Cr18Ni9Ti</v>
          </cell>
          <cell r="K1105">
            <v>10669</v>
          </cell>
          <cell r="L1105">
            <v>46098</v>
          </cell>
          <cell r="M1105" t="str">
            <v>4-检验完成</v>
          </cell>
        </row>
        <row r="1105">
          <cell r="O1105">
            <v>0</v>
          </cell>
          <cell r="P1105" t="str">
            <v>中国运载火箭技术研究院</v>
          </cell>
          <cell r="Q1105" t="str">
            <v>250</v>
          </cell>
          <cell r="R1105">
            <v>46105</v>
          </cell>
        </row>
        <row r="1105">
          <cell r="U1105" t="str">
            <v>010000900452</v>
          </cell>
          <cell r="V1105" t="str">
            <v>BIAOQIAN2</v>
          </cell>
          <cell r="W1105" t="str">
            <v/>
          </cell>
          <cell r="X1105" t="str">
            <v>CP-108-A</v>
          </cell>
          <cell r="Y1105" t="str">
            <v/>
          </cell>
          <cell r="Z1105" t="str">
            <v>1901</v>
          </cell>
          <cell r="AA1105" t="str">
            <v>1100157995</v>
          </cell>
          <cell r="AB1105">
            <v>22000</v>
          </cell>
          <cell r="AC1105" t="str">
            <v/>
          </cell>
          <cell r="AD1105">
            <v>2</v>
          </cell>
          <cell r="AE1105" t="str">
            <v>G-100001932-260103-0001</v>
          </cell>
        </row>
        <row r="1106">
          <cell r="B1106" t="str">
            <v>7101088323</v>
          </cell>
          <cell r="C1106" t="str">
            <v>G2601-9026</v>
          </cell>
          <cell r="D1106" t="str">
            <v>000042944044087066</v>
          </cell>
          <cell r="E1106" t="str">
            <v>十字槽沉头螺钉</v>
          </cell>
          <cell r="F1106" t="str">
            <v>GB/T819.2-2016</v>
          </cell>
          <cell r="G1106" t="str">
            <v>M4×18</v>
          </cell>
          <cell r="H1106" t="str">
            <v>A2-70</v>
          </cell>
          <cell r="I1106" t="str">
            <v>ECP</v>
          </cell>
          <cell r="J1106" t="str">
            <v>ML1Cr18Ni9Ti</v>
          </cell>
          <cell r="K1106">
            <v>6000</v>
          </cell>
          <cell r="L1106">
            <v>46098</v>
          </cell>
          <cell r="M1106" t="str">
            <v>4-检验完成</v>
          </cell>
        </row>
        <row r="1106">
          <cell r="O1106">
            <v>0</v>
          </cell>
          <cell r="P1106" t="str">
            <v>中国运载火箭技术研究院</v>
          </cell>
          <cell r="Q1106" t="str">
            <v>270</v>
          </cell>
          <cell r="R1106">
            <v>46111</v>
          </cell>
        </row>
        <row r="1106">
          <cell r="U1106" t="str">
            <v>010000900479</v>
          </cell>
          <cell r="V1106" t="str">
            <v>BIAOQIAN2</v>
          </cell>
          <cell r="W1106" t="str">
            <v/>
          </cell>
          <cell r="X1106" t="str">
            <v>CP-108-A</v>
          </cell>
          <cell r="Y1106" t="str">
            <v/>
          </cell>
          <cell r="Z1106" t="str">
            <v>1901</v>
          </cell>
          <cell r="AA1106" t="str">
            <v>1100157995</v>
          </cell>
          <cell r="AB1106">
            <v>6000</v>
          </cell>
          <cell r="AC1106" t="str">
            <v/>
          </cell>
          <cell r="AD1106">
            <v>2</v>
          </cell>
          <cell r="AE1106" t="str">
            <v>G-100001932-260103-0001</v>
          </cell>
        </row>
        <row r="1107">
          <cell r="B1107" t="str">
            <v>7101088322</v>
          </cell>
          <cell r="C1107" t="str">
            <v>G2601-9078</v>
          </cell>
          <cell r="D1107" t="str">
            <v>000042944043069325</v>
          </cell>
          <cell r="E1107" t="str">
            <v>开槽沉头螺钉</v>
          </cell>
          <cell r="F1107" t="str">
            <v>GB/T68-2016</v>
          </cell>
          <cell r="G1107" t="str">
            <v>M2.5×6</v>
          </cell>
          <cell r="H1107" t="str">
            <v>A2-70</v>
          </cell>
          <cell r="I1107" t="str">
            <v>ECP</v>
          </cell>
          <cell r="J1107" t="str">
            <v>ML1Cr18Ni9Ti</v>
          </cell>
          <cell r="K1107">
            <v>3000</v>
          </cell>
          <cell r="L1107">
            <v>46098</v>
          </cell>
          <cell r="M1107" t="str">
            <v>4-检验完成</v>
          </cell>
        </row>
        <row r="1107">
          <cell r="O1107">
            <v>0</v>
          </cell>
          <cell r="P1107" t="str">
            <v>中国运载火箭技术研究院</v>
          </cell>
          <cell r="Q1107" t="str">
            <v>10</v>
          </cell>
          <cell r="R1107">
            <v>46105</v>
          </cell>
        </row>
        <row r="1107">
          <cell r="U1107" t="str">
            <v>010000902884</v>
          </cell>
          <cell r="V1107" t="str">
            <v>BIAOQIAN1</v>
          </cell>
          <cell r="W1107" t="str">
            <v/>
          </cell>
          <cell r="X1107" t="str">
            <v>CP-108-A</v>
          </cell>
          <cell r="Y1107" t="str">
            <v/>
          </cell>
          <cell r="Z1107" t="str">
            <v>1901</v>
          </cell>
          <cell r="AA1107" t="str">
            <v>1100158546</v>
          </cell>
          <cell r="AB1107">
            <v>3000</v>
          </cell>
          <cell r="AC1107" t="str">
            <v/>
          </cell>
          <cell r="AD1107">
            <v>1</v>
          </cell>
          <cell r="AE1107" t="str">
            <v>G-100001932-260108-0047</v>
          </cell>
        </row>
        <row r="1108">
          <cell r="B1108" t="str">
            <v>7101088313</v>
          </cell>
          <cell r="C1108" t="str">
            <v>G2601-9070</v>
          </cell>
          <cell r="D1108" t="str">
            <v>000042944043086958</v>
          </cell>
          <cell r="E1108" t="str">
            <v>开槽沉头螺钉</v>
          </cell>
          <cell r="F1108" t="str">
            <v>GB/T68-2016</v>
          </cell>
          <cell r="G1108" t="str">
            <v>M2×16</v>
          </cell>
          <cell r="H1108" t="str">
            <v>A2-70</v>
          </cell>
          <cell r="I1108" t="str">
            <v>ECP</v>
          </cell>
          <cell r="J1108" t="str">
            <v>ML1Cr18Ni9Ti</v>
          </cell>
          <cell r="K1108">
            <v>1000</v>
          </cell>
          <cell r="L1108">
            <v>46098</v>
          </cell>
          <cell r="M1108" t="str">
            <v>4-检验完成</v>
          </cell>
        </row>
        <row r="1108">
          <cell r="O1108">
            <v>0</v>
          </cell>
          <cell r="P1108" t="str">
            <v>中国运载火箭技术研究院</v>
          </cell>
          <cell r="Q1108" t="str">
            <v>70</v>
          </cell>
          <cell r="R1108">
            <v>46106</v>
          </cell>
        </row>
        <row r="1108">
          <cell r="U1108" t="str">
            <v>010000902237</v>
          </cell>
          <cell r="V1108" t="str">
            <v>BIAOQIAN1</v>
          </cell>
          <cell r="W1108" t="str">
            <v/>
          </cell>
          <cell r="X1108" t="str">
            <v>CP-108-A</v>
          </cell>
          <cell r="Y1108" t="str">
            <v/>
          </cell>
          <cell r="Z1108" t="str">
            <v>1901</v>
          </cell>
          <cell r="AA1108" t="str">
            <v>1100157995</v>
          </cell>
          <cell r="AB1108">
            <v>1000</v>
          </cell>
          <cell r="AC1108" t="str">
            <v/>
          </cell>
          <cell r="AD1108">
            <v>1</v>
          </cell>
          <cell r="AE1108" t="str">
            <v>G-100001932-260103-0001</v>
          </cell>
        </row>
        <row r="1109">
          <cell r="B1109" t="str">
            <v>7101088285</v>
          </cell>
          <cell r="C1109" t="str">
            <v>G2509-1038</v>
          </cell>
          <cell r="D1109" t="str">
            <v>000042944999008159</v>
          </cell>
          <cell r="E1109" t="str">
            <v>钉杆</v>
          </cell>
          <cell r="F1109" t="str">
            <v>QJ2996.3A(1)-2004</v>
          </cell>
          <cell r="G1109" t="str">
            <v>5×16</v>
          </cell>
          <cell r="H1109" t="str">
            <v/>
          </cell>
          <cell r="I1109" t="str">
            <v>蓝色阳极化</v>
          </cell>
          <cell r="J1109" t="str">
            <v>TC4</v>
          </cell>
          <cell r="K1109">
            <v>220</v>
          </cell>
          <cell r="L1109">
            <v>46098</v>
          </cell>
          <cell r="M1109" t="str">
            <v>4-检验完成</v>
          </cell>
        </row>
        <row r="1109">
          <cell r="O1109">
            <v>0</v>
          </cell>
          <cell r="P1109" t="str">
            <v>中国运载火箭技术研究院</v>
          </cell>
          <cell r="Q1109" t="str">
            <v>20</v>
          </cell>
          <cell r="R1109">
            <v>46101</v>
          </cell>
        </row>
        <row r="1109">
          <cell r="U1109" t="str">
            <v>010000862319</v>
          </cell>
          <cell r="V1109" t="str">
            <v>BIAOQIAN1</v>
          </cell>
          <cell r="W1109" t="str">
            <v/>
          </cell>
          <cell r="X1109" t="str">
            <v>CP-108-A</v>
          </cell>
          <cell r="Y1109" t="str">
            <v/>
          </cell>
          <cell r="Z1109" t="str">
            <v>1901</v>
          </cell>
          <cell r="AA1109" t="str">
            <v>1100146632</v>
          </cell>
          <cell r="AB1109">
            <v>220</v>
          </cell>
          <cell r="AC1109" t="str">
            <v/>
          </cell>
          <cell r="AD1109">
            <v>39.5</v>
          </cell>
          <cell r="AE1109" t="str">
            <v>G-100001932-250508-0505</v>
          </cell>
        </row>
        <row r="1110">
          <cell r="B1110" t="str">
            <v>7101088229</v>
          </cell>
          <cell r="C1110" t="str">
            <v>G2601-9035</v>
          </cell>
          <cell r="D1110" t="str">
            <v>000042944044153505</v>
          </cell>
          <cell r="E1110" t="str">
            <v>十字槽沉头螺钉</v>
          </cell>
          <cell r="F1110" t="str">
            <v>GB/T819.2-2016</v>
          </cell>
          <cell r="G1110" t="str">
            <v>M3×15</v>
          </cell>
          <cell r="H1110" t="str">
            <v>A2-70</v>
          </cell>
          <cell r="I1110" t="str">
            <v>ECP</v>
          </cell>
          <cell r="J1110" t="str">
            <v>ML1Cr18Ni9Ti</v>
          </cell>
          <cell r="K1110">
            <v>934</v>
          </cell>
          <cell r="L1110">
            <v>46098</v>
          </cell>
          <cell r="M1110" t="str">
            <v>4-检验完成</v>
          </cell>
        </row>
        <row r="1110">
          <cell r="O1110">
            <v>0</v>
          </cell>
          <cell r="P1110" t="str">
            <v>中国运载火箭技术研究院</v>
          </cell>
          <cell r="Q1110" t="str">
            <v>210</v>
          </cell>
          <cell r="R1110">
            <v>46106</v>
          </cell>
        </row>
        <row r="1110">
          <cell r="U1110" t="str">
            <v>010000900500</v>
          </cell>
          <cell r="V1110" t="str">
            <v>BIAOQIAN3</v>
          </cell>
          <cell r="W1110" t="str">
            <v/>
          </cell>
          <cell r="X1110" t="str">
            <v>CP-108-A</v>
          </cell>
          <cell r="Y1110" t="str">
            <v/>
          </cell>
          <cell r="Z1110" t="str">
            <v>1901</v>
          </cell>
          <cell r="AA1110" t="str">
            <v>1100157995</v>
          </cell>
          <cell r="AB1110">
            <v>1000</v>
          </cell>
          <cell r="AC1110" t="str">
            <v/>
          </cell>
          <cell r="AD1110">
            <v>1</v>
          </cell>
          <cell r="AE1110" t="str">
            <v>G-100001932-260103-0001</v>
          </cell>
        </row>
        <row r="1111">
          <cell r="B1111" t="str">
            <v>7101087928</v>
          </cell>
          <cell r="C1111" t="str">
            <v>G2601-9065</v>
          </cell>
          <cell r="D1111" t="str">
            <v>000042944401071348</v>
          </cell>
          <cell r="E1111" t="str">
            <v>小垫圈</v>
          </cell>
          <cell r="F1111" t="str">
            <v>GB/T848-2002</v>
          </cell>
          <cell r="G1111" t="str">
            <v>3</v>
          </cell>
          <cell r="H1111" t="str">
            <v>σb≥800MPa</v>
          </cell>
          <cell r="I1111" t="str">
            <v>Ti/Et·A(P)·Cl(BU)</v>
          </cell>
          <cell r="J1111" t="str">
            <v>TC4</v>
          </cell>
          <cell r="K1111">
            <v>2000</v>
          </cell>
          <cell r="L1111">
            <v>46097</v>
          </cell>
          <cell r="M1111" t="str">
            <v>4-检验完成</v>
          </cell>
        </row>
        <row r="1111">
          <cell r="O1111">
            <v>0</v>
          </cell>
          <cell r="P1111" t="str">
            <v>中国运载火箭技术研究院</v>
          </cell>
          <cell r="Q1111" t="str">
            <v>30</v>
          </cell>
          <cell r="R1111">
            <v>46107</v>
          </cell>
        </row>
        <row r="1111">
          <cell r="U1111" t="str">
            <v>010000901526</v>
          </cell>
          <cell r="V1111" t="str">
            <v>BIAOQIAN4</v>
          </cell>
          <cell r="W1111" t="str">
            <v/>
          </cell>
          <cell r="X1111" t="str">
            <v>CP-108-A</v>
          </cell>
          <cell r="Y1111" t="str">
            <v/>
          </cell>
          <cell r="Z1111" t="str">
            <v>1901</v>
          </cell>
          <cell r="AA1111" t="str">
            <v>1100158122</v>
          </cell>
          <cell r="AB1111">
            <v>2000</v>
          </cell>
          <cell r="AC1111" t="str">
            <v/>
          </cell>
          <cell r="AD1111">
            <v>4.5</v>
          </cell>
          <cell r="AE1111" t="str">
            <v>G-100001932-260105-0019</v>
          </cell>
        </row>
        <row r="1112">
          <cell r="B1112" t="str">
            <v>7101086691</v>
          </cell>
          <cell r="C1112" t="str">
            <v>G2602-0951</v>
          </cell>
          <cell r="D1112" t="str">
            <v>000042944999008137</v>
          </cell>
          <cell r="E1112" t="str">
            <v>调整垫片</v>
          </cell>
          <cell r="F1112" t="str">
            <v>QJ2996.2A(3)-2004</v>
          </cell>
          <cell r="G1112" t="str">
            <v>4×8×1</v>
          </cell>
          <cell r="H1112" t="str">
            <v/>
          </cell>
          <cell r="I1112" t="str">
            <v>Ti/Et·A(P)·Cl(BU)</v>
          </cell>
          <cell r="J1112" t="str">
            <v>TA1</v>
          </cell>
          <cell r="K1112">
            <v>100</v>
          </cell>
          <cell r="L1112">
            <v>46093</v>
          </cell>
          <cell r="M1112" t="str">
            <v>4-检验完成</v>
          </cell>
        </row>
        <row r="1112">
          <cell r="O1112">
            <v>0</v>
          </cell>
          <cell r="P1112" t="str">
            <v>中国运载火箭技术研究院</v>
          </cell>
          <cell r="Q1112" t="str">
            <v>20</v>
          </cell>
          <cell r="R1112">
            <v>46100</v>
          </cell>
        </row>
        <row r="1112">
          <cell r="U1112" t="str">
            <v>010000914913</v>
          </cell>
          <cell r="V1112" t="str">
            <v>BIAOQIAN4</v>
          </cell>
          <cell r="W1112" t="str">
            <v/>
          </cell>
          <cell r="X1112" t="str">
            <v>CP-108-A</v>
          </cell>
          <cell r="Y1112" t="str">
            <v/>
          </cell>
          <cell r="Z1112" t="str">
            <v>1901</v>
          </cell>
          <cell r="AA1112" t="str">
            <v>1100160336</v>
          </cell>
          <cell r="AB1112">
            <v>100</v>
          </cell>
          <cell r="AC1112" t="str">
            <v/>
          </cell>
          <cell r="AD1112">
            <v>2</v>
          </cell>
          <cell r="AE1112" t="str">
            <v>G-100001932-260205-0208</v>
          </cell>
        </row>
        <row r="1113">
          <cell r="B1113" t="str">
            <v>7101085442</v>
          </cell>
          <cell r="C1113" t="str">
            <v>G2601-9022</v>
          </cell>
          <cell r="D1113" t="str">
            <v>000042944044087052</v>
          </cell>
          <cell r="E1113" t="str">
            <v>十字槽沉头螺钉</v>
          </cell>
          <cell r="F1113" t="str">
            <v>GB/T819.2-2016</v>
          </cell>
          <cell r="G1113" t="str">
            <v>M2.5×18</v>
          </cell>
          <cell r="H1113" t="str">
            <v>A2-70</v>
          </cell>
          <cell r="I1113" t="str">
            <v>ECP</v>
          </cell>
          <cell r="J1113" t="str">
            <v>ML1Cr18Ni9Ti</v>
          </cell>
          <cell r="K1113">
            <v>2917</v>
          </cell>
          <cell r="L1113">
            <v>46091</v>
          </cell>
          <cell r="M1113" t="str">
            <v>4-检验完成</v>
          </cell>
        </row>
        <row r="1113">
          <cell r="O1113">
            <v>0</v>
          </cell>
          <cell r="P1113" t="str">
            <v>中国运载火箭技术研究院</v>
          </cell>
          <cell r="Q1113" t="str">
            <v>130</v>
          </cell>
          <cell r="R1113">
            <v>46100</v>
          </cell>
        </row>
        <row r="1113">
          <cell r="U1113" t="str">
            <v>010000900474</v>
          </cell>
          <cell r="V1113" t="str">
            <v>BIAOQIAN1</v>
          </cell>
          <cell r="W1113" t="str">
            <v/>
          </cell>
          <cell r="X1113" t="str">
            <v>CP-108-A</v>
          </cell>
          <cell r="Y1113" t="str">
            <v/>
          </cell>
          <cell r="Z1113" t="str">
            <v>1901</v>
          </cell>
          <cell r="AA1113" t="str">
            <v>1100157995</v>
          </cell>
          <cell r="AB1113">
            <v>3000</v>
          </cell>
          <cell r="AC1113" t="str">
            <v/>
          </cell>
          <cell r="AD1113">
            <v>1</v>
          </cell>
          <cell r="AE1113" t="str">
            <v>G-100001932-260103-0001</v>
          </cell>
        </row>
        <row r="1114">
          <cell r="B1114" t="str">
            <v>7101085440</v>
          </cell>
          <cell r="C1114" t="str">
            <v>G2601-9020</v>
          </cell>
          <cell r="D1114" t="str">
            <v>000042944044087047</v>
          </cell>
          <cell r="E1114" t="str">
            <v>十字槽沉头螺钉</v>
          </cell>
          <cell r="F1114" t="str">
            <v>GB/T819.2-2016</v>
          </cell>
          <cell r="G1114" t="str">
            <v>M2.5×6</v>
          </cell>
          <cell r="H1114" t="str">
            <v>A2-70</v>
          </cell>
          <cell r="I1114" t="str">
            <v>ECP</v>
          </cell>
          <cell r="J1114" t="str">
            <v>ML1Cr18Ni9Ti</v>
          </cell>
          <cell r="K1114">
            <v>19867</v>
          </cell>
          <cell r="L1114">
            <v>46091</v>
          </cell>
          <cell r="M1114" t="str">
            <v>4-检验完成</v>
          </cell>
        </row>
        <row r="1114">
          <cell r="O1114">
            <v>0</v>
          </cell>
          <cell r="P1114" t="str">
            <v>中国运载火箭技术研究院</v>
          </cell>
          <cell r="Q1114" t="str">
            <v>150</v>
          </cell>
          <cell r="R1114">
            <v>46104</v>
          </cell>
        </row>
        <row r="1114">
          <cell r="U1114" t="str">
            <v>010000900467</v>
          </cell>
          <cell r="V1114" t="str">
            <v>BIAOQIAN1</v>
          </cell>
          <cell r="W1114" t="str">
            <v/>
          </cell>
          <cell r="X1114" t="str">
            <v>CP-108-A</v>
          </cell>
          <cell r="Y1114" t="str">
            <v/>
          </cell>
          <cell r="Z1114" t="str">
            <v>1901</v>
          </cell>
          <cell r="AA1114" t="str">
            <v>1100157995</v>
          </cell>
          <cell r="AB1114">
            <v>20000</v>
          </cell>
          <cell r="AC1114" t="str">
            <v/>
          </cell>
          <cell r="AD1114">
            <v>1</v>
          </cell>
          <cell r="AE1114" t="str">
            <v>G-100001932-260103-0001</v>
          </cell>
        </row>
        <row r="1115">
          <cell r="B1115" t="str">
            <v>7101085431</v>
          </cell>
          <cell r="C1115" t="str">
            <v>G2601-0510</v>
          </cell>
          <cell r="D1115" t="str">
            <v>000042944439000396</v>
          </cell>
          <cell r="E1115" t="str">
            <v>小垫圈</v>
          </cell>
          <cell r="F1115" t="str">
            <v>GB/T848-2002</v>
          </cell>
          <cell r="G1115" t="str">
            <v>3</v>
          </cell>
          <cell r="H1115" t="str">
            <v>200HV</v>
          </cell>
          <cell r="I1115" t="str">
            <v>ECP</v>
          </cell>
          <cell r="J1115" t="str">
            <v>1Cr18Ni9Ti</v>
          </cell>
          <cell r="K1115">
            <v>40548</v>
          </cell>
          <cell r="L1115">
            <v>46091</v>
          </cell>
          <cell r="M1115" t="str">
            <v>4-检验完成</v>
          </cell>
        </row>
        <row r="1115">
          <cell r="O1115">
            <v>0</v>
          </cell>
          <cell r="P1115" t="str">
            <v>中国运载火箭技术研究院</v>
          </cell>
          <cell r="Q1115" t="str">
            <v>20</v>
          </cell>
          <cell r="R1115">
            <v>46106</v>
          </cell>
        </row>
        <row r="1115">
          <cell r="U1115" t="str">
            <v>010000900940</v>
          </cell>
          <cell r="V1115" t="str">
            <v>BIAOQIAN1</v>
          </cell>
          <cell r="W1115" t="str">
            <v/>
          </cell>
          <cell r="X1115" t="str">
            <v>CP-108-A</v>
          </cell>
          <cell r="Y1115" t="str">
            <v/>
          </cell>
          <cell r="Z1115" t="str">
            <v>1901</v>
          </cell>
          <cell r="AA1115" t="str">
            <v>1100158122</v>
          </cell>
          <cell r="AB1115">
            <v>209000</v>
          </cell>
          <cell r="AC1115" t="str">
            <v/>
          </cell>
          <cell r="AD1115">
            <v>0.66</v>
          </cell>
          <cell r="AE1115" t="str">
            <v>G-100001932-260105-0019</v>
          </cell>
        </row>
        <row r="1116">
          <cell r="B1116" t="str">
            <v>7101085426</v>
          </cell>
          <cell r="C1116" t="str">
            <v>G2601-9010</v>
          </cell>
          <cell r="D1116" t="str">
            <v>000042944044049835</v>
          </cell>
          <cell r="E1116" t="str">
            <v>十字槽沉头螺钉</v>
          </cell>
          <cell r="F1116" t="str">
            <v>GB/T819.2-2016</v>
          </cell>
          <cell r="G1116" t="str">
            <v>M2×20</v>
          </cell>
          <cell r="H1116" t="str">
            <v>A2-70</v>
          </cell>
          <cell r="I1116" t="str">
            <v>ECP</v>
          </cell>
          <cell r="J1116" t="str">
            <v>ML0Cr18Ni9</v>
          </cell>
          <cell r="K1116">
            <v>5734</v>
          </cell>
          <cell r="L1116">
            <v>46091</v>
          </cell>
          <cell r="M1116" t="str">
            <v>4-检验完成</v>
          </cell>
        </row>
        <row r="1116">
          <cell r="O1116">
            <v>0</v>
          </cell>
          <cell r="P1116" t="str">
            <v>中国运载火箭技术研究院</v>
          </cell>
          <cell r="Q1116" t="str">
            <v>190</v>
          </cell>
          <cell r="R1116">
            <v>46106</v>
          </cell>
        </row>
        <row r="1116">
          <cell r="U1116" t="str">
            <v>010000900450</v>
          </cell>
          <cell r="V1116" t="str">
            <v>BIAOQIAN1</v>
          </cell>
          <cell r="W1116" t="str">
            <v/>
          </cell>
          <cell r="X1116" t="str">
            <v>CP-108-A</v>
          </cell>
          <cell r="Y1116" t="str">
            <v/>
          </cell>
          <cell r="Z1116" t="str">
            <v>1901</v>
          </cell>
          <cell r="AA1116" t="str">
            <v>1100157995</v>
          </cell>
          <cell r="AB1116">
            <v>6000</v>
          </cell>
          <cell r="AC1116" t="str">
            <v/>
          </cell>
          <cell r="AD1116">
            <v>1</v>
          </cell>
          <cell r="AE1116" t="str">
            <v>G-100001932-260103-0001</v>
          </cell>
        </row>
        <row r="1117">
          <cell r="B1117" t="str">
            <v>7101085353</v>
          </cell>
          <cell r="C1117" t="str">
            <v>G2601-0606</v>
          </cell>
          <cell r="D1117" t="str">
            <v>000042944044087040</v>
          </cell>
          <cell r="E1117" t="str">
            <v>十字槽沉头螺钉</v>
          </cell>
          <cell r="F1117" t="str">
            <v>GB/T819.2-2016</v>
          </cell>
          <cell r="G1117" t="str">
            <v>M2×14</v>
          </cell>
          <cell r="H1117" t="str">
            <v>A2-70</v>
          </cell>
          <cell r="I1117" t="str">
            <v>ECP</v>
          </cell>
          <cell r="J1117" t="str">
            <v>ML1Cr18Ni9Ti</v>
          </cell>
          <cell r="K1117">
            <v>4000</v>
          </cell>
          <cell r="L1117">
            <v>46091</v>
          </cell>
          <cell r="M1117" t="str">
            <v>3-配货完成</v>
          </cell>
        </row>
        <row r="1117">
          <cell r="O1117">
            <v>0</v>
          </cell>
          <cell r="P1117" t="str">
            <v>中国运载火箭技术研究院</v>
          </cell>
          <cell r="Q1117" t="str">
            <v>10</v>
          </cell>
        </row>
        <row r="1117">
          <cell r="U1117" t="str">
            <v>010000901314</v>
          </cell>
          <cell r="V1117" t="str">
            <v>BIAOQIAN1</v>
          </cell>
          <cell r="W1117" t="str">
            <v/>
          </cell>
          <cell r="X1117" t="str">
            <v>CP-108-A</v>
          </cell>
          <cell r="Y1117" t="str">
            <v/>
          </cell>
          <cell r="Z1117" t="str">
            <v>1901</v>
          </cell>
          <cell r="AA1117" t="str">
            <v>1100158122</v>
          </cell>
          <cell r="AB1117">
            <v>4000</v>
          </cell>
          <cell r="AC1117" t="str">
            <v/>
          </cell>
          <cell r="AD1117">
            <v>1</v>
          </cell>
          <cell r="AE1117" t="str">
            <v>G-100001932-260105-0019</v>
          </cell>
        </row>
        <row r="1118">
          <cell r="B1118" t="str">
            <v>7101085352</v>
          </cell>
          <cell r="C1118" t="str">
            <v>G2601-9021</v>
          </cell>
          <cell r="D1118" t="str">
            <v>000042944044087049</v>
          </cell>
          <cell r="E1118" t="str">
            <v>十字槽沉头螺钉</v>
          </cell>
          <cell r="F1118" t="str">
            <v>GB/T819.2-2016</v>
          </cell>
          <cell r="G1118" t="str">
            <v>M2.5×12</v>
          </cell>
          <cell r="H1118" t="str">
            <v>A2-70</v>
          </cell>
          <cell r="I1118" t="str">
            <v>ECP</v>
          </cell>
          <cell r="J1118" t="str">
            <v>ML0Cr18Ni9</v>
          </cell>
          <cell r="K1118">
            <v>2000</v>
          </cell>
          <cell r="L1118">
            <v>46091</v>
          </cell>
          <cell r="M1118" t="str">
            <v>4-检验完成</v>
          </cell>
        </row>
        <row r="1118">
          <cell r="O1118">
            <v>0</v>
          </cell>
          <cell r="P1118" t="str">
            <v>中国运载火箭技术研究院</v>
          </cell>
          <cell r="Q1118" t="str">
            <v>120</v>
          </cell>
          <cell r="R1118">
            <v>46106</v>
          </cell>
        </row>
        <row r="1118">
          <cell r="U1118" t="str">
            <v>010000900470</v>
          </cell>
          <cell r="V1118" t="str">
            <v>BIAOQIAN4</v>
          </cell>
          <cell r="W1118" t="str">
            <v/>
          </cell>
          <cell r="X1118" t="str">
            <v>CP-108-A</v>
          </cell>
          <cell r="Y1118" t="str">
            <v/>
          </cell>
          <cell r="Z1118" t="str">
            <v>1901</v>
          </cell>
          <cell r="AA1118" t="str">
            <v>1100157995</v>
          </cell>
          <cell r="AB1118">
            <v>2000</v>
          </cell>
          <cell r="AC1118" t="str">
            <v/>
          </cell>
          <cell r="AD1118">
            <v>1</v>
          </cell>
          <cell r="AE1118" t="str">
            <v>G-100001932-260103-0001</v>
          </cell>
        </row>
        <row r="1119">
          <cell r="B1119" t="str">
            <v>7101085351</v>
          </cell>
          <cell r="C1119" t="str">
            <v>G2601-9019</v>
          </cell>
          <cell r="D1119" t="str">
            <v>000042944044087042</v>
          </cell>
          <cell r="E1119" t="str">
            <v>十字槽沉头螺钉</v>
          </cell>
          <cell r="F1119" t="str">
            <v>GB/T819.2-2016</v>
          </cell>
          <cell r="G1119" t="str">
            <v>M2×18</v>
          </cell>
          <cell r="H1119" t="str">
            <v>A2-70</v>
          </cell>
          <cell r="I1119" t="str">
            <v>ECP</v>
          </cell>
          <cell r="J1119" t="str">
            <v>ML0Cr18Ni9</v>
          </cell>
          <cell r="K1119">
            <v>6000</v>
          </cell>
          <cell r="L1119">
            <v>46091</v>
          </cell>
          <cell r="M1119" t="str">
            <v>4-检验完成</v>
          </cell>
        </row>
        <row r="1119">
          <cell r="O1119">
            <v>0</v>
          </cell>
          <cell r="P1119" t="str">
            <v>中国运载火箭技术研究院</v>
          </cell>
          <cell r="Q1119" t="str">
            <v>180</v>
          </cell>
          <cell r="R1119">
            <v>46106</v>
          </cell>
        </row>
        <row r="1119">
          <cell r="U1119" t="str">
            <v>010000900462</v>
          </cell>
          <cell r="V1119" t="str">
            <v>BIAOQIAN4</v>
          </cell>
          <cell r="W1119" t="str">
            <v/>
          </cell>
          <cell r="X1119" t="str">
            <v>CP-108-A</v>
          </cell>
          <cell r="Y1119" t="str">
            <v/>
          </cell>
          <cell r="Z1119" t="str">
            <v>1901</v>
          </cell>
          <cell r="AA1119" t="str">
            <v>1100157995</v>
          </cell>
          <cell r="AB1119">
            <v>6000</v>
          </cell>
          <cell r="AC1119" t="str">
            <v/>
          </cell>
          <cell r="AD1119">
            <v>1.3</v>
          </cell>
          <cell r="AE1119" t="str">
            <v>G-100001932-260103-0001</v>
          </cell>
        </row>
        <row r="1120">
          <cell r="B1120" t="str">
            <v>7101085350</v>
          </cell>
          <cell r="C1120" t="str">
            <v>G2601-9017</v>
          </cell>
          <cell r="D1120" t="str">
            <v>000042944044087039</v>
          </cell>
          <cell r="E1120" t="str">
            <v>十字槽沉头螺钉</v>
          </cell>
          <cell r="F1120" t="str">
            <v>GB/T819.2-2016</v>
          </cell>
          <cell r="G1120" t="str">
            <v>M2×12</v>
          </cell>
          <cell r="H1120" t="str">
            <v>A2-70</v>
          </cell>
          <cell r="I1120" t="str">
            <v>ECP</v>
          </cell>
          <cell r="J1120" t="str">
            <v>ML1Cr18Ni9Ti</v>
          </cell>
          <cell r="K1120">
            <v>10000</v>
          </cell>
          <cell r="L1120">
            <v>46091</v>
          </cell>
          <cell r="M1120" t="str">
            <v>4-检验完成</v>
          </cell>
        </row>
        <row r="1120">
          <cell r="O1120">
            <v>0</v>
          </cell>
          <cell r="P1120" t="str">
            <v>中国运载火箭技术研究院</v>
          </cell>
          <cell r="Q1120" t="str">
            <v>160</v>
          </cell>
          <cell r="R1120">
            <v>46106</v>
          </cell>
        </row>
        <row r="1120">
          <cell r="U1120" t="str">
            <v>010000900459</v>
          </cell>
          <cell r="V1120" t="str">
            <v>BIAOQIAN4</v>
          </cell>
          <cell r="W1120" t="str">
            <v/>
          </cell>
          <cell r="X1120" t="str">
            <v>CP-108-A</v>
          </cell>
          <cell r="Y1120" t="str">
            <v/>
          </cell>
          <cell r="Z1120" t="str">
            <v>1901</v>
          </cell>
          <cell r="AA1120" t="str">
            <v>1100157995</v>
          </cell>
          <cell r="AB1120">
            <v>10000</v>
          </cell>
          <cell r="AC1120" t="str">
            <v/>
          </cell>
          <cell r="AD1120">
            <v>1</v>
          </cell>
          <cell r="AE1120" t="str">
            <v>G-100001932-260103-0001</v>
          </cell>
        </row>
        <row r="1121">
          <cell r="B1121" t="str">
            <v>7101085338</v>
          </cell>
          <cell r="C1121" t="str">
            <v>G2601-0512</v>
          </cell>
          <cell r="D1121" t="str">
            <v>000042944439000396</v>
          </cell>
          <cell r="E1121" t="str">
            <v>小垫圈</v>
          </cell>
          <cell r="F1121" t="str">
            <v>GB/T848-2002</v>
          </cell>
          <cell r="G1121" t="str">
            <v>3</v>
          </cell>
          <cell r="H1121" t="str">
            <v>200HV</v>
          </cell>
          <cell r="I1121" t="str">
            <v>ECP</v>
          </cell>
          <cell r="J1121" t="str">
            <v>1Cr18Ni9Ti</v>
          </cell>
          <cell r="K1121">
            <v>40277</v>
          </cell>
          <cell r="L1121">
            <v>46091</v>
          </cell>
          <cell r="M1121" t="str">
            <v>4-检验完成</v>
          </cell>
        </row>
        <row r="1121">
          <cell r="O1121">
            <v>0</v>
          </cell>
          <cell r="P1121" t="str">
            <v>中国运载火箭技术研究院</v>
          </cell>
          <cell r="Q1121" t="str">
            <v>20</v>
          </cell>
          <cell r="R1121">
            <v>46104</v>
          </cell>
        </row>
        <row r="1121">
          <cell r="U1121" t="str">
            <v>010000900942</v>
          </cell>
          <cell r="V1121" t="str">
            <v>BIAOQIAN2</v>
          </cell>
          <cell r="W1121" t="str">
            <v/>
          </cell>
          <cell r="X1121" t="str">
            <v>CP-108-A</v>
          </cell>
          <cell r="Y1121" t="str">
            <v/>
          </cell>
          <cell r="Z1121" t="str">
            <v>1901</v>
          </cell>
          <cell r="AA1121" t="str">
            <v>1100158122</v>
          </cell>
          <cell r="AB1121">
            <v>209000</v>
          </cell>
          <cell r="AC1121" t="str">
            <v/>
          </cell>
          <cell r="AD1121">
            <v>0.66</v>
          </cell>
          <cell r="AE1121" t="str">
            <v>G-100001932-260105-0019</v>
          </cell>
        </row>
        <row r="1122">
          <cell r="B1122" t="str">
            <v>7101085335</v>
          </cell>
          <cell r="C1122" t="str">
            <v>G2601-0511</v>
          </cell>
          <cell r="D1122" t="str">
            <v>000042944439000396</v>
          </cell>
          <cell r="E1122" t="str">
            <v>小垫圈</v>
          </cell>
          <cell r="F1122" t="str">
            <v>GB/T848-2002</v>
          </cell>
          <cell r="G1122" t="str">
            <v>3</v>
          </cell>
          <cell r="H1122" t="str">
            <v>200HV</v>
          </cell>
          <cell r="I1122" t="str">
            <v>ECP</v>
          </cell>
          <cell r="J1122" t="str">
            <v>1Cr18Ni9Ti</v>
          </cell>
          <cell r="K1122">
            <v>41535</v>
          </cell>
          <cell r="L1122">
            <v>46091</v>
          </cell>
          <cell r="M1122" t="str">
            <v>4-检验完成</v>
          </cell>
        </row>
        <row r="1122">
          <cell r="O1122">
            <v>0</v>
          </cell>
          <cell r="P1122" t="str">
            <v>中国运载火箭技术研究院</v>
          </cell>
          <cell r="Q1122" t="str">
            <v>20</v>
          </cell>
          <cell r="R1122">
            <v>46106</v>
          </cell>
        </row>
        <row r="1122">
          <cell r="U1122" t="str">
            <v>010000900941</v>
          </cell>
          <cell r="V1122" t="str">
            <v>BIAOQIAN3</v>
          </cell>
          <cell r="W1122" t="str">
            <v/>
          </cell>
          <cell r="X1122" t="str">
            <v>CP-108-A</v>
          </cell>
          <cell r="Y1122" t="str">
            <v/>
          </cell>
          <cell r="Z1122" t="str">
            <v>1901</v>
          </cell>
          <cell r="AA1122" t="str">
            <v>1100158122</v>
          </cell>
          <cell r="AB1122">
            <v>209000</v>
          </cell>
          <cell r="AC1122" t="str">
            <v/>
          </cell>
          <cell r="AD1122">
            <v>0.66</v>
          </cell>
          <cell r="AE1122" t="str">
            <v>G-100001932-260105-0019</v>
          </cell>
        </row>
        <row r="1123">
          <cell r="B1123" t="str">
            <v>7101085330</v>
          </cell>
          <cell r="C1123" t="str">
            <v>G2601-9029</v>
          </cell>
          <cell r="D1123" t="str">
            <v>000042944044087071</v>
          </cell>
          <cell r="E1123" t="str">
            <v>十字槽沉头螺钉</v>
          </cell>
          <cell r="F1123" t="str">
            <v>GB/T819.2-2016</v>
          </cell>
          <cell r="G1123" t="str">
            <v>M4×30</v>
          </cell>
          <cell r="H1123" t="str">
            <v>A2-70</v>
          </cell>
          <cell r="I1123" t="str">
            <v>ECP</v>
          </cell>
          <cell r="J1123" t="str">
            <v>ML1Cr18Ni9Ti</v>
          </cell>
          <cell r="K1123">
            <v>2000</v>
          </cell>
          <cell r="L1123">
            <v>46091</v>
          </cell>
          <cell r="M1123" t="str">
            <v>4-检验完成</v>
          </cell>
        </row>
        <row r="1123">
          <cell r="O1123">
            <v>0</v>
          </cell>
          <cell r="P1123" t="str">
            <v>中国运载火箭技术研究院</v>
          </cell>
          <cell r="Q1123" t="str">
            <v>300</v>
          </cell>
          <cell r="R1123">
            <v>46100</v>
          </cell>
        </row>
        <row r="1123">
          <cell r="U1123" t="str">
            <v>010000900485</v>
          </cell>
          <cell r="V1123" t="str">
            <v>BIAOQIAN4</v>
          </cell>
          <cell r="W1123" t="str">
            <v/>
          </cell>
          <cell r="X1123" t="str">
            <v>CP-108-A</v>
          </cell>
          <cell r="Y1123" t="str">
            <v/>
          </cell>
          <cell r="Z1123" t="str">
            <v>1901</v>
          </cell>
          <cell r="AA1123" t="str">
            <v>1100157995</v>
          </cell>
          <cell r="AB1123">
            <v>2000</v>
          </cell>
          <cell r="AC1123" t="str">
            <v/>
          </cell>
          <cell r="AD1123">
            <v>2</v>
          </cell>
          <cell r="AE1123" t="str">
            <v>G-100001932-260103-0001</v>
          </cell>
        </row>
        <row r="1124">
          <cell r="B1124" t="str">
            <v>7101085329</v>
          </cell>
          <cell r="C1124" t="str">
            <v>G2601-9005</v>
          </cell>
          <cell r="D1124" t="str">
            <v>000042944043086956</v>
          </cell>
          <cell r="E1124" t="str">
            <v>开槽沉头螺钉</v>
          </cell>
          <cell r="F1124" t="str">
            <v>GB/T68-2016</v>
          </cell>
          <cell r="G1124" t="str">
            <v>M2×12</v>
          </cell>
          <cell r="H1124" t="str">
            <v>A2-70</v>
          </cell>
          <cell r="I1124" t="str">
            <v>ECP</v>
          </cell>
          <cell r="J1124" t="str">
            <v>ML1Cr18Ni9Ti</v>
          </cell>
          <cell r="K1124">
            <v>9832</v>
          </cell>
          <cell r="L1124">
            <v>46091</v>
          </cell>
          <cell r="M1124" t="str">
            <v>4-检验完成</v>
          </cell>
        </row>
        <row r="1124">
          <cell r="O1124">
            <v>0</v>
          </cell>
          <cell r="P1124" t="str">
            <v>中国运载火箭技术研究院</v>
          </cell>
          <cell r="Q1124" t="str">
            <v>60</v>
          </cell>
          <cell r="R1124">
            <v>46107</v>
          </cell>
        </row>
        <row r="1124">
          <cell r="U1124" t="str">
            <v>010000900429</v>
          </cell>
          <cell r="V1124" t="str">
            <v>BIAOQIAN4</v>
          </cell>
          <cell r="W1124" t="str">
            <v/>
          </cell>
          <cell r="X1124" t="str">
            <v>CP-108-A</v>
          </cell>
          <cell r="Y1124" t="str">
            <v/>
          </cell>
          <cell r="Z1124" t="str">
            <v>1901</v>
          </cell>
          <cell r="AA1124" t="str">
            <v>1100157995</v>
          </cell>
          <cell r="AB1124">
            <v>10000</v>
          </cell>
          <cell r="AC1124" t="str">
            <v/>
          </cell>
          <cell r="AD1124">
            <v>1.5</v>
          </cell>
          <cell r="AE1124" t="str">
            <v>G-100001932-260103-0001</v>
          </cell>
        </row>
        <row r="1125">
          <cell r="B1125" t="str">
            <v>7101085328</v>
          </cell>
          <cell r="C1125" t="str">
            <v>G2601-9023</v>
          </cell>
          <cell r="D1125" t="str">
            <v>000042944044087059</v>
          </cell>
          <cell r="E1125" t="str">
            <v>十字槽沉头螺钉</v>
          </cell>
          <cell r="F1125" t="str">
            <v>GB/T819.2-2016</v>
          </cell>
          <cell r="G1125" t="str">
            <v>M3×16</v>
          </cell>
          <cell r="H1125" t="str">
            <v>A2-70</v>
          </cell>
          <cell r="I1125" t="str">
            <v>ECP</v>
          </cell>
          <cell r="J1125" t="str">
            <v>ML1Cr18Ni9Ti</v>
          </cell>
          <cell r="K1125">
            <v>944</v>
          </cell>
          <cell r="L1125">
            <v>46091</v>
          </cell>
          <cell r="M1125" t="str">
            <v>3-配货完成</v>
          </cell>
        </row>
        <row r="1125">
          <cell r="O1125">
            <v>0</v>
          </cell>
          <cell r="P1125" t="str">
            <v>中国运载火箭技术研究院</v>
          </cell>
          <cell r="Q1125" t="str">
            <v>220</v>
          </cell>
        </row>
        <row r="1125">
          <cell r="U1125" t="str">
            <v>010000900475</v>
          </cell>
          <cell r="V1125" t="str">
            <v>BIAOQIAN4</v>
          </cell>
          <cell r="W1125" t="str">
            <v/>
          </cell>
          <cell r="X1125" t="str">
            <v>CP-108-A</v>
          </cell>
          <cell r="Y1125" t="str">
            <v/>
          </cell>
          <cell r="Z1125" t="str">
            <v>1901</v>
          </cell>
          <cell r="AA1125" t="str">
            <v>1100157995</v>
          </cell>
          <cell r="AB1125">
            <v>1000</v>
          </cell>
          <cell r="AC1125" t="str">
            <v/>
          </cell>
          <cell r="AD1125">
            <v>1</v>
          </cell>
          <cell r="AE1125" t="str">
            <v>G-100001932-260103-0001</v>
          </cell>
        </row>
        <row r="1126">
          <cell r="B1126" t="str">
            <v>7101085320</v>
          </cell>
          <cell r="C1126" t="str">
            <v>G2601-9006</v>
          </cell>
          <cell r="D1126" t="str">
            <v>000042944043086994</v>
          </cell>
          <cell r="E1126" t="str">
            <v>开槽沉头螺钉</v>
          </cell>
          <cell r="F1126" t="str">
            <v>GB/T68-2016</v>
          </cell>
          <cell r="G1126" t="str">
            <v>M5×25</v>
          </cell>
          <cell r="H1126" t="str">
            <v>A2-70</v>
          </cell>
          <cell r="I1126" t="str">
            <v>ECP</v>
          </cell>
          <cell r="J1126" t="str">
            <v>ML1Cr18Ni9Ti</v>
          </cell>
          <cell r="K1126">
            <v>1000</v>
          </cell>
          <cell r="L1126">
            <v>46091</v>
          </cell>
          <cell r="M1126" t="str">
            <v>4-检验完成</v>
          </cell>
        </row>
        <row r="1126">
          <cell r="O1126">
            <v>0</v>
          </cell>
          <cell r="P1126" t="str">
            <v>中国运载火箭技术研究院</v>
          </cell>
          <cell r="Q1126" t="str">
            <v>100</v>
          </cell>
          <cell r="R1126">
            <v>46104</v>
          </cell>
        </row>
        <row r="1126">
          <cell r="U1126" t="str">
            <v>010000900445</v>
          </cell>
          <cell r="V1126" t="str">
            <v>BIAOQIAN1</v>
          </cell>
          <cell r="W1126" t="str">
            <v/>
          </cell>
          <cell r="X1126" t="str">
            <v>CP-108-A</v>
          </cell>
          <cell r="Y1126" t="str">
            <v/>
          </cell>
          <cell r="Z1126" t="str">
            <v>1901</v>
          </cell>
          <cell r="AA1126" t="str">
            <v>1100157995</v>
          </cell>
          <cell r="AB1126">
            <v>1000</v>
          </cell>
          <cell r="AC1126" t="str">
            <v/>
          </cell>
          <cell r="AD1126">
            <v>2</v>
          </cell>
          <cell r="AE1126" t="str">
            <v>G-100001932-260103-0001</v>
          </cell>
        </row>
        <row r="1127">
          <cell r="B1127" t="str">
            <v>7101085210</v>
          </cell>
          <cell r="C1127" t="str">
            <v>G2602-0886</v>
          </cell>
          <cell r="D1127" t="str">
            <v>000042944401071350</v>
          </cell>
          <cell r="E1127" t="str">
            <v>小垫圈</v>
          </cell>
          <cell r="F1127" t="str">
            <v>GB/T848-2002</v>
          </cell>
          <cell r="G1127" t="str">
            <v>2</v>
          </cell>
          <cell r="H1127" t="str">
            <v>σb≥800MPa</v>
          </cell>
          <cell r="I1127" t="str">
            <v>Ti/Et·A(P)·Cl(BU)</v>
          </cell>
          <cell r="J1127" t="str">
            <v>TC4</v>
          </cell>
          <cell r="K1127">
            <v>104</v>
          </cell>
          <cell r="L1127">
            <v>46090</v>
          </cell>
          <cell r="M1127" t="str">
            <v>4-检验完成</v>
          </cell>
        </row>
        <row r="1127">
          <cell r="O1127">
            <v>0</v>
          </cell>
          <cell r="P1127" t="str">
            <v>中国运载火箭技术研究院</v>
          </cell>
          <cell r="Q1127" t="str">
            <v>400</v>
          </cell>
          <cell r="R1127">
            <v>46106</v>
          </cell>
        </row>
        <row r="1127">
          <cell r="U1127" t="str">
            <v>010000913879</v>
          </cell>
          <cell r="V1127" t="str">
            <v>BIAOQIAN1</v>
          </cell>
          <cell r="W1127" t="str">
            <v/>
          </cell>
          <cell r="X1127" t="str">
            <v>CP-108-A</v>
          </cell>
          <cell r="Y1127" t="str">
            <v/>
          </cell>
          <cell r="Z1127" t="str">
            <v>1901</v>
          </cell>
          <cell r="AA1127" t="str">
            <v>1100157995</v>
          </cell>
          <cell r="AB1127">
            <v>2000</v>
          </cell>
          <cell r="AC1127" t="str">
            <v/>
          </cell>
          <cell r="AD1127">
            <v>4.5</v>
          </cell>
          <cell r="AE1127" t="str">
            <v>G-100001932-260103-0001</v>
          </cell>
        </row>
        <row r="1128">
          <cell r="B1128" t="str">
            <v>7101085189</v>
          </cell>
          <cell r="C1128" t="str">
            <v>G2601-0348</v>
          </cell>
          <cell r="D1128" t="str">
            <v>000042944401000166</v>
          </cell>
          <cell r="E1128" t="str">
            <v>平垫圈</v>
          </cell>
          <cell r="F1128" t="str">
            <v>GB/T97.1-2002</v>
          </cell>
          <cell r="G1128" t="str">
            <v>10</v>
          </cell>
          <cell r="H1128" t="str">
            <v>200HV</v>
          </cell>
          <cell r="I1128" t="str">
            <v>ECP</v>
          </cell>
          <cell r="J1128" t="str">
            <v>1Cr18Ni9Ti</v>
          </cell>
          <cell r="K1128">
            <v>500</v>
          </cell>
          <cell r="L1128">
            <v>46090</v>
          </cell>
          <cell r="M1128" t="str">
            <v>4-检验完成</v>
          </cell>
        </row>
        <row r="1128">
          <cell r="O1128">
            <v>0</v>
          </cell>
          <cell r="P1128" t="str">
            <v>中国运载火箭技术研究院</v>
          </cell>
          <cell r="Q1128" t="str">
            <v>10</v>
          </cell>
          <cell r="R1128">
            <v>46106</v>
          </cell>
        </row>
        <row r="1128">
          <cell r="U1128" t="str">
            <v>010000900645</v>
          </cell>
          <cell r="V1128" t="str">
            <v>BIAOQIAN1</v>
          </cell>
          <cell r="W1128" t="str">
            <v/>
          </cell>
          <cell r="X1128" t="str">
            <v>CP-108-A</v>
          </cell>
          <cell r="Y1128" t="str">
            <v/>
          </cell>
          <cell r="Z1128" t="str">
            <v>1901</v>
          </cell>
          <cell r="AA1128" t="str">
            <v>1100157995</v>
          </cell>
          <cell r="AB1128">
            <v>500</v>
          </cell>
          <cell r="AC1128" t="str">
            <v/>
          </cell>
          <cell r="AD1128">
            <v>2</v>
          </cell>
          <cell r="AE1128" t="str">
            <v>G-100001932-260103-0001</v>
          </cell>
        </row>
        <row r="1129">
          <cell r="B1129" t="str">
            <v>7101085125</v>
          </cell>
          <cell r="C1129" t="str">
            <v>G2601-9018</v>
          </cell>
          <cell r="D1129" t="str">
            <v>000042944044087041</v>
          </cell>
          <cell r="E1129" t="str">
            <v>十字槽沉头螺钉</v>
          </cell>
          <cell r="F1129" t="str">
            <v>GB/T819.2-2016</v>
          </cell>
          <cell r="G1129" t="str">
            <v>M2×16</v>
          </cell>
          <cell r="H1129" t="str">
            <v>A2-70</v>
          </cell>
          <cell r="I1129" t="str">
            <v>ECP</v>
          </cell>
          <cell r="J1129" t="str">
            <v>ML0Cr18Ni9</v>
          </cell>
          <cell r="K1129">
            <v>1984</v>
          </cell>
          <cell r="L1129">
            <v>46090</v>
          </cell>
          <cell r="M1129" t="str">
            <v>3-配货完成</v>
          </cell>
        </row>
        <row r="1129">
          <cell r="O1129">
            <v>0</v>
          </cell>
          <cell r="P1129" t="str">
            <v>中国运载火箭技术研究院</v>
          </cell>
          <cell r="Q1129" t="str">
            <v>170</v>
          </cell>
        </row>
        <row r="1129">
          <cell r="U1129" t="str">
            <v>010000900460</v>
          </cell>
          <cell r="V1129" t="str">
            <v>BIAOQIAN1</v>
          </cell>
          <cell r="W1129" t="str">
            <v/>
          </cell>
          <cell r="X1129" t="str">
            <v>CP-108-A</v>
          </cell>
          <cell r="Y1129" t="str">
            <v/>
          </cell>
          <cell r="Z1129" t="str">
            <v>1901</v>
          </cell>
          <cell r="AA1129" t="str">
            <v>1100157995</v>
          </cell>
          <cell r="AB1129">
            <v>2000</v>
          </cell>
          <cell r="AC1129" t="str">
            <v/>
          </cell>
          <cell r="AD1129">
            <v>1</v>
          </cell>
          <cell r="AE1129" t="str">
            <v>G-100001932-260103-0001</v>
          </cell>
        </row>
        <row r="1130">
          <cell r="B1130" t="str">
            <v>7101085125</v>
          </cell>
          <cell r="C1130" t="str">
            <v>G2501-9091</v>
          </cell>
          <cell r="D1130" t="str">
            <v>000042944044087041</v>
          </cell>
          <cell r="E1130" t="str">
            <v>十字槽沉头螺钉</v>
          </cell>
          <cell r="F1130" t="str">
            <v>GB/T819.2-2016</v>
          </cell>
          <cell r="G1130" t="str">
            <v>M2×16</v>
          </cell>
          <cell r="H1130" t="str">
            <v>A2-70</v>
          </cell>
          <cell r="I1130" t="str">
            <v>ECP</v>
          </cell>
          <cell r="J1130" t="str">
            <v>ML0Cr18Ni9</v>
          </cell>
          <cell r="K1130">
            <v>16</v>
          </cell>
          <cell r="L1130">
            <v>46090</v>
          </cell>
          <cell r="M1130" t="str">
            <v>3-配货完成</v>
          </cell>
        </row>
        <row r="1130">
          <cell r="O1130">
            <v>0</v>
          </cell>
          <cell r="P1130" t="str">
            <v>中国运载火箭技术研究院</v>
          </cell>
          <cell r="Q1130" t="str">
            <v>170</v>
          </cell>
        </row>
        <row r="1130">
          <cell r="U1130" t="str">
            <v>010000778241</v>
          </cell>
          <cell r="V1130" t="str">
            <v>BIAOQIAN1</v>
          </cell>
          <cell r="W1130" t="str">
            <v/>
          </cell>
          <cell r="X1130" t="str">
            <v>CP-35-2-4-3</v>
          </cell>
          <cell r="Y1130" t="str">
            <v/>
          </cell>
          <cell r="Z1130" t="str">
            <v>1901</v>
          </cell>
          <cell r="AA1130" t="str">
            <v>1100157995</v>
          </cell>
          <cell r="AB1130">
            <v>2000</v>
          </cell>
          <cell r="AC1130" t="str">
            <v/>
          </cell>
          <cell r="AD1130">
            <v>1</v>
          </cell>
          <cell r="AE1130" t="str">
            <v>G-100001932-260103-0001</v>
          </cell>
        </row>
        <row r="1131">
          <cell r="B1131" t="str">
            <v>7101085027</v>
          </cell>
          <cell r="C1131" t="str">
            <v>G2106-0232</v>
          </cell>
          <cell r="D1131" t="str">
            <v>000042944320011834</v>
          </cell>
          <cell r="E1131" t="str">
            <v>100°沉头钛铌铆钉</v>
          </cell>
          <cell r="F1131" t="str">
            <v>Q/DY974.2-2010</v>
          </cell>
          <cell r="G1131" t="str">
            <v>3×14</v>
          </cell>
          <cell r="H1131" t="str">
            <v/>
          </cell>
          <cell r="I1131" t="str">
            <v>蓝色阳极氧化</v>
          </cell>
          <cell r="J1131" t="str">
            <v>Ti45Nb(退火)</v>
          </cell>
          <cell r="K1131">
            <v>41</v>
          </cell>
          <cell r="L1131">
            <v>46090</v>
          </cell>
          <cell r="M1131" t="str">
            <v>4-检验完成</v>
          </cell>
        </row>
        <row r="1131">
          <cell r="O1131">
            <v>0</v>
          </cell>
          <cell r="P1131" t="str">
            <v>中国运载火箭技术研究院</v>
          </cell>
          <cell r="Q1131" t="str">
            <v>10</v>
          </cell>
          <cell r="R1131">
            <v>46104</v>
          </cell>
        </row>
        <row r="1131">
          <cell r="U1131" t="str">
            <v>010000375454</v>
          </cell>
          <cell r="V1131" t="str">
            <v>BIAOQIAN4</v>
          </cell>
          <cell r="W1131" t="str">
            <v/>
          </cell>
          <cell r="X1131" t="str">
            <v>CP-7-2-3-4</v>
          </cell>
          <cell r="Y1131" t="str">
            <v/>
          </cell>
          <cell r="Z1131" t="str">
            <v>1901</v>
          </cell>
          <cell r="AA1131" t="str">
            <v>1100161216</v>
          </cell>
          <cell r="AB1131">
            <v>180</v>
          </cell>
          <cell r="AC1131" t="str">
            <v/>
          </cell>
          <cell r="AD1131">
            <v>28.2</v>
          </cell>
          <cell r="AE1131" t="str">
            <v>G-100001932-260305-0285XH</v>
          </cell>
        </row>
        <row r="1132">
          <cell r="B1132" t="str">
            <v>7101085027</v>
          </cell>
          <cell r="C1132" t="str">
            <v>G2107-2254</v>
          </cell>
          <cell r="D1132" t="str">
            <v>000042944320011834</v>
          </cell>
          <cell r="E1132" t="str">
            <v>100°沉头钛铌铆钉</v>
          </cell>
          <cell r="F1132" t="str">
            <v>Q/DY974.2-2010</v>
          </cell>
          <cell r="G1132" t="str">
            <v>3×14</v>
          </cell>
          <cell r="H1132" t="str">
            <v/>
          </cell>
          <cell r="I1132" t="str">
            <v>蓝色阳极氧化</v>
          </cell>
          <cell r="J1132" t="str">
            <v>Ti45Nb(退火)</v>
          </cell>
          <cell r="K1132">
            <v>32</v>
          </cell>
          <cell r="L1132">
            <v>46090</v>
          </cell>
          <cell r="M1132" t="str">
            <v>4-检验完成</v>
          </cell>
        </row>
        <row r="1132">
          <cell r="O1132">
            <v>0</v>
          </cell>
          <cell r="P1132" t="str">
            <v>中国运载火箭技术研究院</v>
          </cell>
          <cell r="Q1132" t="str">
            <v>10</v>
          </cell>
          <cell r="R1132">
            <v>46104</v>
          </cell>
        </row>
        <row r="1132">
          <cell r="U1132" t="str">
            <v>010000397852</v>
          </cell>
          <cell r="V1132" t="str">
            <v>BIAOQIAN4</v>
          </cell>
          <cell r="W1132" t="str">
            <v/>
          </cell>
          <cell r="X1132" t="str">
            <v>CP-7-2-3-4</v>
          </cell>
          <cell r="Y1132" t="str">
            <v/>
          </cell>
          <cell r="Z1132" t="str">
            <v>1901</v>
          </cell>
          <cell r="AA1132" t="str">
            <v>1100161216</v>
          </cell>
          <cell r="AB1132">
            <v>180</v>
          </cell>
          <cell r="AC1132" t="str">
            <v/>
          </cell>
          <cell r="AD1132">
            <v>28.2</v>
          </cell>
          <cell r="AE1132" t="str">
            <v>G-100001932-260305-0285XH</v>
          </cell>
        </row>
        <row r="1133">
          <cell r="B1133" t="str">
            <v>7101085027</v>
          </cell>
          <cell r="C1133" t="str">
            <v>G2112-0550</v>
          </cell>
          <cell r="D1133" t="str">
            <v>000042944320011834</v>
          </cell>
          <cell r="E1133" t="str">
            <v>100°沉头钛铌铆钉</v>
          </cell>
          <cell r="F1133" t="str">
            <v>Q/DY974.2-2010</v>
          </cell>
          <cell r="G1133" t="str">
            <v>3×14</v>
          </cell>
          <cell r="H1133" t="str">
            <v/>
          </cell>
          <cell r="I1133" t="str">
            <v>蓝色阳极氧化</v>
          </cell>
          <cell r="J1133" t="str">
            <v>Ti45Nb(退火)</v>
          </cell>
          <cell r="K1133">
            <v>89</v>
          </cell>
          <cell r="L1133">
            <v>46090</v>
          </cell>
          <cell r="M1133" t="str">
            <v>4-检验完成</v>
          </cell>
        </row>
        <row r="1133">
          <cell r="O1133">
            <v>0</v>
          </cell>
          <cell r="P1133" t="str">
            <v>中国运载火箭技术研究院</v>
          </cell>
          <cell r="Q1133" t="str">
            <v>10</v>
          </cell>
          <cell r="R1133">
            <v>46104</v>
          </cell>
        </row>
        <row r="1133">
          <cell r="U1133" t="str">
            <v>010000442882</v>
          </cell>
          <cell r="V1133" t="str">
            <v>BIAOQIAN4</v>
          </cell>
          <cell r="W1133" t="str">
            <v/>
          </cell>
          <cell r="X1133" t="str">
            <v>CP-7-1-3-2</v>
          </cell>
          <cell r="Y1133" t="str">
            <v/>
          </cell>
          <cell r="Z1133" t="str">
            <v>1901</v>
          </cell>
          <cell r="AA1133" t="str">
            <v>1100161216</v>
          </cell>
          <cell r="AB1133">
            <v>180</v>
          </cell>
          <cell r="AC1133" t="str">
            <v/>
          </cell>
          <cell r="AD1133">
            <v>28.2</v>
          </cell>
          <cell r="AE1133" t="str">
            <v>G-100001932-260305-0285XH</v>
          </cell>
        </row>
        <row r="1134">
          <cell r="B1134" t="str">
            <v>7101085027</v>
          </cell>
          <cell r="C1134" t="str">
            <v>G2302-1312</v>
          </cell>
          <cell r="D1134" t="str">
            <v>000042944320011834</v>
          </cell>
          <cell r="E1134" t="str">
            <v>100°沉头钛铌铆钉</v>
          </cell>
          <cell r="F1134" t="str">
            <v>Q/DY974.2-2010</v>
          </cell>
          <cell r="G1134" t="str">
            <v>3×14</v>
          </cell>
          <cell r="H1134" t="str">
            <v/>
          </cell>
          <cell r="I1134" t="str">
            <v>蓝色阳极氧化</v>
          </cell>
          <cell r="J1134" t="str">
            <v>Ti45Nb(退火)</v>
          </cell>
          <cell r="K1134">
            <v>18</v>
          </cell>
          <cell r="L1134">
            <v>46090</v>
          </cell>
          <cell r="M1134" t="str">
            <v>4-检验完成</v>
          </cell>
        </row>
        <row r="1134">
          <cell r="O1134">
            <v>0</v>
          </cell>
          <cell r="P1134" t="str">
            <v>中国运载火箭技术研究院</v>
          </cell>
          <cell r="Q1134" t="str">
            <v>10</v>
          </cell>
          <cell r="R1134">
            <v>46104</v>
          </cell>
        </row>
        <row r="1134">
          <cell r="U1134" t="str">
            <v>010000574293</v>
          </cell>
          <cell r="V1134" t="str">
            <v>BIAOQIAN4</v>
          </cell>
          <cell r="W1134" t="str">
            <v/>
          </cell>
          <cell r="X1134" t="str">
            <v>CP-7-2-3-1</v>
          </cell>
          <cell r="Y1134" t="str">
            <v/>
          </cell>
          <cell r="Z1134" t="str">
            <v>1901</v>
          </cell>
          <cell r="AA1134" t="str">
            <v>1100161216</v>
          </cell>
          <cell r="AB1134">
            <v>180</v>
          </cell>
          <cell r="AC1134" t="str">
            <v/>
          </cell>
          <cell r="AD1134">
            <v>28.2</v>
          </cell>
          <cell r="AE1134" t="str">
            <v>G-100001932-260305-0285XH</v>
          </cell>
        </row>
        <row r="1135">
          <cell r="B1135" t="str">
            <v>7101083013</v>
          </cell>
          <cell r="C1135" t="str">
            <v>G2601-9071</v>
          </cell>
          <cell r="D1135" t="str">
            <v>000042944043086966</v>
          </cell>
          <cell r="E1135" t="str">
            <v>开槽沉头螺钉</v>
          </cell>
          <cell r="F1135" t="str">
            <v>GB/T68-2016</v>
          </cell>
          <cell r="G1135" t="str">
            <v>M3×6</v>
          </cell>
          <cell r="H1135" t="str">
            <v>A2-70</v>
          </cell>
          <cell r="I1135" t="str">
            <v>ECP</v>
          </cell>
          <cell r="J1135" t="str">
            <v>ML1Cr18Ni9Ti</v>
          </cell>
          <cell r="K1135">
            <v>16630</v>
          </cell>
          <cell r="L1135">
            <v>46086</v>
          </cell>
          <cell r="M1135" t="str">
            <v>3-配货完成</v>
          </cell>
        </row>
        <row r="1135">
          <cell r="O1135">
            <v>0</v>
          </cell>
          <cell r="P1135" t="str">
            <v>中国运载火箭技术研究院</v>
          </cell>
          <cell r="Q1135" t="str">
            <v>90</v>
          </cell>
        </row>
        <row r="1135">
          <cell r="U1135" t="str">
            <v>010000902238</v>
          </cell>
          <cell r="V1135" t="str">
            <v>BIAOQIAN3</v>
          </cell>
          <cell r="W1135" t="str">
            <v/>
          </cell>
          <cell r="X1135" t="str">
            <v>CP-108-A</v>
          </cell>
          <cell r="Y1135" t="str">
            <v/>
          </cell>
          <cell r="Z1135" t="str">
            <v>1901</v>
          </cell>
          <cell r="AA1135" t="str">
            <v>1100157995</v>
          </cell>
          <cell r="AB1135">
            <v>33000</v>
          </cell>
          <cell r="AC1135" t="str">
            <v/>
          </cell>
          <cell r="AD1135">
            <v>1.5</v>
          </cell>
          <cell r="AE1135" t="str">
            <v>G-100001932-260103-0001</v>
          </cell>
        </row>
        <row r="1136">
          <cell r="B1136" t="str">
            <v>7101082086</v>
          </cell>
          <cell r="C1136" t="str">
            <v>G2503-1393</v>
          </cell>
          <cell r="D1136" t="str">
            <v>000042944999008088</v>
          </cell>
          <cell r="E1136" t="str">
            <v>钉杆</v>
          </cell>
          <cell r="F1136" t="str">
            <v>QJ2996.2A(1)-2004</v>
          </cell>
          <cell r="G1136" t="str">
            <v>4×10</v>
          </cell>
          <cell r="H1136" t="str">
            <v/>
          </cell>
          <cell r="I1136" t="str">
            <v>蓝色阳极化</v>
          </cell>
          <cell r="J1136" t="str">
            <v>TC4</v>
          </cell>
          <cell r="K1136">
            <v>5050</v>
          </cell>
          <cell r="L1136">
            <v>46084</v>
          </cell>
          <cell r="M1136" t="str">
            <v>4-检验完成</v>
          </cell>
        </row>
        <row r="1136">
          <cell r="O1136">
            <v>0</v>
          </cell>
          <cell r="P1136" t="str">
            <v>中国运载火箭技术研究院</v>
          </cell>
          <cell r="Q1136" t="str">
            <v>110</v>
          </cell>
          <cell r="R1136">
            <v>46088</v>
          </cell>
        </row>
        <row r="1136">
          <cell r="U1136" t="str">
            <v>010000796320</v>
          </cell>
          <cell r="V1136" t="str">
            <v>BIAOQIAN4</v>
          </cell>
          <cell r="W1136" t="str">
            <v/>
          </cell>
          <cell r="X1136" t="str">
            <v>CP-108-A</v>
          </cell>
          <cell r="Y1136" t="str">
            <v/>
          </cell>
          <cell r="Z1136" t="str">
            <v>1901</v>
          </cell>
          <cell r="AA1136" t="str">
            <v>1100143219</v>
          </cell>
          <cell r="AB1136">
            <v>20010</v>
          </cell>
          <cell r="AC1136" t="str">
            <v/>
          </cell>
          <cell r="AD1136">
            <v>41.5</v>
          </cell>
          <cell r="AE1136" t="str">
            <v>G-100001932-250311-0260</v>
          </cell>
        </row>
        <row r="1137">
          <cell r="B1137" t="str">
            <v>7101082027</v>
          </cell>
          <cell r="C1137" t="str">
            <v>G2503-1396</v>
          </cell>
          <cell r="D1137" t="str">
            <v>000042944999008092</v>
          </cell>
          <cell r="E1137" t="str">
            <v>钉杆</v>
          </cell>
          <cell r="F1137" t="str">
            <v>QJ2996.2A(1)-2004</v>
          </cell>
          <cell r="G1137" t="str">
            <v>4×14</v>
          </cell>
          <cell r="H1137" t="str">
            <v/>
          </cell>
          <cell r="I1137" t="str">
            <v>蓝色阳极化</v>
          </cell>
          <cell r="J1137" t="str">
            <v>TC4</v>
          </cell>
          <cell r="K1137">
            <v>4255</v>
          </cell>
          <cell r="L1137">
            <v>46084</v>
          </cell>
          <cell r="M1137" t="str">
            <v>4-检验完成</v>
          </cell>
        </row>
        <row r="1137">
          <cell r="O1137">
            <v>0</v>
          </cell>
          <cell r="P1137" t="str">
            <v>中国运载火箭技术研究院</v>
          </cell>
          <cell r="Q1137" t="str">
            <v>140</v>
          </cell>
          <cell r="R1137">
            <v>46086</v>
          </cell>
        </row>
        <row r="1137">
          <cell r="U1137" t="str">
            <v>010000796323</v>
          </cell>
          <cell r="V1137" t="str">
            <v>BIAOQIAN2</v>
          </cell>
          <cell r="W1137" t="str">
            <v/>
          </cell>
          <cell r="X1137" t="str">
            <v>CP-108-A</v>
          </cell>
          <cell r="Y1137" t="str">
            <v/>
          </cell>
          <cell r="Z1137" t="str">
            <v>1901</v>
          </cell>
          <cell r="AA1137" t="str">
            <v>1100143219</v>
          </cell>
          <cell r="AB1137">
            <v>8550</v>
          </cell>
          <cell r="AC1137" t="str">
            <v/>
          </cell>
          <cell r="AD1137">
            <v>41.5</v>
          </cell>
          <cell r="AE1137" t="str">
            <v>G-100001932-250311-0260</v>
          </cell>
        </row>
        <row r="1138">
          <cell r="B1138" t="str">
            <v>7101081971</v>
          </cell>
          <cell r="C1138" t="str">
            <v>G12602-081</v>
          </cell>
          <cell r="D1138" t="str">
            <v>000042944360002496</v>
          </cell>
          <cell r="E1138" t="str">
            <v>开口销</v>
          </cell>
          <cell r="F1138" t="str">
            <v>GB/T91-2000</v>
          </cell>
          <cell r="G1138" t="str">
            <v>2×16</v>
          </cell>
          <cell r="H1138" t="str">
            <v/>
          </cell>
          <cell r="I1138" t="str">
            <v>ECP</v>
          </cell>
          <cell r="J1138" t="str">
            <v>1Cr18Ni9Ti</v>
          </cell>
          <cell r="K1138">
            <v>100</v>
          </cell>
          <cell r="L1138">
            <v>46084</v>
          </cell>
          <cell r="M1138" t="str">
            <v>4-检验完成</v>
          </cell>
        </row>
        <row r="1138">
          <cell r="O1138">
            <v>0</v>
          </cell>
          <cell r="P1138" t="str">
            <v>中国运载火箭技术研究院</v>
          </cell>
          <cell r="Q1138" t="str">
            <v>70</v>
          </cell>
          <cell r="R1138">
            <v>46107</v>
          </cell>
        </row>
        <row r="1138">
          <cell r="U1138" t="str">
            <v/>
          </cell>
          <cell r="V1138" t="str">
            <v>BIAOQIAN4</v>
          </cell>
          <cell r="W1138" t="str">
            <v/>
          </cell>
          <cell r="X1138" t="str">
            <v>XH-000</v>
          </cell>
          <cell r="Y1138" t="str">
            <v/>
          </cell>
          <cell r="Z1138" t="str">
            <v>1901</v>
          </cell>
          <cell r="AA1138" t="str">
            <v>1100159314</v>
          </cell>
          <cell r="AB1138">
            <v>100</v>
          </cell>
          <cell r="AC1138" t="str">
            <v/>
          </cell>
          <cell r="AD1138">
            <v>1.9</v>
          </cell>
          <cell r="AE1138" t="str">
            <v>G-100001932-260121-0118-1-H</v>
          </cell>
        </row>
        <row r="1139">
          <cell r="B1139" t="str">
            <v>7101081955</v>
          </cell>
          <cell r="C1139" t="str">
            <v>G12602-077</v>
          </cell>
          <cell r="D1139" t="str">
            <v>000042944360002540</v>
          </cell>
          <cell r="E1139" t="str">
            <v>开口销</v>
          </cell>
          <cell r="F1139" t="str">
            <v>GB/T91-2000</v>
          </cell>
          <cell r="G1139" t="str">
            <v>2×32</v>
          </cell>
          <cell r="H1139" t="str">
            <v/>
          </cell>
          <cell r="I1139" t="str">
            <v>ECP</v>
          </cell>
          <cell r="J1139" t="str">
            <v>1Cr18Ni9Ti</v>
          </cell>
          <cell r="K1139">
            <v>100</v>
          </cell>
          <cell r="L1139">
            <v>46084</v>
          </cell>
          <cell r="M1139" t="str">
            <v>4-检验完成</v>
          </cell>
        </row>
        <row r="1139">
          <cell r="O1139">
            <v>0</v>
          </cell>
          <cell r="P1139" t="str">
            <v>中国运载火箭技术研究院</v>
          </cell>
          <cell r="Q1139" t="str">
            <v>20</v>
          </cell>
          <cell r="R1139">
            <v>46087</v>
          </cell>
        </row>
        <row r="1139">
          <cell r="U1139" t="str">
            <v/>
          </cell>
          <cell r="V1139" t="str">
            <v>BIAOQIAN4</v>
          </cell>
          <cell r="W1139" t="str">
            <v/>
          </cell>
          <cell r="X1139" t="str">
            <v>XH-000</v>
          </cell>
          <cell r="Y1139" t="str">
            <v/>
          </cell>
          <cell r="Z1139" t="str">
            <v>1901</v>
          </cell>
          <cell r="AA1139" t="str">
            <v>1100160237</v>
          </cell>
          <cell r="AB1139">
            <v>100</v>
          </cell>
          <cell r="AC1139" t="str">
            <v/>
          </cell>
          <cell r="AD1139">
            <v>1.9</v>
          </cell>
          <cell r="AE1139" t="str">
            <v>G-100001932-260205-0209-1-H-XH</v>
          </cell>
        </row>
        <row r="1140">
          <cell r="B1140" t="str">
            <v>7101081955</v>
          </cell>
          <cell r="C1140" t="str">
            <v>G12602-071</v>
          </cell>
          <cell r="D1140" t="str">
            <v>000042944360135757</v>
          </cell>
          <cell r="E1140" t="str">
            <v>开口销</v>
          </cell>
          <cell r="F1140" t="str">
            <v>GB/T91-2000</v>
          </cell>
          <cell r="G1140" t="str">
            <v>3.2×25</v>
          </cell>
          <cell r="H1140" t="str">
            <v/>
          </cell>
          <cell r="I1140" t="str">
            <v/>
          </cell>
          <cell r="J1140" t="str">
            <v>1Cr18Ni9Ti</v>
          </cell>
          <cell r="K1140">
            <v>100</v>
          </cell>
          <cell r="L1140">
            <v>46084</v>
          </cell>
          <cell r="M1140" t="str">
            <v>4-检验完成</v>
          </cell>
        </row>
        <row r="1140">
          <cell r="O1140">
            <v>0</v>
          </cell>
          <cell r="P1140" t="str">
            <v>中国运载火箭技术研究院</v>
          </cell>
          <cell r="Q1140" t="str">
            <v>50</v>
          </cell>
          <cell r="R1140">
            <v>46087</v>
          </cell>
        </row>
        <row r="1140">
          <cell r="U1140" t="str">
            <v/>
          </cell>
          <cell r="V1140" t="str">
            <v>BIAOQIAN4</v>
          </cell>
          <cell r="W1140" t="str">
            <v/>
          </cell>
          <cell r="X1140" t="str">
            <v>XH-000</v>
          </cell>
          <cell r="Y1140" t="str">
            <v/>
          </cell>
          <cell r="Z1140" t="str">
            <v>1901</v>
          </cell>
          <cell r="AA1140" t="str">
            <v>1100160237</v>
          </cell>
          <cell r="AB1140">
            <v>100</v>
          </cell>
          <cell r="AC1140" t="str">
            <v/>
          </cell>
          <cell r="AD1140">
            <v>1.9</v>
          </cell>
          <cell r="AE1140" t="str">
            <v>G-100001932-260205-0209-1-H-XH</v>
          </cell>
        </row>
        <row r="1141">
          <cell r="B1141" t="str">
            <v>7101081953</v>
          </cell>
          <cell r="C1141" t="str">
            <v>G12602-073</v>
          </cell>
          <cell r="D1141" t="str">
            <v>000042944360076001</v>
          </cell>
          <cell r="E1141" t="str">
            <v>开口销</v>
          </cell>
          <cell r="F1141" t="str">
            <v>GB/T91-2000</v>
          </cell>
          <cell r="G1141" t="str">
            <v>2.5×30</v>
          </cell>
          <cell r="H1141" t="str">
            <v/>
          </cell>
          <cell r="I1141" t="str">
            <v>ECP</v>
          </cell>
          <cell r="J1141" t="str">
            <v>不锈钢</v>
          </cell>
          <cell r="K1141">
            <v>100</v>
          </cell>
          <cell r="L1141">
            <v>46084</v>
          </cell>
          <cell r="M1141" t="str">
            <v>4-检验完成</v>
          </cell>
        </row>
        <row r="1141">
          <cell r="O1141">
            <v>0</v>
          </cell>
          <cell r="P1141" t="str">
            <v>中国运载火箭技术研究院</v>
          </cell>
          <cell r="Q1141" t="str">
            <v>30</v>
          </cell>
          <cell r="R1141">
            <v>46085</v>
          </cell>
        </row>
        <row r="1141">
          <cell r="U1141" t="str">
            <v/>
          </cell>
          <cell r="V1141" t="str">
            <v>BIAOQIAN4</v>
          </cell>
          <cell r="W1141" t="str">
            <v/>
          </cell>
          <cell r="X1141" t="str">
            <v>XH-000</v>
          </cell>
          <cell r="Y1141" t="str">
            <v/>
          </cell>
          <cell r="Z1141" t="str">
            <v>1901</v>
          </cell>
          <cell r="AA1141" t="str">
            <v>1100160237</v>
          </cell>
          <cell r="AB1141">
            <v>100</v>
          </cell>
          <cell r="AC1141" t="str">
            <v/>
          </cell>
          <cell r="AD1141">
            <v>1.9</v>
          </cell>
          <cell r="AE1141" t="str">
            <v>G-100001932-260205-0209-1-H-XH</v>
          </cell>
        </row>
        <row r="1142">
          <cell r="B1142" t="str">
            <v>7101081942</v>
          </cell>
          <cell r="C1142" t="str">
            <v>G12602-083</v>
          </cell>
          <cell r="D1142" t="str">
            <v>000042944360002496</v>
          </cell>
          <cell r="E1142" t="str">
            <v>开口销</v>
          </cell>
          <cell r="F1142" t="str">
            <v>GB/T91-2000</v>
          </cell>
          <cell r="G1142" t="str">
            <v>2×16</v>
          </cell>
          <cell r="H1142" t="str">
            <v/>
          </cell>
          <cell r="I1142" t="str">
            <v>ECP</v>
          </cell>
          <cell r="J1142" t="str">
            <v>1Cr18Ni9Ti</v>
          </cell>
          <cell r="K1142">
            <v>100</v>
          </cell>
          <cell r="L1142">
            <v>46084</v>
          </cell>
          <cell r="M1142" t="str">
            <v>4-检验完成</v>
          </cell>
        </row>
        <row r="1142">
          <cell r="O1142">
            <v>0</v>
          </cell>
          <cell r="P1142" t="str">
            <v>中国运载火箭技术研究院</v>
          </cell>
          <cell r="Q1142" t="str">
            <v>90</v>
          </cell>
          <cell r="R1142">
            <v>46107</v>
          </cell>
        </row>
        <row r="1142">
          <cell r="U1142" t="str">
            <v/>
          </cell>
          <cell r="V1142" t="str">
            <v>BIAOQIAN4</v>
          </cell>
          <cell r="W1142" t="str">
            <v/>
          </cell>
          <cell r="X1142" t="str">
            <v>XH-000</v>
          </cell>
          <cell r="Y1142" t="str">
            <v/>
          </cell>
          <cell r="Z1142" t="str">
            <v>1901</v>
          </cell>
          <cell r="AA1142" t="str">
            <v>1100159314</v>
          </cell>
          <cell r="AB1142">
            <v>100</v>
          </cell>
          <cell r="AC1142" t="str">
            <v/>
          </cell>
          <cell r="AD1142">
            <v>1.9</v>
          </cell>
          <cell r="AE1142" t="str">
            <v>G-100001932-260121-0118-1-H</v>
          </cell>
        </row>
        <row r="1143">
          <cell r="B1143" t="str">
            <v>7101081942</v>
          </cell>
          <cell r="C1143" t="str">
            <v>G12602-079</v>
          </cell>
          <cell r="D1143" t="str">
            <v>000042944360002496</v>
          </cell>
          <cell r="E1143" t="str">
            <v>开口销</v>
          </cell>
          <cell r="F1143" t="str">
            <v>GB/T91-2000</v>
          </cell>
          <cell r="G1143" t="str">
            <v>2×16</v>
          </cell>
          <cell r="H1143" t="str">
            <v/>
          </cell>
          <cell r="I1143" t="str">
            <v>ECP</v>
          </cell>
          <cell r="J1143" t="str">
            <v>1Cr18Ni9Ti</v>
          </cell>
          <cell r="K1143">
            <v>100</v>
          </cell>
          <cell r="L1143">
            <v>46084</v>
          </cell>
          <cell r="M1143" t="str">
            <v>4-检验完成</v>
          </cell>
        </row>
        <row r="1143">
          <cell r="O1143">
            <v>0</v>
          </cell>
          <cell r="P1143" t="str">
            <v>中国运载火箭技术研究院</v>
          </cell>
          <cell r="Q1143" t="str">
            <v>110</v>
          </cell>
          <cell r="R1143">
            <v>46107</v>
          </cell>
        </row>
        <row r="1143">
          <cell r="U1143" t="str">
            <v/>
          </cell>
          <cell r="V1143" t="str">
            <v>BIAOQIAN4</v>
          </cell>
          <cell r="W1143" t="str">
            <v/>
          </cell>
          <cell r="X1143" t="str">
            <v>XH-000</v>
          </cell>
          <cell r="Y1143" t="str">
            <v/>
          </cell>
          <cell r="Z1143" t="str">
            <v>1901</v>
          </cell>
          <cell r="AA1143" t="str">
            <v>1100159314</v>
          </cell>
          <cell r="AB1143">
            <v>100</v>
          </cell>
          <cell r="AC1143" t="str">
            <v/>
          </cell>
          <cell r="AD1143">
            <v>1.9</v>
          </cell>
          <cell r="AE1143" t="str">
            <v>G-100001932-260121-0118-1-H</v>
          </cell>
        </row>
        <row r="1144">
          <cell r="B1144" t="str">
            <v>7101079413</v>
          </cell>
          <cell r="C1144" t="str">
            <v>G12602-070</v>
          </cell>
          <cell r="D1144" t="str">
            <v>000042944360002332</v>
          </cell>
          <cell r="E1144" t="str">
            <v>开口销</v>
          </cell>
          <cell r="F1144" t="str">
            <v>GB/T91-2000</v>
          </cell>
          <cell r="G1144" t="str">
            <v>1.6×16</v>
          </cell>
          <cell r="H1144" t="str">
            <v/>
          </cell>
          <cell r="I1144" t="str">
            <v>ECP</v>
          </cell>
          <cell r="J1144" t="str">
            <v>1Cr18Ni9Ti</v>
          </cell>
          <cell r="K1144">
            <v>100</v>
          </cell>
          <cell r="L1144">
            <v>46078</v>
          </cell>
          <cell r="M1144" t="str">
            <v>4-检验完成</v>
          </cell>
        </row>
        <row r="1144">
          <cell r="O1144">
            <v>0</v>
          </cell>
          <cell r="P1144" t="str">
            <v>中国运载火箭技术研究院</v>
          </cell>
          <cell r="Q1144" t="str">
            <v>60</v>
          </cell>
          <cell r="R1144">
            <v>46106</v>
          </cell>
        </row>
        <row r="1144">
          <cell r="U1144" t="str">
            <v/>
          </cell>
          <cell r="V1144" t="str">
            <v>BIAOQIAN2</v>
          </cell>
          <cell r="W1144" t="str">
            <v/>
          </cell>
          <cell r="X1144" t="str">
            <v>XH-000</v>
          </cell>
          <cell r="Y1144" t="str">
            <v/>
          </cell>
          <cell r="Z1144" t="str">
            <v>1901</v>
          </cell>
          <cell r="AA1144" t="str">
            <v>1100159314</v>
          </cell>
          <cell r="AB1144">
            <v>100</v>
          </cell>
          <cell r="AC1144" t="str">
            <v/>
          </cell>
          <cell r="AD1144">
            <v>1.9</v>
          </cell>
          <cell r="AE1144" t="str">
            <v>G-100001932-260121-0118-1-H</v>
          </cell>
        </row>
        <row r="1145">
          <cell r="B1145" t="str">
            <v>7101079351</v>
          </cell>
          <cell r="C1145" t="str">
            <v>G2601-9011</v>
          </cell>
          <cell r="D1145" t="str">
            <v>000042944044052988</v>
          </cell>
          <cell r="E1145" t="str">
            <v>十字槽沉头螺钉</v>
          </cell>
          <cell r="F1145" t="str">
            <v>GB/T819.2-2016</v>
          </cell>
          <cell r="G1145" t="str">
            <v>M3×25</v>
          </cell>
          <cell r="H1145" t="str">
            <v>A2-70</v>
          </cell>
          <cell r="I1145" t="str">
            <v>ECP</v>
          </cell>
          <cell r="J1145" t="str">
            <v>ML1Cr18Ni9Ti</v>
          </cell>
          <cell r="K1145">
            <v>862</v>
          </cell>
          <cell r="L1145">
            <v>46078</v>
          </cell>
          <cell r="M1145" t="str">
            <v>3-配货完成</v>
          </cell>
        </row>
        <row r="1145">
          <cell r="O1145">
            <v>0</v>
          </cell>
          <cell r="P1145" t="str">
            <v>中国运载火箭技术研究院</v>
          </cell>
          <cell r="Q1145" t="str">
            <v>230</v>
          </cell>
        </row>
        <row r="1145">
          <cell r="U1145" t="str">
            <v>010000900451</v>
          </cell>
          <cell r="V1145" t="str">
            <v>BIAOQIAN4</v>
          </cell>
          <cell r="W1145" t="str">
            <v/>
          </cell>
          <cell r="X1145" t="str">
            <v>CP-108-A</v>
          </cell>
          <cell r="Y1145" t="str">
            <v/>
          </cell>
          <cell r="Z1145" t="str">
            <v>1901</v>
          </cell>
          <cell r="AA1145" t="str">
            <v>1100157995</v>
          </cell>
          <cell r="AB1145">
            <v>1000</v>
          </cell>
          <cell r="AC1145" t="str">
            <v/>
          </cell>
          <cell r="AD1145">
            <v>1</v>
          </cell>
          <cell r="AE1145" t="str">
            <v>G-100001932-260103-0001</v>
          </cell>
        </row>
        <row r="1146">
          <cell r="B1146" t="str">
            <v>7101077152</v>
          </cell>
          <cell r="C1146" t="str">
            <v>G2601-0356</v>
          </cell>
          <cell r="D1146" t="str">
            <v>000042944439000330</v>
          </cell>
          <cell r="E1146" t="str">
            <v>小垫圈</v>
          </cell>
          <cell r="F1146" t="str">
            <v>GB/T848-2002</v>
          </cell>
          <cell r="G1146" t="str">
            <v>2.5</v>
          </cell>
          <cell r="H1146" t="str">
            <v>200HV</v>
          </cell>
          <cell r="I1146" t="str">
            <v>ECP</v>
          </cell>
          <cell r="J1146" t="str">
            <v>1Cr18Ni9Ti</v>
          </cell>
          <cell r="K1146">
            <v>43000</v>
          </cell>
          <cell r="L1146">
            <v>46065</v>
          </cell>
          <cell r="M1146" t="str">
            <v>4-检验完成</v>
          </cell>
        </row>
        <row r="1146">
          <cell r="O1146">
            <v>0</v>
          </cell>
          <cell r="P1146" t="str">
            <v>中国运载火箭技术研究院</v>
          </cell>
          <cell r="Q1146" t="str">
            <v>380</v>
          </cell>
          <cell r="R1146">
            <v>46101</v>
          </cell>
        </row>
        <row r="1146">
          <cell r="U1146" t="str">
            <v>010000900662</v>
          </cell>
          <cell r="V1146" t="str">
            <v>BIAOQIAN1</v>
          </cell>
          <cell r="W1146" t="str">
            <v/>
          </cell>
          <cell r="X1146" t="str">
            <v>CP-108-A</v>
          </cell>
          <cell r="Y1146" t="str">
            <v/>
          </cell>
          <cell r="Z1146" t="str">
            <v>1901</v>
          </cell>
          <cell r="AA1146" t="str">
            <v>1100157995</v>
          </cell>
          <cell r="AB1146">
            <v>305000</v>
          </cell>
          <cell r="AC1146" t="str">
            <v/>
          </cell>
          <cell r="AD1146">
            <v>0.66</v>
          </cell>
          <cell r="AE1146" t="str">
            <v>G-100001932-260103-0001</v>
          </cell>
        </row>
        <row r="1147">
          <cell r="B1147" t="str">
            <v>7101074537</v>
          </cell>
          <cell r="C1147" t="str">
            <v>G12601-085</v>
          </cell>
          <cell r="D1147" t="str">
            <v>000042944044087035</v>
          </cell>
          <cell r="E1147" t="str">
            <v>十字槽沉头螺钉</v>
          </cell>
          <cell r="F1147" t="str">
            <v>GB/T819.2-2016</v>
          </cell>
          <cell r="G1147" t="str">
            <v>M2×4</v>
          </cell>
          <cell r="H1147" t="str">
            <v>A2-70</v>
          </cell>
          <cell r="I1147" t="str">
            <v>ECP</v>
          </cell>
          <cell r="J1147" t="str">
            <v>ML1Cr18Ni9Ti</v>
          </cell>
          <cell r="K1147">
            <v>1000</v>
          </cell>
          <cell r="L1147">
            <v>46059</v>
          </cell>
          <cell r="M1147" t="str">
            <v>4-检验完成</v>
          </cell>
        </row>
        <row r="1147">
          <cell r="O1147">
            <v>0</v>
          </cell>
          <cell r="P1147" t="str">
            <v>中国运载火箭技术研究院</v>
          </cell>
          <cell r="Q1147" t="str">
            <v>40</v>
          </cell>
          <cell r="R1147">
            <v>46063</v>
          </cell>
        </row>
        <row r="1147">
          <cell r="U1147" t="str">
            <v/>
          </cell>
          <cell r="V1147" t="str">
            <v>BIAOQIAN4</v>
          </cell>
          <cell r="W1147" t="str">
            <v/>
          </cell>
          <cell r="X1147" t="str">
            <v>XH-000</v>
          </cell>
          <cell r="Y1147" t="str">
            <v/>
          </cell>
          <cell r="Z1147" t="str">
            <v>1901</v>
          </cell>
          <cell r="AA1147" t="str">
            <v>1100159063</v>
          </cell>
          <cell r="AB1147">
            <v>1000</v>
          </cell>
          <cell r="AC1147" t="str">
            <v/>
          </cell>
          <cell r="AD1147">
            <v>0.9</v>
          </cell>
          <cell r="AE1147" t="str">
            <v>G-100001932-260116-0106-1-H-XH</v>
          </cell>
        </row>
        <row r="1148">
          <cell r="B1148" t="str">
            <v>7101074537</v>
          </cell>
          <cell r="C1148" t="str">
            <v>G12601-083</v>
          </cell>
          <cell r="D1148" t="str">
            <v>000042944043086961</v>
          </cell>
          <cell r="E1148" t="str">
            <v>开槽沉头螺钉</v>
          </cell>
          <cell r="F1148" t="str">
            <v>GB/T68-2016</v>
          </cell>
          <cell r="G1148" t="str">
            <v>M2.5×12</v>
          </cell>
          <cell r="H1148" t="str">
            <v>A2-70</v>
          </cell>
          <cell r="I1148" t="str">
            <v>ECP</v>
          </cell>
          <cell r="J1148" t="str">
            <v>ML1Cr18Ni9Ti</v>
          </cell>
          <cell r="K1148">
            <v>500</v>
          </cell>
          <cell r="L1148">
            <v>46059</v>
          </cell>
          <cell r="M1148" t="str">
            <v>4-检验完成</v>
          </cell>
        </row>
        <row r="1148">
          <cell r="O1148">
            <v>0</v>
          </cell>
          <cell r="P1148" t="str">
            <v>中国运载火箭技术研究院</v>
          </cell>
          <cell r="Q1148" t="str">
            <v>20</v>
          </cell>
          <cell r="R1148">
            <v>46063</v>
          </cell>
        </row>
        <row r="1148">
          <cell r="U1148" t="str">
            <v/>
          </cell>
          <cell r="V1148" t="str">
            <v>BIAOQIAN4</v>
          </cell>
          <cell r="W1148" t="str">
            <v/>
          </cell>
          <cell r="X1148" t="str">
            <v>XH-000</v>
          </cell>
          <cell r="Y1148" t="str">
            <v/>
          </cell>
          <cell r="Z1148" t="str">
            <v>1901</v>
          </cell>
          <cell r="AA1148" t="str">
            <v>1100159063</v>
          </cell>
          <cell r="AB1148">
            <v>500</v>
          </cell>
          <cell r="AC1148" t="str">
            <v/>
          </cell>
          <cell r="AD1148">
            <v>0.9</v>
          </cell>
          <cell r="AE1148" t="str">
            <v>G-100001932-260116-0106-1-H-XH</v>
          </cell>
        </row>
        <row r="1149">
          <cell r="B1149" t="str">
            <v>7101074309</v>
          </cell>
          <cell r="C1149" t="str">
            <v>G12601-084</v>
          </cell>
          <cell r="D1149" t="str">
            <v>000042944043121271</v>
          </cell>
          <cell r="E1149" t="str">
            <v>开槽沉头螺钉</v>
          </cell>
          <cell r="F1149" t="str">
            <v>GB/T68-2016</v>
          </cell>
          <cell r="G1149" t="str">
            <v>M2.5×14</v>
          </cell>
          <cell r="H1149" t="str">
            <v>A2-70</v>
          </cell>
          <cell r="I1149" t="str">
            <v>ECP</v>
          </cell>
          <cell r="J1149" t="str">
            <v>ML1Cr18Ni9Ti</v>
          </cell>
          <cell r="K1149">
            <v>500</v>
          </cell>
          <cell r="L1149">
            <v>46058</v>
          </cell>
          <cell r="M1149" t="str">
            <v>3-配货完成</v>
          </cell>
        </row>
        <row r="1149">
          <cell r="O1149">
            <v>0</v>
          </cell>
          <cell r="P1149" t="str">
            <v>中国运载火箭技术研究院</v>
          </cell>
          <cell r="Q1149" t="str">
            <v>30</v>
          </cell>
        </row>
        <row r="1149">
          <cell r="U1149" t="str">
            <v/>
          </cell>
          <cell r="V1149" t="str">
            <v>BIAOQIAN8</v>
          </cell>
          <cell r="W1149" t="str">
            <v/>
          </cell>
          <cell r="X1149" t="str">
            <v>XH-000</v>
          </cell>
          <cell r="Y1149" t="str">
            <v/>
          </cell>
          <cell r="Z1149" t="str">
            <v>1901</v>
          </cell>
          <cell r="AA1149" t="str">
            <v>1100159063</v>
          </cell>
          <cell r="AB1149">
            <v>500</v>
          </cell>
          <cell r="AC1149" t="str">
            <v/>
          </cell>
          <cell r="AD1149">
            <v>0.9</v>
          </cell>
          <cell r="AE1149" t="str">
            <v>G-100001932-260116-0106-1-H-XH</v>
          </cell>
        </row>
        <row r="1150">
          <cell r="B1150" t="str">
            <v>7101074068</v>
          </cell>
          <cell r="C1150" t="str">
            <v>G2601-9013</v>
          </cell>
          <cell r="D1150" t="str">
            <v>000042944044071579</v>
          </cell>
          <cell r="E1150" t="str">
            <v>十字槽沉头螺钉</v>
          </cell>
          <cell r="F1150" t="str">
            <v>GB/T819.2-2016</v>
          </cell>
          <cell r="G1150" t="str">
            <v>M4×12</v>
          </cell>
          <cell r="H1150" t="str">
            <v>A2-70</v>
          </cell>
          <cell r="I1150" t="str">
            <v>ECP</v>
          </cell>
          <cell r="J1150" t="str">
            <v>ML1Cr18Ni9Ti</v>
          </cell>
          <cell r="K1150">
            <v>9959</v>
          </cell>
          <cell r="L1150">
            <v>46058</v>
          </cell>
          <cell r="M1150" t="str">
            <v>3-配货完成</v>
          </cell>
        </row>
        <row r="1150">
          <cell r="O1150">
            <v>0</v>
          </cell>
          <cell r="P1150" t="str">
            <v>中国运载火箭技术研究院</v>
          </cell>
          <cell r="Q1150" t="str">
            <v>250</v>
          </cell>
        </row>
        <row r="1150">
          <cell r="U1150" t="str">
            <v>010000900453</v>
          </cell>
          <cell r="V1150" t="str">
            <v>BIAOQIAN4</v>
          </cell>
          <cell r="W1150" t="str">
            <v/>
          </cell>
          <cell r="X1150" t="str">
            <v>CP-108-A</v>
          </cell>
          <cell r="Y1150" t="str">
            <v/>
          </cell>
          <cell r="Z1150" t="str">
            <v>1901</v>
          </cell>
          <cell r="AA1150" t="str">
            <v>1100157995</v>
          </cell>
          <cell r="AB1150">
            <v>22000</v>
          </cell>
          <cell r="AC1150" t="str">
            <v/>
          </cell>
          <cell r="AD1150">
            <v>2</v>
          </cell>
          <cell r="AE1150" t="str">
            <v>G-100001932-260103-0001</v>
          </cell>
        </row>
        <row r="1151">
          <cell r="B1151" t="str">
            <v>7101073524</v>
          </cell>
          <cell r="C1151" t="str">
            <v>G02601-044</v>
          </cell>
          <cell r="D1151" t="str">
            <v>000042944999004770</v>
          </cell>
          <cell r="E1151" t="str">
            <v>铅封</v>
          </cell>
          <cell r="F1151" t="str">
            <v>HB4-53-1983</v>
          </cell>
          <cell r="G1151" t="str">
            <v>Φ6×8</v>
          </cell>
          <cell r="H1151" t="str">
            <v/>
          </cell>
          <cell r="I1151" t="str">
            <v/>
          </cell>
          <cell r="J1151" t="str">
            <v>L6-M</v>
          </cell>
          <cell r="K1151">
            <v>10000</v>
          </cell>
          <cell r="L1151">
            <v>46057</v>
          </cell>
          <cell r="M1151" t="str">
            <v>4-检验完成</v>
          </cell>
        </row>
        <row r="1151">
          <cell r="O1151">
            <v>0</v>
          </cell>
          <cell r="P1151" t="str">
            <v>中国运载火箭技术研究院</v>
          </cell>
          <cell r="Q1151" t="str">
            <v>10</v>
          </cell>
          <cell r="R1151">
            <v>46058</v>
          </cell>
        </row>
        <row r="1151">
          <cell r="U1151" t="str">
            <v/>
          </cell>
          <cell r="V1151" t="str">
            <v>BIAOQIAN1</v>
          </cell>
          <cell r="W1151" t="str">
            <v/>
          </cell>
          <cell r="X1151" t="str">
            <v>XH-000</v>
          </cell>
          <cell r="Y1151" t="str">
            <v/>
          </cell>
          <cell r="Z1151" t="str">
            <v>1901</v>
          </cell>
          <cell r="AA1151" t="str">
            <v>1100157438</v>
          </cell>
          <cell r="AB1151">
            <v>10000</v>
          </cell>
          <cell r="AC1151" t="str">
            <v/>
          </cell>
          <cell r="AD1151">
            <v>0.59</v>
          </cell>
          <cell r="AE1151" t="str">
            <v>G-100001932-251215-1332</v>
          </cell>
        </row>
        <row r="1152">
          <cell r="B1152" t="str">
            <v>7101073331</v>
          </cell>
          <cell r="C1152" t="str">
            <v>G2503-1404</v>
          </cell>
          <cell r="D1152" t="str">
            <v>000042944999008146</v>
          </cell>
          <cell r="E1152" t="str">
            <v>钉杆</v>
          </cell>
          <cell r="F1152" t="str">
            <v>QJ2996.3A(1)-2004</v>
          </cell>
          <cell r="G1152" t="str">
            <v>4×15</v>
          </cell>
          <cell r="H1152" t="str">
            <v/>
          </cell>
          <cell r="I1152" t="str">
            <v>蓝色阳极化</v>
          </cell>
          <cell r="J1152" t="str">
            <v>TC4</v>
          </cell>
          <cell r="K1152">
            <v>5106</v>
          </cell>
          <cell r="L1152">
            <v>46057</v>
          </cell>
          <cell r="M1152" t="str">
            <v>4-检验完成</v>
          </cell>
        </row>
        <row r="1152">
          <cell r="O1152">
            <v>0</v>
          </cell>
          <cell r="P1152" t="str">
            <v>中国运载火箭技术研究院</v>
          </cell>
          <cell r="Q1152" t="str">
            <v>10</v>
          </cell>
          <cell r="R1152">
            <v>46058</v>
          </cell>
        </row>
        <row r="1152">
          <cell r="U1152" t="str">
            <v>010000796331</v>
          </cell>
          <cell r="V1152" t="str">
            <v>BIAOQIAN4</v>
          </cell>
          <cell r="W1152" t="str">
            <v/>
          </cell>
          <cell r="X1152" t="str">
            <v>CP-85-4-4-1/2/3/4/5/6/7</v>
          </cell>
          <cell r="Y1152" t="str">
            <v/>
          </cell>
          <cell r="Z1152" t="str">
            <v>1901</v>
          </cell>
          <cell r="AA1152" t="str">
            <v>1100145339</v>
          </cell>
          <cell r="AB1152">
            <v>5106</v>
          </cell>
          <cell r="AC1152" t="str">
            <v/>
          </cell>
          <cell r="AD1152">
            <v>41.5</v>
          </cell>
          <cell r="AE1152" t="str">
            <v>G-100001932-250415-0411</v>
          </cell>
        </row>
        <row r="1153">
          <cell r="B1153" t="str">
            <v>7101065676</v>
          </cell>
          <cell r="C1153" t="str">
            <v>G12601-032</v>
          </cell>
          <cell r="D1153" t="str">
            <v>000042944288000237</v>
          </cell>
          <cell r="E1153" t="str">
            <v>六角自锁螺母</v>
          </cell>
          <cell r="F1153" t="str">
            <v>GB1337-1988</v>
          </cell>
          <cell r="G1153" t="str">
            <v>M3</v>
          </cell>
          <cell r="H1153" t="str">
            <v>30-36HRC</v>
          </cell>
          <cell r="I1153" t="str">
            <v>Ep·Cd·c2C</v>
          </cell>
          <cell r="J1153" t="str">
            <v>ML30CrMnSiA</v>
          </cell>
          <cell r="K1153">
            <v>2100</v>
          </cell>
          <cell r="L1153">
            <v>46041</v>
          </cell>
          <cell r="M1153" t="str">
            <v>3-配货完成</v>
          </cell>
        </row>
        <row r="1153">
          <cell r="O1153">
            <v>0</v>
          </cell>
          <cell r="P1153" t="str">
            <v>中国运载火箭技术研究院</v>
          </cell>
          <cell r="Q1153" t="str">
            <v>10</v>
          </cell>
        </row>
        <row r="1153">
          <cell r="U1153" t="str">
            <v/>
          </cell>
          <cell r="V1153" t="str">
            <v>BIAOQIAN2</v>
          </cell>
          <cell r="W1153" t="str">
            <v/>
          </cell>
          <cell r="X1153" t="str">
            <v>XH-000</v>
          </cell>
          <cell r="Y1153" t="str">
            <v/>
          </cell>
          <cell r="Z1153" t="str">
            <v>1901</v>
          </cell>
          <cell r="AA1153" t="str">
            <v>1100157868</v>
          </cell>
          <cell r="AB1153">
            <v>2100</v>
          </cell>
          <cell r="AC1153" t="str">
            <v/>
          </cell>
          <cell r="AD1153">
            <v>2.7</v>
          </cell>
          <cell r="AE1153" t="str">
            <v>G-100001932-260103-0003-1-H-XH</v>
          </cell>
        </row>
        <row r="1154">
          <cell r="B1154" t="str">
            <v>7101064655</v>
          </cell>
          <cell r="C1154" t="str">
            <v>G2601-0349</v>
          </cell>
          <cell r="D1154" t="str">
            <v>000042944401071347</v>
          </cell>
          <cell r="E1154" t="str">
            <v>小垫圈</v>
          </cell>
          <cell r="F1154" t="str">
            <v>GB/T848-2002</v>
          </cell>
          <cell r="G1154" t="str">
            <v>2.5</v>
          </cell>
          <cell r="H1154" t="str">
            <v>σb≥800MPa</v>
          </cell>
          <cell r="I1154" t="str">
            <v>Ti/Et·A(P)·Cl(BU)</v>
          </cell>
          <cell r="J1154" t="str">
            <v>TC4</v>
          </cell>
          <cell r="K1154">
            <v>2000</v>
          </cell>
          <cell r="L1154">
            <v>46038</v>
          </cell>
          <cell r="M1154" t="str">
            <v>3-配货完成</v>
          </cell>
        </row>
        <row r="1154">
          <cell r="O1154">
            <v>0</v>
          </cell>
          <cell r="P1154" t="str">
            <v>中国运载火箭技术研究院</v>
          </cell>
          <cell r="Q1154" t="str">
            <v>390</v>
          </cell>
        </row>
        <row r="1154">
          <cell r="U1154" t="str">
            <v>010000900646</v>
          </cell>
          <cell r="V1154" t="str">
            <v>BIAOQIAN4</v>
          </cell>
          <cell r="W1154" t="str">
            <v/>
          </cell>
          <cell r="X1154" t="str">
            <v>CP-108-A</v>
          </cell>
          <cell r="Y1154" t="str">
            <v/>
          </cell>
          <cell r="Z1154" t="str">
            <v>1901</v>
          </cell>
          <cell r="AA1154" t="str">
            <v>1100157995</v>
          </cell>
          <cell r="AB1154">
            <v>2000</v>
          </cell>
          <cell r="AC1154" t="str">
            <v/>
          </cell>
          <cell r="AD1154">
            <v>4.5</v>
          </cell>
          <cell r="AE1154" t="str">
            <v>G-100001932-260103-0001</v>
          </cell>
        </row>
        <row r="1155">
          <cell r="B1155" t="str">
            <v>7101062104</v>
          </cell>
          <cell r="C1155" t="str">
            <v>G2505-0859</v>
          </cell>
          <cell r="D1155" t="str">
            <v>000042944201014080</v>
          </cell>
          <cell r="E1155" t="str">
            <v>高温合金GH4738六角头螺栓</v>
          </cell>
          <cell r="F1155" t="str">
            <v>Q/DY1330-2013</v>
          </cell>
          <cell r="G1155" t="str">
            <v>M4×14</v>
          </cell>
          <cell r="H1155" t="str">
            <v>σb≥1210MPa</v>
          </cell>
          <cell r="I1155" t="str">
            <v>Ct·P</v>
          </cell>
          <cell r="J1155" t="str">
            <v>GH738</v>
          </cell>
          <cell r="K1155">
            <v>219</v>
          </cell>
          <cell r="L1155">
            <v>46034</v>
          </cell>
          <cell r="M1155" t="str">
            <v>4-检验完成</v>
          </cell>
        </row>
        <row r="1155">
          <cell r="O1155">
            <v>0</v>
          </cell>
          <cell r="P1155" t="str">
            <v>中国运载火箭技术研究院</v>
          </cell>
          <cell r="Q1155" t="str">
            <v>80</v>
          </cell>
          <cell r="R1155">
            <v>46036</v>
          </cell>
        </row>
        <row r="1155">
          <cell r="U1155" t="str">
            <v>010000824784</v>
          </cell>
          <cell r="V1155" t="str">
            <v>BIAOQIAN2</v>
          </cell>
          <cell r="W1155" t="str">
            <v/>
          </cell>
          <cell r="X1155" t="str">
            <v>CP-108-A</v>
          </cell>
          <cell r="Y1155" t="str">
            <v/>
          </cell>
          <cell r="Z1155" t="str">
            <v>1901</v>
          </cell>
          <cell r="AA1155" t="str">
            <v>1100143661</v>
          </cell>
          <cell r="AB1155">
            <v>1290</v>
          </cell>
          <cell r="AC1155" t="str">
            <v/>
          </cell>
          <cell r="AD1155">
            <v>128</v>
          </cell>
          <cell r="AE1155" t="str">
            <v>G-100001932-250317-0286</v>
          </cell>
        </row>
        <row r="1156">
          <cell r="B1156" t="str">
            <v>7101060236</v>
          </cell>
          <cell r="C1156" t="str">
            <v>G2503-1378</v>
          </cell>
          <cell r="D1156" t="str">
            <v>000042944999008132</v>
          </cell>
          <cell r="E1156" t="str">
            <v>钉套</v>
          </cell>
          <cell r="F1156" t="str">
            <v>QJ2996.2A(2)-2004</v>
          </cell>
          <cell r="G1156" t="str">
            <v>4</v>
          </cell>
          <cell r="H1156" t="str">
            <v/>
          </cell>
          <cell r="I1156" t="str">
            <v>蓝色阳极化+十六醇</v>
          </cell>
          <cell r="J1156" t="str">
            <v>TA1</v>
          </cell>
          <cell r="K1156">
            <v>3646</v>
          </cell>
          <cell r="L1156">
            <v>46030</v>
          </cell>
          <cell r="M1156" t="str">
            <v>4-检验完成</v>
          </cell>
        </row>
        <row r="1156">
          <cell r="O1156">
            <v>0</v>
          </cell>
          <cell r="P1156" t="str">
            <v>中国运载火箭技术研究院</v>
          </cell>
          <cell r="Q1156" t="str">
            <v>230</v>
          </cell>
          <cell r="R1156">
            <v>46031</v>
          </cell>
        </row>
        <row r="1156">
          <cell r="U1156" t="str">
            <v>010000796037</v>
          </cell>
          <cell r="V1156" t="str">
            <v>BIAOQIAN1</v>
          </cell>
          <cell r="W1156" t="str">
            <v/>
          </cell>
          <cell r="X1156" t="str">
            <v>CP-108-A</v>
          </cell>
          <cell r="Y1156" t="str">
            <v/>
          </cell>
          <cell r="Z1156" t="str">
            <v>1901</v>
          </cell>
          <cell r="AA1156" t="str">
            <v>1100143219</v>
          </cell>
          <cell r="AB1156">
            <v>92500</v>
          </cell>
          <cell r="AC1156" t="str">
            <v/>
          </cell>
          <cell r="AD1156">
            <v>5</v>
          </cell>
          <cell r="AE1156" t="str">
            <v>G-100001932-250311-0260</v>
          </cell>
        </row>
        <row r="1157">
          <cell r="B1157" t="str">
            <v>7101058555</v>
          </cell>
          <cell r="C1157" t="str">
            <v>G2503-1381</v>
          </cell>
          <cell r="D1157" t="str">
            <v>000042944999008132</v>
          </cell>
          <cell r="E1157" t="str">
            <v>钉套</v>
          </cell>
          <cell r="F1157" t="str">
            <v>QJ2996.2A(2)-2004</v>
          </cell>
          <cell r="G1157" t="str">
            <v>4</v>
          </cell>
          <cell r="H1157" t="str">
            <v/>
          </cell>
          <cell r="I1157" t="str">
            <v>蓝色阳极化+十六醇</v>
          </cell>
          <cell r="J1157" t="str">
            <v>TA1</v>
          </cell>
          <cell r="K1157">
            <v>4681</v>
          </cell>
          <cell r="L1157">
            <v>46028</v>
          </cell>
          <cell r="M1157" t="str">
            <v>4-检验完成</v>
          </cell>
        </row>
        <row r="1157">
          <cell r="O1157">
            <v>0</v>
          </cell>
          <cell r="P1157" t="str">
            <v>中国运载火箭技术研究院</v>
          </cell>
          <cell r="Q1157" t="str">
            <v>230</v>
          </cell>
          <cell r="R1157">
            <v>46030</v>
          </cell>
        </row>
        <row r="1157">
          <cell r="U1157" t="str">
            <v>010000796040</v>
          </cell>
          <cell r="V1157" t="str">
            <v>BIAOQIAN4</v>
          </cell>
          <cell r="W1157" t="str">
            <v/>
          </cell>
          <cell r="X1157" t="str">
            <v>CP-108-A</v>
          </cell>
          <cell r="Y1157" t="str">
            <v/>
          </cell>
          <cell r="Z1157" t="str">
            <v>1901</v>
          </cell>
          <cell r="AA1157" t="str">
            <v>1100143219</v>
          </cell>
          <cell r="AB1157">
            <v>92500</v>
          </cell>
          <cell r="AC1157" t="str">
            <v/>
          </cell>
          <cell r="AD1157">
            <v>5</v>
          </cell>
          <cell r="AE1157" t="str">
            <v>G-100001932-250311-0260</v>
          </cell>
        </row>
        <row r="1158">
          <cell r="B1158" t="str">
            <v>7101057735</v>
          </cell>
          <cell r="C1158" t="str">
            <v>G2503-1382</v>
          </cell>
          <cell r="D1158" t="str">
            <v>000042944999008132</v>
          </cell>
          <cell r="E1158" t="str">
            <v>钉套</v>
          </cell>
          <cell r="F1158" t="str">
            <v>QJ2996.2A(2)-2004</v>
          </cell>
          <cell r="G1158" t="str">
            <v>4</v>
          </cell>
          <cell r="H1158" t="str">
            <v/>
          </cell>
          <cell r="I1158" t="str">
            <v>蓝色阳极化+十六醇</v>
          </cell>
          <cell r="J1158" t="str">
            <v>TA1</v>
          </cell>
          <cell r="K1158">
            <v>4740</v>
          </cell>
          <cell r="L1158">
            <v>46027</v>
          </cell>
          <cell r="M1158" t="str">
            <v>4-检验完成</v>
          </cell>
        </row>
        <row r="1158">
          <cell r="O1158">
            <v>0</v>
          </cell>
          <cell r="P1158" t="str">
            <v>中国运载火箭技术研究院</v>
          </cell>
          <cell r="Q1158" t="str">
            <v>230</v>
          </cell>
          <cell r="R1158">
            <v>46030</v>
          </cell>
        </row>
        <row r="1158">
          <cell r="U1158" t="str">
            <v>010000796041</v>
          </cell>
          <cell r="V1158" t="str">
            <v>BIAOQIAN2</v>
          </cell>
          <cell r="W1158" t="str">
            <v/>
          </cell>
          <cell r="X1158" t="str">
            <v>CP-108-A</v>
          </cell>
          <cell r="Y1158" t="str">
            <v/>
          </cell>
          <cell r="Z1158" t="str">
            <v>1901</v>
          </cell>
          <cell r="AA1158" t="str">
            <v>1100143219</v>
          </cell>
          <cell r="AB1158">
            <v>92500</v>
          </cell>
          <cell r="AC1158" t="str">
            <v/>
          </cell>
          <cell r="AD1158">
            <v>5</v>
          </cell>
          <cell r="AE1158" t="str">
            <v>G-100001932-250311-0260</v>
          </cell>
        </row>
        <row r="1159">
          <cell r="B1159" t="str">
            <v>7101057662</v>
          </cell>
          <cell r="C1159" t="str">
            <v>G2512-1952</v>
          </cell>
          <cell r="D1159" t="str">
            <v>000042944999008093</v>
          </cell>
          <cell r="E1159" t="str">
            <v>钉杆</v>
          </cell>
          <cell r="F1159" t="str">
            <v>QJ2996.2A(1)-2004</v>
          </cell>
          <cell r="G1159" t="str">
            <v>4×15</v>
          </cell>
          <cell r="H1159" t="str">
            <v/>
          </cell>
          <cell r="I1159" t="str">
            <v>蓝色阳极化</v>
          </cell>
          <cell r="J1159" t="str">
            <v>TC4</v>
          </cell>
          <cell r="K1159">
            <v>5182</v>
          </cell>
          <cell r="L1159">
            <v>46027</v>
          </cell>
          <cell r="M1159" t="str">
            <v>4-检验完成</v>
          </cell>
        </row>
        <row r="1159">
          <cell r="O1159">
            <v>0</v>
          </cell>
          <cell r="P1159" t="str">
            <v>中国运载火箭技术研究院</v>
          </cell>
          <cell r="Q1159" t="str">
            <v>150</v>
          </cell>
          <cell r="R1159">
            <v>46030</v>
          </cell>
        </row>
        <row r="1159">
          <cell r="U1159" t="str">
            <v>010000898357</v>
          </cell>
          <cell r="V1159" t="str">
            <v>BIAOQIAN2</v>
          </cell>
          <cell r="W1159" t="str">
            <v/>
          </cell>
          <cell r="X1159" t="str">
            <v>CP-108-A</v>
          </cell>
          <cell r="Y1159" t="str">
            <v/>
          </cell>
          <cell r="Z1159" t="str">
            <v>1901</v>
          </cell>
          <cell r="AA1159" t="str">
            <v>1100143219</v>
          </cell>
          <cell r="AB1159">
            <v>10500</v>
          </cell>
          <cell r="AC1159" t="str">
            <v/>
          </cell>
          <cell r="AD1159">
            <v>41.5</v>
          </cell>
          <cell r="AE1159" t="str">
            <v>G-100001932-250311-0260</v>
          </cell>
        </row>
        <row r="1160">
          <cell r="B1160" t="str">
            <v>7101057368</v>
          </cell>
          <cell r="C1160" t="str">
            <v>G2512-1956</v>
          </cell>
          <cell r="D1160" t="str">
            <v>000042944999008092</v>
          </cell>
          <cell r="E1160" t="str">
            <v>钉杆</v>
          </cell>
          <cell r="F1160" t="str">
            <v>QJ2996.2A(1)-2004</v>
          </cell>
          <cell r="G1160" t="str">
            <v>4×14</v>
          </cell>
          <cell r="H1160" t="str">
            <v/>
          </cell>
          <cell r="I1160" t="str">
            <v>蓝色阳极化</v>
          </cell>
          <cell r="J1160" t="str">
            <v>TC4</v>
          </cell>
          <cell r="K1160">
            <v>4295</v>
          </cell>
          <cell r="L1160">
            <v>46026</v>
          </cell>
          <cell r="M1160" t="str">
            <v>4-检验完成</v>
          </cell>
        </row>
        <row r="1160">
          <cell r="O1160">
            <v>0</v>
          </cell>
          <cell r="P1160" t="str">
            <v>中国运载火箭技术研究院</v>
          </cell>
          <cell r="Q1160" t="str">
            <v>140</v>
          </cell>
          <cell r="R1160">
            <v>46042</v>
          </cell>
        </row>
        <row r="1160">
          <cell r="U1160" t="str">
            <v>010000898369</v>
          </cell>
          <cell r="V1160" t="str">
            <v>BIAOQIAN2</v>
          </cell>
          <cell r="W1160" t="str">
            <v/>
          </cell>
          <cell r="X1160" t="str">
            <v>CP-108-A</v>
          </cell>
          <cell r="Y1160" t="str">
            <v/>
          </cell>
          <cell r="Z1160" t="str">
            <v>1901</v>
          </cell>
          <cell r="AA1160" t="str">
            <v>1100143219</v>
          </cell>
          <cell r="AB1160">
            <v>8550</v>
          </cell>
          <cell r="AC1160" t="str">
            <v/>
          </cell>
          <cell r="AD1160">
            <v>41.5</v>
          </cell>
          <cell r="AE1160" t="str">
            <v>G-100001932-250311-0260</v>
          </cell>
        </row>
        <row r="1161">
          <cell r="B1161" t="str">
            <v>7101056438</v>
          </cell>
          <cell r="C1161" t="str">
            <v>G2503-1379</v>
          </cell>
          <cell r="D1161" t="str">
            <v>000042944999008132</v>
          </cell>
          <cell r="E1161" t="str">
            <v>钉套</v>
          </cell>
          <cell r="F1161" t="str">
            <v>QJ2996.2A(2)-2004</v>
          </cell>
          <cell r="G1161" t="str">
            <v>4</v>
          </cell>
          <cell r="H1161" t="str">
            <v/>
          </cell>
          <cell r="I1161" t="str">
            <v>蓝色阳极化+十六醇</v>
          </cell>
          <cell r="J1161" t="str">
            <v>TA1</v>
          </cell>
          <cell r="K1161">
            <v>4780</v>
          </cell>
          <cell r="L1161">
            <v>46022</v>
          </cell>
          <cell r="M1161" t="str">
            <v>4-检验完成</v>
          </cell>
        </row>
        <row r="1161">
          <cell r="O1161">
            <v>0</v>
          </cell>
          <cell r="P1161" t="str">
            <v>中国运载火箭技术研究院</v>
          </cell>
          <cell r="Q1161" t="str">
            <v>230</v>
          </cell>
          <cell r="R1161">
            <v>46026</v>
          </cell>
        </row>
        <row r="1161">
          <cell r="U1161" t="str">
            <v>010000796038</v>
          </cell>
          <cell r="V1161" t="str">
            <v>BIAOQIAN4</v>
          </cell>
          <cell r="W1161" t="str">
            <v/>
          </cell>
          <cell r="X1161" t="str">
            <v>CP-108-A</v>
          </cell>
          <cell r="Y1161" t="str">
            <v/>
          </cell>
          <cell r="Z1161" t="str">
            <v>1901</v>
          </cell>
          <cell r="AA1161" t="str">
            <v>1100143219</v>
          </cell>
          <cell r="AB1161">
            <v>92500</v>
          </cell>
          <cell r="AC1161" t="str">
            <v/>
          </cell>
          <cell r="AD1161">
            <v>5</v>
          </cell>
          <cell r="AE1161" t="str">
            <v>G-100001932-250311-0260</v>
          </cell>
        </row>
        <row r="1162">
          <cell r="B1162" t="str">
            <v>7101053479</v>
          </cell>
          <cell r="C1162" t="str">
            <v>G2503-1373</v>
          </cell>
          <cell r="D1162" t="str">
            <v>000042944999008132</v>
          </cell>
          <cell r="E1162" t="str">
            <v>钉套</v>
          </cell>
          <cell r="F1162" t="str">
            <v>QJ2996.2A(2)-2004</v>
          </cell>
          <cell r="G1162" t="str">
            <v>4</v>
          </cell>
          <cell r="H1162" t="str">
            <v/>
          </cell>
          <cell r="I1162" t="str">
            <v>蓝色阳极化+十六醇</v>
          </cell>
          <cell r="J1162" t="str">
            <v>TA1</v>
          </cell>
          <cell r="K1162">
            <v>4740</v>
          </cell>
          <cell r="L1162">
            <v>46014</v>
          </cell>
          <cell r="M1162" t="str">
            <v>4-检验完成</v>
          </cell>
        </row>
        <row r="1162">
          <cell r="O1162">
            <v>0</v>
          </cell>
          <cell r="P1162" t="str">
            <v>中国运载火箭技术研究院</v>
          </cell>
          <cell r="Q1162" t="str">
            <v>230</v>
          </cell>
          <cell r="R1162">
            <v>46015</v>
          </cell>
        </row>
        <row r="1162">
          <cell r="U1162" t="str">
            <v>010000796032</v>
          </cell>
          <cell r="V1162" t="str">
            <v>BIAOQIAN4</v>
          </cell>
          <cell r="W1162" t="str">
            <v/>
          </cell>
          <cell r="X1162" t="str">
            <v>CP-108-A</v>
          </cell>
          <cell r="Y1162" t="str">
            <v/>
          </cell>
          <cell r="Z1162" t="str">
            <v>1901</v>
          </cell>
          <cell r="AA1162" t="str">
            <v>1100143219</v>
          </cell>
          <cell r="AB1162">
            <v>92500</v>
          </cell>
          <cell r="AC1162" t="str">
            <v/>
          </cell>
          <cell r="AD1162">
            <v>5</v>
          </cell>
          <cell r="AE1162" t="str">
            <v>G-100001932-250311-0260</v>
          </cell>
        </row>
        <row r="1163">
          <cell r="B1163" t="str">
            <v>7101053479</v>
          </cell>
          <cell r="C1163" t="str">
            <v>G2503-1377</v>
          </cell>
          <cell r="D1163" t="str">
            <v>000042944999008132</v>
          </cell>
          <cell r="E1163" t="str">
            <v>钉套</v>
          </cell>
          <cell r="F1163" t="str">
            <v>QJ2996.2A(2)-2004</v>
          </cell>
          <cell r="G1163" t="str">
            <v>4</v>
          </cell>
          <cell r="H1163" t="str">
            <v/>
          </cell>
          <cell r="I1163" t="str">
            <v>蓝色阳极化+十六醇</v>
          </cell>
          <cell r="J1163" t="str">
            <v>TA1</v>
          </cell>
          <cell r="K1163">
            <v>4659</v>
          </cell>
          <cell r="L1163">
            <v>46014</v>
          </cell>
          <cell r="M1163" t="str">
            <v>4-检验完成</v>
          </cell>
        </row>
        <row r="1163">
          <cell r="O1163">
            <v>0</v>
          </cell>
          <cell r="P1163" t="str">
            <v>中国运载火箭技术研究院</v>
          </cell>
          <cell r="Q1163" t="str">
            <v>230</v>
          </cell>
          <cell r="R1163">
            <v>46015</v>
          </cell>
        </row>
        <row r="1163">
          <cell r="U1163" t="str">
            <v>010000796036</v>
          </cell>
          <cell r="V1163" t="str">
            <v>BIAOQIAN4</v>
          </cell>
          <cell r="W1163" t="str">
            <v/>
          </cell>
          <cell r="X1163" t="str">
            <v>CP-108-A</v>
          </cell>
          <cell r="Y1163" t="str">
            <v/>
          </cell>
          <cell r="Z1163" t="str">
            <v>1901</v>
          </cell>
          <cell r="AA1163" t="str">
            <v>1100143219</v>
          </cell>
          <cell r="AB1163">
            <v>92500</v>
          </cell>
          <cell r="AC1163" t="str">
            <v/>
          </cell>
          <cell r="AD1163">
            <v>5</v>
          </cell>
          <cell r="AE1163" t="str">
            <v>G-100001932-250311-0260</v>
          </cell>
        </row>
        <row r="1164">
          <cell r="B1164" t="str">
            <v>7101052976</v>
          </cell>
          <cell r="C1164" t="str">
            <v>G2503-1380</v>
          </cell>
          <cell r="D1164" t="str">
            <v>000042944999008132</v>
          </cell>
          <cell r="E1164" t="str">
            <v>钉套</v>
          </cell>
          <cell r="F1164" t="str">
            <v>QJ2996.2A(2)-2004</v>
          </cell>
          <cell r="G1164" t="str">
            <v>4</v>
          </cell>
          <cell r="H1164" t="str">
            <v/>
          </cell>
          <cell r="I1164" t="str">
            <v>蓝色阳极化+十六醇</v>
          </cell>
          <cell r="J1164" t="str">
            <v>TA1</v>
          </cell>
          <cell r="K1164">
            <v>4525</v>
          </cell>
          <cell r="L1164">
            <v>46012</v>
          </cell>
          <cell r="M1164" t="str">
            <v>4-检验完成</v>
          </cell>
        </row>
        <row r="1164">
          <cell r="O1164">
            <v>0</v>
          </cell>
          <cell r="P1164" t="str">
            <v>中国运载火箭技术研究院</v>
          </cell>
          <cell r="Q1164" t="str">
            <v>230</v>
          </cell>
          <cell r="R1164">
            <v>46016</v>
          </cell>
        </row>
        <row r="1164">
          <cell r="U1164" t="str">
            <v>010000796039</v>
          </cell>
          <cell r="V1164" t="str">
            <v>BIAOQIAN2</v>
          </cell>
          <cell r="W1164" t="str">
            <v/>
          </cell>
          <cell r="X1164" t="str">
            <v>CP-108-A</v>
          </cell>
          <cell r="Y1164" t="str">
            <v/>
          </cell>
          <cell r="Z1164" t="str">
            <v>1901</v>
          </cell>
          <cell r="AA1164" t="str">
            <v>1100143219</v>
          </cell>
          <cell r="AB1164">
            <v>92500</v>
          </cell>
          <cell r="AC1164" t="str">
            <v/>
          </cell>
          <cell r="AD1164">
            <v>5</v>
          </cell>
          <cell r="AE1164" t="str">
            <v>G-100001932-250311-0260</v>
          </cell>
        </row>
        <row r="1165">
          <cell r="B1165" t="str">
            <v>7101051356</v>
          </cell>
          <cell r="C1165" t="str">
            <v>G2503-1376</v>
          </cell>
          <cell r="D1165" t="str">
            <v>000042944999008132</v>
          </cell>
          <cell r="E1165" t="str">
            <v>钉套</v>
          </cell>
          <cell r="F1165" t="str">
            <v>QJ2996.2A(2)-2004</v>
          </cell>
          <cell r="G1165" t="str">
            <v>4</v>
          </cell>
          <cell r="H1165" t="str">
            <v/>
          </cell>
          <cell r="I1165" t="str">
            <v>蓝色阳极化+十六醇</v>
          </cell>
          <cell r="J1165" t="str">
            <v>TA1</v>
          </cell>
          <cell r="K1165">
            <v>4710</v>
          </cell>
          <cell r="L1165">
            <v>46009</v>
          </cell>
          <cell r="M1165" t="str">
            <v>4-检验完成</v>
          </cell>
        </row>
        <row r="1165">
          <cell r="O1165">
            <v>0</v>
          </cell>
          <cell r="P1165" t="str">
            <v>中国运载火箭技术研究院</v>
          </cell>
          <cell r="Q1165" t="str">
            <v>230</v>
          </cell>
          <cell r="R1165">
            <v>46010</v>
          </cell>
        </row>
        <row r="1165">
          <cell r="U1165" t="str">
            <v>010000796035</v>
          </cell>
          <cell r="V1165" t="str">
            <v>BIAOQIAN1</v>
          </cell>
          <cell r="W1165" t="str">
            <v/>
          </cell>
          <cell r="X1165" t="str">
            <v>CP-108-A</v>
          </cell>
          <cell r="Y1165" t="str">
            <v/>
          </cell>
          <cell r="Z1165" t="str">
            <v>1901</v>
          </cell>
          <cell r="AA1165" t="str">
            <v>1100143219</v>
          </cell>
          <cell r="AB1165">
            <v>92500</v>
          </cell>
          <cell r="AC1165" t="str">
            <v/>
          </cell>
          <cell r="AD1165">
            <v>5</v>
          </cell>
          <cell r="AE1165" t="str">
            <v>G-100001932-250311-0260</v>
          </cell>
        </row>
        <row r="1166">
          <cell r="B1166" t="str">
            <v>7101051182</v>
          </cell>
          <cell r="C1166" t="str">
            <v>G2503-1417</v>
          </cell>
          <cell r="D1166" t="str">
            <v>000042944999008088</v>
          </cell>
          <cell r="E1166" t="str">
            <v>钉杆</v>
          </cell>
          <cell r="F1166" t="str">
            <v>QJ2996.2A(1)-2004</v>
          </cell>
          <cell r="G1166" t="str">
            <v>4×10</v>
          </cell>
          <cell r="H1166" t="str">
            <v/>
          </cell>
          <cell r="I1166" t="str">
            <v>蓝色阳极化</v>
          </cell>
          <cell r="J1166" t="str">
            <v>TC4</v>
          </cell>
          <cell r="K1166">
            <v>5050</v>
          </cell>
          <cell r="L1166">
            <v>46008</v>
          </cell>
          <cell r="M1166" t="str">
            <v>4-检验完成</v>
          </cell>
        </row>
        <row r="1166">
          <cell r="O1166">
            <v>0</v>
          </cell>
          <cell r="P1166" t="str">
            <v>中国运载火箭技术研究院</v>
          </cell>
          <cell r="Q1166" t="str">
            <v>110</v>
          </cell>
          <cell r="R1166">
            <v>46013</v>
          </cell>
        </row>
        <row r="1166">
          <cell r="U1166" t="str">
            <v>010000796299</v>
          </cell>
          <cell r="V1166" t="str">
            <v>BIAOQIAN4</v>
          </cell>
          <cell r="W1166" t="str">
            <v/>
          </cell>
          <cell r="X1166" t="str">
            <v>CP-108-A</v>
          </cell>
          <cell r="Y1166" t="str">
            <v/>
          </cell>
          <cell r="Z1166" t="str">
            <v>1901</v>
          </cell>
          <cell r="AA1166" t="str">
            <v>1100143219</v>
          </cell>
          <cell r="AB1166">
            <v>20010</v>
          </cell>
          <cell r="AC1166" t="str">
            <v/>
          </cell>
          <cell r="AD1166">
            <v>41.5</v>
          </cell>
          <cell r="AE1166" t="str">
            <v>G-100001932-250311-0260</v>
          </cell>
        </row>
        <row r="1167">
          <cell r="B1167" t="str">
            <v>7101051180</v>
          </cell>
          <cell r="C1167" t="str">
            <v>G2503-2037</v>
          </cell>
          <cell r="D1167" t="str">
            <v>000042944201014079</v>
          </cell>
          <cell r="E1167" t="str">
            <v>高温合金GH4738六角头螺栓</v>
          </cell>
          <cell r="F1167" t="str">
            <v>Q/DY1330-2013</v>
          </cell>
          <cell r="G1167" t="str">
            <v>M4×12</v>
          </cell>
          <cell r="H1167" t="str">
            <v>σb≥1210MPa</v>
          </cell>
          <cell r="I1167" t="str">
            <v>Ct·P</v>
          </cell>
          <cell r="J1167" t="str">
            <v>GH738</v>
          </cell>
          <cell r="K1167">
            <v>1290</v>
          </cell>
          <cell r="L1167">
            <v>46008</v>
          </cell>
          <cell r="M1167" t="str">
            <v>4-检验完成</v>
          </cell>
        </row>
        <row r="1167">
          <cell r="O1167">
            <v>0</v>
          </cell>
          <cell r="P1167" t="str">
            <v>中国运载火箭技术研究院</v>
          </cell>
          <cell r="Q1167" t="str">
            <v>70</v>
          </cell>
          <cell r="R1167">
            <v>46009</v>
          </cell>
        </row>
        <row r="1167">
          <cell r="U1167" t="str">
            <v>010000799326</v>
          </cell>
          <cell r="V1167" t="str">
            <v>BIAOQIAN4</v>
          </cell>
          <cell r="W1167" t="str">
            <v/>
          </cell>
          <cell r="X1167" t="str">
            <v>CP-108-A</v>
          </cell>
          <cell r="Y1167" t="str">
            <v/>
          </cell>
          <cell r="Z1167" t="str">
            <v>1901</v>
          </cell>
          <cell r="AA1167" t="str">
            <v>1100143661</v>
          </cell>
          <cell r="AB1167">
            <v>1290</v>
          </cell>
          <cell r="AC1167" t="str">
            <v/>
          </cell>
          <cell r="AD1167">
            <v>128</v>
          </cell>
          <cell r="AE1167" t="str">
            <v>G-100001932-250317-0286</v>
          </cell>
        </row>
        <row r="1168">
          <cell r="B1168" t="str">
            <v>7101051029</v>
          </cell>
          <cell r="C1168" t="str">
            <v>G2503-1306</v>
          </cell>
          <cell r="D1168" t="str">
            <v>000042944999008091</v>
          </cell>
          <cell r="E1168" t="str">
            <v>钉杆</v>
          </cell>
          <cell r="F1168" t="str">
            <v>QJ2996.2A(1)-2004</v>
          </cell>
          <cell r="G1168" t="str">
            <v>4×13</v>
          </cell>
          <cell r="H1168" t="str">
            <v/>
          </cell>
          <cell r="I1168" t="str">
            <v>蓝色阳极化</v>
          </cell>
          <cell r="J1168" t="str">
            <v>TC4</v>
          </cell>
          <cell r="K1168">
            <v>4069</v>
          </cell>
          <cell r="L1168">
            <v>46008</v>
          </cell>
          <cell r="M1168" t="str">
            <v>4-检验完成</v>
          </cell>
        </row>
        <row r="1168">
          <cell r="O1168">
            <v>0</v>
          </cell>
          <cell r="P1168" t="str">
            <v>中国运载火箭技术研究院</v>
          </cell>
          <cell r="Q1168" t="str">
            <v>130</v>
          </cell>
          <cell r="R1168">
            <v>46009</v>
          </cell>
        </row>
        <row r="1168">
          <cell r="U1168" t="str">
            <v>010000796021</v>
          </cell>
          <cell r="V1168" t="str">
            <v>BIAOQIAN1</v>
          </cell>
          <cell r="W1168" t="str">
            <v/>
          </cell>
          <cell r="X1168" t="str">
            <v>CP-108-A</v>
          </cell>
          <cell r="Y1168" t="str">
            <v/>
          </cell>
          <cell r="Z1168" t="str">
            <v>1901</v>
          </cell>
          <cell r="AA1168" t="str">
            <v>1100143219</v>
          </cell>
          <cell r="AB1168">
            <v>8350</v>
          </cell>
          <cell r="AC1168" t="str">
            <v/>
          </cell>
          <cell r="AD1168">
            <v>41.5</v>
          </cell>
          <cell r="AE1168" t="str">
            <v>G-100001932-250311-0260</v>
          </cell>
        </row>
        <row r="1169">
          <cell r="B1169" t="str">
            <v>7101049090</v>
          </cell>
          <cell r="C1169" t="str">
            <v>G2503-1372</v>
          </cell>
          <cell r="D1169" t="str">
            <v>000042944999008132</v>
          </cell>
          <cell r="E1169" t="str">
            <v>钉套</v>
          </cell>
          <cell r="F1169" t="str">
            <v>QJ2996.2A(2)-2004</v>
          </cell>
          <cell r="G1169" t="str">
            <v>4</v>
          </cell>
          <cell r="H1169" t="str">
            <v/>
          </cell>
          <cell r="I1169" t="str">
            <v>蓝色阳极化+十六醇</v>
          </cell>
          <cell r="J1169" t="str">
            <v>TA1</v>
          </cell>
          <cell r="K1169">
            <v>4685</v>
          </cell>
          <cell r="L1169">
            <v>46002</v>
          </cell>
          <cell r="M1169" t="str">
            <v>4-检验完成</v>
          </cell>
        </row>
        <row r="1169">
          <cell r="O1169">
            <v>0</v>
          </cell>
          <cell r="P1169" t="str">
            <v>中国运载火箭技术研究院</v>
          </cell>
          <cell r="Q1169" t="str">
            <v>230</v>
          </cell>
          <cell r="R1169">
            <v>46003</v>
          </cell>
        </row>
        <row r="1169">
          <cell r="U1169" t="str">
            <v>010000796031</v>
          </cell>
          <cell r="V1169" t="str">
            <v>BIAOQIAN1</v>
          </cell>
          <cell r="W1169" t="str">
            <v/>
          </cell>
          <cell r="X1169" t="str">
            <v>CP-108-A</v>
          </cell>
          <cell r="Y1169" t="str">
            <v/>
          </cell>
          <cell r="Z1169" t="str">
            <v>1901</v>
          </cell>
          <cell r="AA1169" t="str">
            <v>1100143219</v>
          </cell>
          <cell r="AB1169">
            <v>92500</v>
          </cell>
          <cell r="AC1169" t="str">
            <v/>
          </cell>
          <cell r="AD1169">
            <v>5</v>
          </cell>
          <cell r="AE1169" t="str">
            <v>G-100001932-250311-0260</v>
          </cell>
        </row>
        <row r="1170">
          <cell r="B1170" t="str">
            <v>7101048873</v>
          </cell>
          <cell r="C1170" t="str">
            <v>G2503-2792</v>
          </cell>
          <cell r="D1170" t="str">
            <v>000042944201014083</v>
          </cell>
          <cell r="E1170" t="str">
            <v>高温合金GH4738六角头螺栓</v>
          </cell>
          <cell r="F1170" t="str">
            <v>Q/DY1330-2013</v>
          </cell>
          <cell r="G1170" t="str">
            <v>M5×12</v>
          </cell>
          <cell r="H1170" t="str">
            <v>σb≥1210MPa</v>
          </cell>
          <cell r="I1170" t="str">
            <v>Ct·P</v>
          </cell>
          <cell r="J1170" t="str">
            <v>GH4738</v>
          </cell>
          <cell r="K1170">
            <v>929</v>
          </cell>
          <cell r="L1170">
            <v>46001</v>
          </cell>
          <cell r="M1170" t="str">
            <v>4-检验完成</v>
          </cell>
        </row>
        <row r="1170">
          <cell r="O1170">
            <v>0</v>
          </cell>
          <cell r="P1170" t="str">
            <v>中国运载火箭技术研究院</v>
          </cell>
          <cell r="Q1170" t="str">
            <v>90</v>
          </cell>
          <cell r="R1170">
            <v>46002</v>
          </cell>
        </row>
        <row r="1170">
          <cell r="U1170" t="str">
            <v>010000802299</v>
          </cell>
          <cell r="V1170" t="str">
            <v>BIAOQIAN4</v>
          </cell>
          <cell r="W1170" t="str">
            <v/>
          </cell>
          <cell r="X1170" t="str">
            <v>CP-108-A</v>
          </cell>
          <cell r="Y1170" t="str">
            <v/>
          </cell>
          <cell r="Z1170" t="str">
            <v>1901</v>
          </cell>
          <cell r="AA1170" t="str">
            <v>1100143661</v>
          </cell>
          <cell r="AB1170">
            <v>1770</v>
          </cell>
          <cell r="AC1170" t="str">
            <v/>
          </cell>
          <cell r="AD1170">
            <v>136</v>
          </cell>
          <cell r="AE1170" t="str">
            <v>G-100001932-250317-0286</v>
          </cell>
        </row>
        <row r="1171">
          <cell r="B1171" t="str">
            <v>7101048017</v>
          </cell>
          <cell r="C1171" t="str">
            <v>G2503-1374</v>
          </cell>
          <cell r="D1171" t="str">
            <v>000042944999008132</v>
          </cell>
          <cell r="E1171" t="str">
            <v>钉套</v>
          </cell>
          <cell r="F1171" t="str">
            <v>QJ2996.2A(2)-2004</v>
          </cell>
          <cell r="G1171" t="str">
            <v>4</v>
          </cell>
          <cell r="H1171" t="str">
            <v/>
          </cell>
          <cell r="I1171" t="str">
            <v>蓝色阳极化+十六醇</v>
          </cell>
          <cell r="J1171" t="str">
            <v>TA1</v>
          </cell>
          <cell r="K1171">
            <v>4706</v>
          </cell>
          <cell r="L1171">
            <v>45999</v>
          </cell>
          <cell r="M1171" t="str">
            <v>4-检验完成</v>
          </cell>
        </row>
        <row r="1171">
          <cell r="O1171">
            <v>0</v>
          </cell>
          <cell r="P1171" t="str">
            <v>中国运载火箭技术研究院</v>
          </cell>
          <cell r="Q1171" t="str">
            <v>230</v>
          </cell>
          <cell r="R1171">
            <v>46001</v>
          </cell>
        </row>
        <row r="1171">
          <cell r="U1171" t="str">
            <v>010000796033</v>
          </cell>
          <cell r="V1171" t="str">
            <v>BIAOQIAN1</v>
          </cell>
          <cell r="W1171" t="str">
            <v/>
          </cell>
          <cell r="X1171" t="str">
            <v>CP-108-A</v>
          </cell>
          <cell r="Y1171" t="str">
            <v/>
          </cell>
          <cell r="Z1171" t="str">
            <v>1901</v>
          </cell>
          <cell r="AA1171" t="str">
            <v>1100143219</v>
          </cell>
          <cell r="AB1171">
            <v>92500</v>
          </cell>
          <cell r="AC1171" t="str">
            <v/>
          </cell>
          <cell r="AD1171">
            <v>5</v>
          </cell>
          <cell r="AE1171" t="str">
            <v>G-100001932-250311-0260</v>
          </cell>
        </row>
        <row r="1172">
          <cell r="B1172" t="str">
            <v>7101046549</v>
          </cell>
          <cell r="C1172" t="str">
            <v>GW2510-148</v>
          </cell>
          <cell r="D1172" t="str">
            <v>000042944041002017</v>
          </cell>
          <cell r="E1172" t="str">
            <v>内六角圆柱头螺钉</v>
          </cell>
          <cell r="F1172" t="str">
            <v>GB/T70.1-2008</v>
          </cell>
          <cell r="G1172" t="str">
            <v>M4×8</v>
          </cell>
          <cell r="H1172" t="str">
            <v>A2-70</v>
          </cell>
          <cell r="I1172" t="str">
            <v>ECP</v>
          </cell>
          <cell r="J1172" t="str">
            <v>ML1Cr18Ni9Ti</v>
          </cell>
          <cell r="K1172">
            <v>50</v>
          </cell>
          <cell r="L1172">
            <v>45995</v>
          </cell>
          <cell r="M1172" t="str">
            <v>4-检验完成</v>
          </cell>
        </row>
        <row r="1172">
          <cell r="O1172">
            <v>0</v>
          </cell>
          <cell r="P1172" t="str">
            <v>中国运载火箭技术研究院</v>
          </cell>
          <cell r="Q1172" t="str">
            <v>10</v>
          </cell>
          <cell r="R1172">
            <v>45999</v>
          </cell>
        </row>
        <row r="1172">
          <cell r="U1172" t="str">
            <v/>
          </cell>
          <cell r="V1172" t="str">
            <v>BIAOQIAN2</v>
          </cell>
          <cell r="W1172" t="str">
            <v/>
          </cell>
          <cell r="X1172" t="str">
            <v>XH-000</v>
          </cell>
          <cell r="Y1172" t="str">
            <v/>
          </cell>
          <cell r="Z1172" t="str">
            <v>1901</v>
          </cell>
          <cell r="AA1172" t="str">
            <v>1100153000</v>
          </cell>
          <cell r="AB1172">
            <v>50</v>
          </cell>
          <cell r="AC1172" t="str">
            <v/>
          </cell>
          <cell r="AD1172">
            <v>3.12</v>
          </cell>
          <cell r="AE1172" t="str">
            <v>G-100001932-250916-0998-1-H</v>
          </cell>
        </row>
        <row r="1173">
          <cell r="B1173" t="str">
            <v>7101044729</v>
          </cell>
          <cell r="C1173" t="str">
            <v>G2504-3505</v>
          </cell>
          <cell r="D1173" t="str">
            <v>000042944999008090</v>
          </cell>
          <cell r="E1173" t="str">
            <v>钉杆</v>
          </cell>
          <cell r="F1173" t="str">
            <v>QJ2996.2A(1)-2004</v>
          </cell>
          <cell r="G1173" t="str">
            <v>4×12</v>
          </cell>
          <cell r="H1173" t="str">
            <v/>
          </cell>
          <cell r="I1173" t="str">
            <v>蓝色阳极化</v>
          </cell>
          <cell r="J1173" t="str">
            <v>TC4</v>
          </cell>
          <cell r="K1173">
            <v>7290</v>
          </cell>
          <cell r="L1173">
            <v>45992</v>
          </cell>
          <cell r="M1173" t="str">
            <v>4-检验完成</v>
          </cell>
        </row>
        <row r="1173">
          <cell r="O1173">
            <v>0</v>
          </cell>
          <cell r="P1173" t="str">
            <v>中国运载火箭技术研究院</v>
          </cell>
          <cell r="Q1173" t="str">
            <v>40</v>
          </cell>
          <cell r="R1173">
            <v>45994</v>
          </cell>
        </row>
        <row r="1173">
          <cell r="U1173" t="str">
            <v>010000813828</v>
          </cell>
          <cell r="V1173" t="str">
            <v>BIAOQIAN4</v>
          </cell>
          <cell r="W1173" t="str">
            <v/>
          </cell>
          <cell r="X1173" t="str">
            <v>CP-108-A</v>
          </cell>
          <cell r="Y1173" t="str">
            <v/>
          </cell>
          <cell r="Z1173" t="str">
            <v>1901</v>
          </cell>
          <cell r="AA1173" t="str">
            <v>1100145339</v>
          </cell>
          <cell r="AB1173">
            <v>7290</v>
          </cell>
          <cell r="AC1173" t="str">
            <v/>
          </cell>
          <cell r="AD1173">
            <v>41.5</v>
          </cell>
          <cell r="AE1173" t="str">
            <v>G-100001932-250415-0411</v>
          </cell>
        </row>
        <row r="1174">
          <cell r="B1174" t="str">
            <v>7101044460</v>
          </cell>
          <cell r="C1174" t="str">
            <v>G2503-1375</v>
          </cell>
          <cell r="D1174" t="str">
            <v>000042944999008132</v>
          </cell>
          <cell r="E1174" t="str">
            <v>钉套</v>
          </cell>
          <cell r="F1174" t="str">
            <v>QJ2996.2A(2)-2004</v>
          </cell>
          <cell r="G1174" t="str">
            <v>4</v>
          </cell>
          <cell r="H1174" t="str">
            <v/>
          </cell>
          <cell r="I1174" t="str">
            <v>蓝色阳极化+十六醇</v>
          </cell>
          <cell r="J1174" t="str">
            <v>TA1</v>
          </cell>
          <cell r="K1174">
            <v>4665</v>
          </cell>
          <cell r="L1174">
            <v>45992</v>
          </cell>
          <cell r="M1174" t="str">
            <v>4-检验完成</v>
          </cell>
        </row>
        <row r="1174">
          <cell r="O1174">
            <v>0</v>
          </cell>
          <cell r="P1174" t="str">
            <v>中国运载火箭技术研究院</v>
          </cell>
          <cell r="Q1174" t="str">
            <v>230</v>
          </cell>
          <cell r="R1174">
            <v>45993</v>
          </cell>
        </row>
        <row r="1174">
          <cell r="U1174" t="str">
            <v>010000796034</v>
          </cell>
          <cell r="V1174" t="str">
            <v>BIAOQIAN4</v>
          </cell>
          <cell r="W1174" t="str">
            <v/>
          </cell>
          <cell r="X1174" t="str">
            <v>CP-108-A</v>
          </cell>
          <cell r="Y1174" t="str">
            <v/>
          </cell>
          <cell r="Z1174" t="str">
            <v>1901</v>
          </cell>
          <cell r="AA1174" t="str">
            <v>1100143219</v>
          </cell>
          <cell r="AB1174">
            <v>92500</v>
          </cell>
          <cell r="AC1174" t="str">
            <v/>
          </cell>
          <cell r="AD1174">
            <v>5</v>
          </cell>
          <cell r="AE1174" t="str">
            <v>G-100001932-250311-0260</v>
          </cell>
        </row>
        <row r="1175">
          <cell r="B1175" t="str">
            <v>7101037196</v>
          </cell>
          <cell r="C1175" t="str">
            <v>G2503-1368</v>
          </cell>
          <cell r="D1175" t="str">
            <v>000042944999008132</v>
          </cell>
          <cell r="E1175" t="str">
            <v>钉套</v>
          </cell>
          <cell r="F1175" t="str">
            <v>QJ2996.2A(2)-2004</v>
          </cell>
          <cell r="G1175" t="str">
            <v>4</v>
          </cell>
          <cell r="H1175" t="str">
            <v/>
          </cell>
          <cell r="I1175" t="str">
            <v>蓝色阳极化+十六醇</v>
          </cell>
          <cell r="J1175" t="str">
            <v>TA1</v>
          </cell>
          <cell r="K1175">
            <v>4686</v>
          </cell>
          <cell r="L1175">
            <v>45979</v>
          </cell>
          <cell r="M1175" t="str">
            <v>4-检验完成</v>
          </cell>
        </row>
        <row r="1175">
          <cell r="O1175">
            <v>0</v>
          </cell>
          <cell r="P1175" t="str">
            <v>中国运载火箭技术研究院</v>
          </cell>
          <cell r="Q1175" t="str">
            <v>230</v>
          </cell>
          <cell r="R1175">
            <v>45980</v>
          </cell>
        </row>
        <row r="1175">
          <cell r="U1175" t="str">
            <v>010000796027</v>
          </cell>
          <cell r="V1175" t="str">
            <v>BIAOQIAN1</v>
          </cell>
          <cell r="W1175" t="str">
            <v/>
          </cell>
          <cell r="X1175" t="str">
            <v>CP-108-A</v>
          </cell>
          <cell r="Y1175" t="str">
            <v/>
          </cell>
          <cell r="Z1175" t="str">
            <v>1901</v>
          </cell>
          <cell r="AA1175" t="str">
            <v>1100143219</v>
          </cell>
          <cell r="AB1175">
            <v>92500</v>
          </cell>
          <cell r="AC1175" t="str">
            <v/>
          </cell>
          <cell r="AD1175">
            <v>5</v>
          </cell>
          <cell r="AE1175" t="str">
            <v>G-100001932-250311-0260</v>
          </cell>
        </row>
        <row r="1176">
          <cell r="B1176" t="str">
            <v>7101030091</v>
          </cell>
          <cell r="C1176" t="str">
            <v>G2112-0551</v>
          </cell>
          <cell r="D1176" t="str">
            <v>000042944320011835</v>
          </cell>
          <cell r="E1176" t="str">
            <v>100°沉头钛铌铆钉</v>
          </cell>
          <cell r="F1176" t="str">
            <v>Q/DY974.2-2010</v>
          </cell>
          <cell r="G1176" t="str">
            <v>3×15</v>
          </cell>
          <cell r="H1176" t="str">
            <v/>
          </cell>
          <cell r="I1176" t="str">
            <v>蓝色阳极氧化</v>
          </cell>
          <cell r="J1176" t="str">
            <v>Ti45Nb(退火)</v>
          </cell>
          <cell r="K1176">
            <v>16</v>
          </cell>
          <cell r="L1176">
            <v>45961</v>
          </cell>
          <cell r="M1176" t="str">
            <v>4-检验完成</v>
          </cell>
        </row>
        <row r="1176">
          <cell r="O1176">
            <v>0</v>
          </cell>
          <cell r="P1176" t="str">
            <v>中国运载火箭技术研究院</v>
          </cell>
          <cell r="Q1176" t="str">
            <v>10</v>
          </cell>
          <cell r="R1176">
            <v>45967</v>
          </cell>
        </row>
        <row r="1176">
          <cell r="U1176" t="str">
            <v>010000442883</v>
          </cell>
          <cell r="V1176" t="str">
            <v>BIAOQIAN3</v>
          </cell>
          <cell r="W1176" t="str">
            <v/>
          </cell>
          <cell r="X1176" t="str">
            <v>CP-7-2-1-3</v>
          </cell>
          <cell r="Y1176" t="str">
            <v/>
          </cell>
          <cell r="Z1176" t="str">
            <v>1901</v>
          </cell>
          <cell r="AA1176" t="str">
            <v>1400005105</v>
          </cell>
          <cell r="AB1176">
            <v>66</v>
          </cell>
          <cell r="AC1176" t="str">
            <v/>
          </cell>
          <cell r="AD1176">
            <v>0</v>
          </cell>
          <cell r="AE1176" t="str">
            <v>G-100001932-250912-0976</v>
          </cell>
        </row>
        <row r="1177">
          <cell r="B1177" t="str">
            <v>7101030076</v>
          </cell>
          <cell r="C1177" t="str">
            <v>G2503-1369</v>
          </cell>
          <cell r="D1177" t="str">
            <v>000042944999008132</v>
          </cell>
          <cell r="E1177" t="str">
            <v>钉套</v>
          </cell>
          <cell r="F1177" t="str">
            <v>QJ2996.2A(2)-2004</v>
          </cell>
          <cell r="G1177" t="str">
            <v>4</v>
          </cell>
          <cell r="H1177" t="str">
            <v/>
          </cell>
          <cell r="I1177" t="str">
            <v>蓝色阳极化+十六醇</v>
          </cell>
          <cell r="J1177" t="str">
            <v>TA1</v>
          </cell>
          <cell r="K1177">
            <v>4656</v>
          </cell>
          <cell r="L1177">
            <v>45961</v>
          </cell>
          <cell r="M1177" t="str">
            <v>4-检验完成</v>
          </cell>
        </row>
        <row r="1177">
          <cell r="O1177">
            <v>0</v>
          </cell>
          <cell r="P1177" t="str">
            <v>中国运载火箭技术研究院</v>
          </cell>
          <cell r="Q1177" t="str">
            <v>230</v>
          </cell>
          <cell r="R1177">
            <v>45964</v>
          </cell>
        </row>
        <row r="1177">
          <cell r="U1177" t="str">
            <v>010000796028</v>
          </cell>
          <cell r="V1177" t="str">
            <v>BIAOQIAN4</v>
          </cell>
          <cell r="W1177" t="str">
            <v/>
          </cell>
          <cell r="X1177" t="str">
            <v>CP-108-A</v>
          </cell>
          <cell r="Y1177" t="str">
            <v/>
          </cell>
          <cell r="Z1177" t="str">
            <v>1901</v>
          </cell>
          <cell r="AA1177" t="str">
            <v>1100143219</v>
          </cell>
          <cell r="AB1177">
            <v>92500</v>
          </cell>
          <cell r="AC1177" t="str">
            <v/>
          </cell>
          <cell r="AD1177">
            <v>5</v>
          </cell>
          <cell r="AE1177" t="str">
            <v>G-100001932-250311-0260</v>
          </cell>
        </row>
        <row r="1178">
          <cell r="B1178" t="str">
            <v>7101029954</v>
          </cell>
          <cell r="C1178" t="str">
            <v>G2503-1367</v>
          </cell>
          <cell r="D1178" t="str">
            <v>000042944999008132</v>
          </cell>
          <cell r="E1178" t="str">
            <v>钉套</v>
          </cell>
          <cell r="F1178" t="str">
            <v>QJ2996.2A(2)-2004</v>
          </cell>
          <cell r="G1178" t="str">
            <v>4</v>
          </cell>
          <cell r="H1178" t="str">
            <v/>
          </cell>
          <cell r="I1178" t="str">
            <v>蓝色阳极化+十六醇</v>
          </cell>
          <cell r="J1178" t="str">
            <v>TA1</v>
          </cell>
          <cell r="K1178">
            <v>4480</v>
          </cell>
          <cell r="L1178">
            <v>45961</v>
          </cell>
          <cell r="M1178" t="str">
            <v>4-检验完成</v>
          </cell>
        </row>
        <row r="1178">
          <cell r="O1178">
            <v>0</v>
          </cell>
          <cell r="P1178" t="str">
            <v>中国运载火箭技术研究院</v>
          </cell>
          <cell r="Q1178" t="str">
            <v>230</v>
          </cell>
          <cell r="R1178">
            <v>45961</v>
          </cell>
        </row>
        <row r="1178">
          <cell r="U1178" t="str">
            <v>010000796026</v>
          </cell>
          <cell r="V1178" t="str">
            <v>BIAOQIAN4</v>
          </cell>
          <cell r="W1178" t="str">
            <v/>
          </cell>
          <cell r="X1178" t="str">
            <v>CP-108-A</v>
          </cell>
          <cell r="Y1178" t="str">
            <v/>
          </cell>
          <cell r="Z1178" t="str">
            <v>1901</v>
          </cell>
          <cell r="AA1178" t="str">
            <v>1100143219</v>
          </cell>
          <cell r="AB1178">
            <v>92500</v>
          </cell>
          <cell r="AC1178" t="str">
            <v/>
          </cell>
          <cell r="AD1178">
            <v>5</v>
          </cell>
          <cell r="AE1178" t="str">
            <v>G-100001932-250311-0260</v>
          </cell>
        </row>
        <row r="1179">
          <cell r="B1179" t="str">
            <v>7101027126</v>
          </cell>
          <cell r="C1179" t="str">
            <v>G2503-1365</v>
          </cell>
          <cell r="D1179" t="str">
            <v>000042944999008132</v>
          </cell>
          <cell r="E1179" t="str">
            <v>钉套</v>
          </cell>
          <cell r="F1179" t="str">
            <v>QJ2996.2A(2)-2004</v>
          </cell>
          <cell r="G1179" t="str">
            <v>4</v>
          </cell>
          <cell r="H1179" t="str">
            <v/>
          </cell>
          <cell r="I1179" t="str">
            <v>蓝色阳极化+十六醇</v>
          </cell>
          <cell r="J1179" t="str">
            <v>TA1</v>
          </cell>
          <cell r="K1179">
            <v>4872</v>
          </cell>
          <cell r="L1179">
            <v>45955</v>
          </cell>
          <cell r="M1179" t="str">
            <v>4-检验完成</v>
          </cell>
        </row>
        <row r="1179">
          <cell r="O1179">
            <v>0</v>
          </cell>
          <cell r="P1179" t="str">
            <v>中国运载火箭技术研究院</v>
          </cell>
          <cell r="Q1179" t="str">
            <v>230</v>
          </cell>
          <cell r="R1179">
            <v>45959</v>
          </cell>
        </row>
        <row r="1179">
          <cell r="U1179" t="str">
            <v>010000796024</v>
          </cell>
          <cell r="V1179" t="str">
            <v>BIAOQIAN3</v>
          </cell>
          <cell r="W1179" t="str">
            <v/>
          </cell>
          <cell r="X1179" t="str">
            <v>CP-108-A</v>
          </cell>
          <cell r="Y1179" t="str">
            <v/>
          </cell>
          <cell r="Z1179" t="str">
            <v>1901</v>
          </cell>
          <cell r="AA1179" t="str">
            <v>1100143219</v>
          </cell>
          <cell r="AB1179">
            <v>92500</v>
          </cell>
          <cell r="AC1179" t="str">
            <v/>
          </cell>
          <cell r="AD1179">
            <v>5</v>
          </cell>
          <cell r="AE1179" t="str">
            <v>G-100001932-250311-0260</v>
          </cell>
        </row>
        <row r="1180">
          <cell r="B1180" t="str">
            <v>7101026945</v>
          </cell>
          <cell r="C1180" t="str">
            <v>G2503-1370</v>
          </cell>
          <cell r="D1180" t="str">
            <v>000042944999008132</v>
          </cell>
          <cell r="E1180" t="str">
            <v>钉套</v>
          </cell>
          <cell r="F1180" t="str">
            <v>QJ2996.2A(2)-2004</v>
          </cell>
          <cell r="G1180" t="str">
            <v>4</v>
          </cell>
          <cell r="H1180" t="str">
            <v/>
          </cell>
          <cell r="I1180" t="str">
            <v>蓝色阳极化+十六醇</v>
          </cell>
          <cell r="J1180" t="str">
            <v>TA1</v>
          </cell>
          <cell r="K1180">
            <v>4630</v>
          </cell>
          <cell r="L1180">
            <v>45954</v>
          </cell>
          <cell r="M1180" t="str">
            <v>4-检验完成</v>
          </cell>
        </row>
        <row r="1180">
          <cell r="O1180">
            <v>0</v>
          </cell>
          <cell r="P1180" t="str">
            <v>中国运载火箭技术研究院</v>
          </cell>
          <cell r="Q1180" t="str">
            <v>230</v>
          </cell>
          <cell r="R1180">
            <v>45955</v>
          </cell>
        </row>
        <row r="1180">
          <cell r="U1180" t="str">
            <v>010000796029</v>
          </cell>
          <cell r="V1180" t="str">
            <v>BIAOQIAN2</v>
          </cell>
          <cell r="W1180" t="str">
            <v/>
          </cell>
          <cell r="X1180" t="str">
            <v>CP-108-A</v>
          </cell>
          <cell r="Y1180" t="str">
            <v/>
          </cell>
          <cell r="Z1180" t="str">
            <v>1901</v>
          </cell>
          <cell r="AA1180" t="str">
            <v>1100143219</v>
          </cell>
          <cell r="AB1180">
            <v>92500</v>
          </cell>
          <cell r="AC1180" t="str">
            <v/>
          </cell>
          <cell r="AD1180">
            <v>5</v>
          </cell>
          <cell r="AE1180" t="str">
            <v>G-100001932-250311-0260</v>
          </cell>
        </row>
        <row r="1181">
          <cell r="B1181" t="str">
            <v>7101024848</v>
          </cell>
          <cell r="C1181" t="str">
            <v>G2503-1371</v>
          </cell>
          <cell r="D1181" t="str">
            <v>000042944999008132</v>
          </cell>
          <cell r="E1181" t="str">
            <v>钉套</v>
          </cell>
          <cell r="F1181" t="str">
            <v>QJ2996.2A(2)-2004</v>
          </cell>
          <cell r="G1181" t="str">
            <v>4</v>
          </cell>
          <cell r="H1181" t="str">
            <v/>
          </cell>
          <cell r="I1181" t="str">
            <v>蓝色阳极化+十六醇</v>
          </cell>
          <cell r="J1181" t="str">
            <v>TA1</v>
          </cell>
          <cell r="K1181">
            <v>4769</v>
          </cell>
          <cell r="L1181">
            <v>45951</v>
          </cell>
          <cell r="M1181" t="str">
            <v>4-检验完成</v>
          </cell>
        </row>
        <row r="1181">
          <cell r="O1181">
            <v>0</v>
          </cell>
          <cell r="P1181" t="str">
            <v>中国运载火箭技术研究院</v>
          </cell>
          <cell r="Q1181" t="str">
            <v>230</v>
          </cell>
          <cell r="R1181">
            <v>45952</v>
          </cell>
        </row>
        <row r="1181">
          <cell r="U1181" t="str">
            <v>010000796030</v>
          </cell>
          <cell r="V1181" t="str">
            <v>BIAOQIAN3</v>
          </cell>
          <cell r="W1181" t="str">
            <v/>
          </cell>
          <cell r="X1181" t="str">
            <v>CP-108-A</v>
          </cell>
          <cell r="Y1181" t="str">
            <v/>
          </cell>
          <cell r="Z1181" t="str">
            <v>1901</v>
          </cell>
          <cell r="AA1181" t="str">
            <v>1100143219</v>
          </cell>
          <cell r="AB1181">
            <v>92500</v>
          </cell>
          <cell r="AC1181" t="str">
            <v/>
          </cell>
          <cell r="AD1181">
            <v>5</v>
          </cell>
          <cell r="AE1181" t="str">
            <v>G-100001932-250311-0260</v>
          </cell>
        </row>
        <row r="1182">
          <cell r="B1182" t="str">
            <v>7101024256</v>
          </cell>
          <cell r="C1182" t="str">
            <v>G2503-1366</v>
          </cell>
          <cell r="D1182" t="str">
            <v>000042944999008132</v>
          </cell>
          <cell r="E1182" t="str">
            <v>钉套</v>
          </cell>
          <cell r="F1182" t="str">
            <v>QJ2996.2A(2)-2004</v>
          </cell>
          <cell r="G1182" t="str">
            <v>4</v>
          </cell>
          <cell r="H1182" t="str">
            <v/>
          </cell>
          <cell r="I1182" t="str">
            <v>蓝色阳极化+十六醇</v>
          </cell>
          <cell r="J1182" t="str">
            <v>TA1</v>
          </cell>
          <cell r="K1182">
            <v>4555</v>
          </cell>
          <cell r="L1182">
            <v>45950</v>
          </cell>
          <cell r="M1182" t="str">
            <v>4-检验完成</v>
          </cell>
        </row>
        <row r="1182">
          <cell r="O1182">
            <v>0</v>
          </cell>
          <cell r="P1182" t="str">
            <v>中国运载火箭技术研究院</v>
          </cell>
          <cell r="Q1182" t="str">
            <v>230</v>
          </cell>
          <cell r="R1182">
            <v>45952</v>
          </cell>
        </row>
        <row r="1182">
          <cell r="U1182" t="str">
            <v>010000796025</v>
          </cell>
          <cell r="V1182" t="str">
            <v>BIAOQIAN1</v>
          </cell>
          <cell r="W1182" t="str">
            <v/>
          </cell>
          <cell r="X1182" t="str">
            <v>CP-108-A</v>
          </cell>
          <cell r="Y1182" t="str">
            <v/>
          </cell>
          <cell r="Z1182" t="str">
            <v>1901</v>
          </cell>
          <cell r="AA1182" t="str">
            <v>1100143219</v>
          </cell>
          <cell r="AB1182">
            <v>92500</v>
          </cell>
          <cell r="AC1182" t="str">
            <v/>
          </cell>
          <cell r="AD1182">
            <v>5</v>
          </cell>
          <cell r="AE1182" t="str">
            <v>G-100001932-250311-0260</v>
          </cell>
        </row>
        <row r="1183">
          <cell r="B1183" t="str">
            <v>7101023161</v>
          </cell>
          <cell r="C1183" t="str">
            <v>G2503-1366</v>
          </cell>
          <cell r="D1183" t="str">
            <v>000042944999008132</v>
          </cell>
          <cell r="E1183" t="str">
            <v>钉套</v>
          </cell>
          <cell r="F1183" t="str">
            <v>QJ2996.2A(2)-2004</v>
          </cell>
          <cell r="G1183" t="str">
            <v>4</v>
          </cell>
          <cell r="H1183" t="str">
            <v/>
          </cell>
          <cell r="I1183" t="str">
            <v>蓝色阳极化+十六醇</v>
          </cell>
          <cell r="J1183" t="str">
            <v>TA1</v>
          </cell>
          <cell r="K1183">
            <v>91</v>
          </cell>
          <cell r="L1183">
            <v>45947</v>
          </cell>
          <cell r="M1183" t="str">
            <v>4-检验完成</v>
          </cell>
        </row>
        <row r="1183">
          <cell r="O1183">
            <v>0</v>
          </cell>
          <cell r="P1183" t="str">
            <v>中国运载火箭技术研究院</v>
          </cell>
          <cell r="Q1183" t="str">
            <v>60</v>
          </cell>
          <cell r="R1183">
            <v>45952</v>
          </cell>
        </row>
        <row r="1183">
          <cell r="U1183" t="str">
            <v>010000796025</v>
          </cell>
          <cell r="V1183" t="str">
            <v>BIAOQIAN1</v>
          </cell>
          <cell r="W1183" t="str">
            <v/>
          </cell>
          <cell r="X1183" t="str">
            <v>CP-108-A</v>
          </cell>
          <cell r="Y1183" t="str">
            <v/>
          </cell>
          <cell r="Z1183" t="str">
            <v>1901</v>
          </cell>
          <cell r="AA1183" t="str">
            <v>1100144081</v>
          </cell>
          <cell r="AB1183">
            <v>1775</v>
          </cell>
          <cell r="AC1183" t="str">
            <v/>
          </cell>
          <cell r="AD1183">
            <v>6</v>
          </cell>
          <cell r="AE1183" t="str">
            <v>G-100001932-250325-0323</v>
          </cell>
        </row>
        <row r="1184">
          <cell r="B1184" t="str">
            <v>7101010169</v>
          </cell>
          <cell r="C1184" t="str">
            <v>G2503-1384</v>
          </cell>
          <cell r="D1184" t="str">
            <v>000042944999008132</v>
          </cell>
          <cell r="E1184" t="str">
            <v>钉套</v>
          </cell>
          <cell r="F1184" t="str">
            <v>QJ2996.2A(2)-2004</v>
          </cell>
          <cell r="G1184" t="str">
            <v>4</v>
          </cell>
          <cell r="H1184" t="str">
            <v/>
          </cell>
          <cell r="I1184" t="str">
            <v>蓝色阳极化+十六醇</v>
          </cell>
          <cell r="J1184" t="str">
            <v>TA1</v>
          </cell>
          <cell r="K1184">
            <v>2340</v>
          </cell>
          <cell r="L1184">
            <v>45918</v>
          </cell>
          <cell r="M1184" t="str">
            <v>4-检验完成</v>
          </cell>
        </row>
        <row r="1184">
          <cell r="O1184">
            <v>0</v>
          </cell>
          <cell r="P1184" t="str">
            <v>中国运载火箭技术研究院</v>
          </cell>
          <cell r="Q1184" t="str">
            <v>230</v>
          </cell>
          <cell r="R1184">
            <v>45918</v>
          </cell>
        </row>
        <row r="1184">
          <cell r="U1184" t="str">
            <v>010000796044</v>
          </cell>
          <cell r="V1184" t="str">
            <v>PANQIFANG</v>
          </cell>
          <cell r="W1184" t="str">
            <v/>
          </cell>
          <cell r="X1184" t="str">
            <v>CP-108-A</v>
          </cell>
          <cell r="Y1184" t="str">
            <v/>
          </cell>
          <cell r="Z1184" t="str">
            <v>1901</v>
          </cell>
          <cell r="AA1184" t="str">
            <v>1100143219</v>
          </cell>
          <cell r="AB1184">
            <v>92500</v>
          </cell>
          <cell r="AC1184" t="str">
            <v/>
          </cell>
          <cell r="AD1184">
            <v>5</v>
          </cell>
          <cell r="AE1184" t="str">
            <v>G-100001932-250311-0260</v>
          </cell>
        </row>
        <row r="1185">
          <cell r="B1185" t="str">
            <v>7101003346</v>
          </cell>
          <cell r="C1185" t="str">
            <v>G2503-1383</v>
          </cell>
          <cell r="D1185" t="str">
            <v>000042944999008132</v>
          </cell>
          <cell r="E1185" t="str">
            <v>钉套</v>
          </cell>
          <cell r="F1185" t="str">
            <v>QJ2996.2A(2)-2004</v>
          </cell>
          <cell r="G1185" t="str">
            <v>4</v>
          </cell>
          <cell r="H1185" t="str">
            <v/>
          </cell>
          <cell r="I1185" t="str">
            <v>蓝色阳极化+十六醇</v>
          </cell>
          <cell r="J1185" t="str">
            <v>TA1</v>
          </cell>
          <cell r="K1185">
            <v>4575</v>
          </cell>
          <cell r="L1185">
            <v>45904</v>
          </cell>
          <cell r="M1185" t="str">
            <v>4-检验完成</v>
          </cell>
        </row>
        <row r="1185">
          <cell r="O1185">
            <v>0</v>
          </cell>
          <cell r="P1185" t="str">
            <v>中国运载火箭技术研究院</v>
          </cell>
          <cell r="Q1185" t="str">
            <v>230</v>
          </cell>
          <cell r="R1185">
            <v>45905</v>
          </cell>
        </row>
        <row r="1185">
          <cell r="U1185" t="str">
            <v>010000796043</v>
          </cell>
          <cell r="V1185" t="str">
            <v>PANQIFANG</v>
          </cell>
          <cell r="W1185" t="str">
            <v/>
          </cell>
          <cell r="X1185" t="str">
            <v>CP-108-A</v>
          </cell>
          <cell r="Y1185" t="str">
            <v/>
          </cell>
          <cell r="Z1185" t="str">
            <v>1901</v>
          </cell>
          <cell r="AA1185" t="str">
            <v>1100143219</v>
          </cell>
          <cell r="AB1185">
            <v>92500</v>
          </cell>
          <cell r="AC1185" t="str">
            <v/>
          </cell>
          <cell r="AD1185">
            <v>5</v>
          </cell>
          <cell r="AE1185" t="str">
            <v>G-100001932-250311-0260</v>
          </cell>
        </row>
        <row r="1186">
          <cell r="B1186" t="str">
            <v>7101002708</v>
          </cell>
          <cell r="C1186" t="str">
            <v>G2503-1613</v>
          </cell>
          <cell r="D1186" t="str">
            <v>000042944999008171</v>
          </cell>
          <cell r="E1186" t="str">
            <v>钉套</v>
          </cell>
          <cell r="F1186" t="str">
            <v>QJ2996.3A(2)-2004</v>
          </cell>
          <cell r="G1186" t="str">
            <v>5</v>
          </cell>
          <cell r="H1186" t="str">
            <v/>
          </cell>
          <cell r="I1186" t="str">
            <v>蓝色阳极化+十六醇</v>
          </cell>
          <cell r="J1186" t="str">
            <v>TA1</v>
          </cell>
          <cell r="K1186">
            <v>1600</v>
          </cell>
          <cell r="L1186">
            <v>45903</v>
          </cell>
          <cell r="M1186" t="str">
            <v>4-检验完成</v>
          </cell>
        </row>
        <row r="1186">
          <cell r="O1186">
            <v>0</v>
          </cell>
          <cell r="P1186" t="str">
            <v>中国运载火箭技术研究院</v>
          </cell>
          <cell r="Q1186" t="str">
            <v>100</v>
          </cell>
          <cell r="R1186">
            <v>45904</v>
          </cell>
        </row>
        <row r="1186">
          <cell r="U1186" t="str">
            <v>010000797328</v>
          </cell>
          <cell r="V1186" t="str">
            <v>PANQIFANG</v>
          </cell>
          <cell r="W1186" t="str">
            <v/>
          </cell>
          <cell r="X1186" t="str">
            <v>CP-108-A</v>
          </cell>
          <cell r="Y1186" t="str">
            <v/>
          </cell>
          <cell r="Z1186" t="str">
            <v>1901</v>
          </cell>
          <cell r="AA1186" t="str">
            <v>1100143219</v>
          </cell>
          <cell r="AB1186">
            <v>1610</v>
          </cell>
          <cell r="AC1186" t="str">
            <v/>
          </cell>
          <cell r="AD1186">
            <v>5</v>
          </cell>
          <cell r="AE1186" t="str">
            <v>G-100001932-250311-0260</v>
          </cell>
        </row>
        <row r="1187">
          <cell r="B1187" t="str">
            <v>7100959885</v>
          </cell>
          <cell r="C1187" t="str">
            <v>G2503-2322</v>
          </cell>
          <cell r="D1187" t="str">
            <v>000042944201148629</v>
          </cell>
          <cell r="E1187" t="str">
            <v>高温合金GH4738六角头螺栓</v>
          </cell>
          <cell r="F1187" t="str">
            <v>Q/DY1330-2013</v>
          </cell>
          <cell r="G1187" t="str">
            <v>M4×10</v>
          </cell>
          <cell r="H1187" t="str">
            <v>σb≥1210MPa,τb≥720MPa</v>
          </cell>
          <cell r="I1187" t="str">
            <v>Ct·P</v>
          </cell>
          <cell r="J1187" t="str">
            <v>GH4738</v>
          </cell>
          <cell r="K1187">
            <v>526</v>
          </cell>
          <cell r="L1187">
            <v>45814</v>
          </cell>
          <cell r="M1187" t="str">
            <v>4-检验完成</v>
          </cell>
        </row>
        <row r="1187">
          <cell r="O1187">
            <v>0</v>
          </cell>
          <cell r="P1187" t="str">
            <v>中国运载火箭技术研究院</v>
          </cell>
          <cell r="Q1187" t="str">
            <v>60</v>
          </cell>
          <cell r="R1187">
            <v>45817</v>
          </cell>
        </row>
        <row r="1187">
          <cell r="U1187" t="str">
            <v>010000799868</v>
          </cell>
          <cell r="V1187" t="str">
            <v>PANQIFANG</v>
          </cell>
          <cell r="W1187" t="str">
            <v/>
          </cell>
          <cell r="X1187" t="str">
            <v>CP-108-A</v>
          </cell>
          <cell r="Y1187" t="str">
            <v/>
          </cell>
          <cell r="Z1187" t="str">
            <v>1901</v>
          </cell>
          <cell r="AA1187" t="str">
            <v>1100143661</v>
          </cell>
          <cell r="AB1187">
            <v>1290</v>
          </cell>
          <cell r="AC1187" t="str">
            <v/>
          </cell>
          <cell r="AD1187">
            <v>128</v>
          </cell>
          <cell r="AE1187" t="str">
            <v>G-100001932-250317-0286</v>
          </cell>
        </row>
        <row r="1188">
          <cell r="B1188" t="str">
            <v>7100959884</v>
          </cell>
          <cell r="C1188" t="str">
            <v>G2503-2322</v>
          </cell>
          <cell r="D1188" t="str">
            <v>000042944201148629</v>
          </cell>
          <cell r="E1188" t="str">
            <v>高温合金GH4738六角头螺栓</v>
          </cell>
          <cell r="F1188" t="str">
            <v>Q/DY1330-2013</v>
          </cell>
          <cell r="G1188" t="str">
            <v>M4×10</v>
          </cell>
          <cell r="H1188" t="str">
            <v>σb≥1210MPa,τb≥720MPa</v>
          </cell>
          <cell r="I1188" t="str">
            <v>Ct·P</v>
          </cell>
          <cell r="J1188" t="str">
            <v>GH4738</v>
          </cell>
          <cell r="K1188">
            <v>710</v>
          </cell>
          <cell r="L1188">
            <v>45814</v>
          </cell>
          <cell r="M1188" t="str">
            <v>4-检验完成</v>
          </cell>
        </row>
        <row r="1188">
          <cell r="O1188">
            <v>0</v>
          </cell>
          <cell r="P1188" t="str">
            <v>中国运载火箭技术研究院</v>
          </cell>
          <cell r="Q1188" t="str">
            <v>60</v>
          </cell>
          <cell r="R1188">
            <v>45814</v>
          </cell>
        </row>
        <row r="1188">
          <cell r="U1188" t="str">
            <v>010000799868</v>
          </cell>
          <cell r="V1188" t="str">
            <v>PANQIFANG</v>
          </cell>
          <cell r="W1188" t="str">
            <v/>
          </cell>
          <cell r="X1188" t="str">
            <v>CP-108-A</v>
          </cell>
          <cell r="Y1188" t="str">
            <v/>
          </cell>
          <cell r="Z1188" t="str">
            <v>1901</v>
          </cell>
          <cell r="AA1188" t="str">
            <v>1100143661</v>
          </cell>
          <cell r="AB1188">
            <v>1290</v>
          </cell>
          <cell r="AC1188" t="str">
            <v/>
          </cell>
          <cell r="AD1188">
            <v>128</v>
          </cell>
          <cell r="AE1188" t="str">
            <v>G-100001932-250317-0286</v>
          </cell>
        </row>
        <row r="1189">
          <cell r="B1189" t="str">
            <v>7100958284</v>
          </cell>
          <cell r="C1189" t="str">
            <v>G2503-2186</v>
          </cell>
          <cell r="D1189" t="str">
            <v>000042944201014084</v>
          </cell>
          <cell r="E1189" t="str">
            <v>高温合金GH4738六角头螺栓</v>
          </cell>
          <cell r="F1189" t="str">
            <v>Q/DY1330-2013</v>
          </cell>
          <cell r="G1189" t="str">
            <v>M5×16</v>
          </cell>
          <cell r="H1189" t="str">
            <v>σb≥1210MPa,τb≥720MPa</v>
          </cell>
          <cell r="I1189" t="str">
            <v>Ct·P</v>
          </cell>
          <cell r="J1189" t="str">
            <v>GH4738</v>
          </cell>
          <cell r="K1189">
            <v>1770</v>
          </cell>
          <cell r="L1189">
            <v>45810</v>
          </cell>
          <cell r="M1189" t="str">
            <v>4-检验完成</v>
          </cell>
        </row>
        <row r="1189">
          <cell r="O1189">
            <v>0</v>
          </cell>
          <cell r="P1189" t="str">
            <v>中国运载火箭技术研究院</v>
          </cell>
          <cell r="Q1189" t="str">
            <v>110</v>
          </cell>
          <cell r="R1189">
            <v>45813</v>
          </cell>
        </row>
        <row r="1189">
          <cell r="U1189" t="str">
            <v>010000799513</v>
          </cell>
          <cell r="V1189" t="str">
            <v>PANQIFANG</v>
          </cell>
          <cell r="W1189" t="str">
            <v/>
          </cell>
          <cell r="X1189" t="str">
            <v>CP-108-A</v>
          </cell>
          <cell r="Y1189" t="str">
            <v/>
          </cell>
          <cell r="Z1189" t="str">
            <v>1901</v>
          </cell>
          <cell r="AA1189" t="str">
            <v>1100143661</v>
          </cell>
          <cell r="AB1189">
            <v>1770</v>
          </cell>
          <cell r="AC1189" t="str">
            <v/>
          </cell>
          <cell r="AD1189">
            <v>136</v>
          </cell>
          <cell r="AE1189" t="str">
            <v>G-100001932-250317-0286</v>
          </cell>
        </row>
        <row r="1190">
          <cell r="B1190" t="str">
            <v>7100952246</v>
          </cell>
          <cell r="C1190" t="str">
            <v>G2503-2038</v>
          </cell>
          <cell r="D1190" t="str">
            <v>000042944201148630</v>
          </cell>
          <cell r="E1190" t="str">
            <v>高温合金GH4738六角头螺栓</v>
          </cell>
          <cell r="F1190" t="str">
            <v>Q/DY1330-2013</v>
          </cell>
          <cell r="G1190" t="str">
            <v>M5×14</v>
          </cell>
          <cell r="H1190" t="str">
            <v>σb≥1210MPa,τb≥720MPa</v>
          </cell>
          <cell r="I1190" t="str">
            <v>Ct·P</v>
          </cell>
          <cell r="J1190" t="str">
            <v>GH4738</v>
          </cell>
          <cell r="K1190">
            <v>738</v>
          </cell>
          <cell r="L1190">
            <v>45798</v>
          </cell>
          <cell r="M1190" t="str">
            <v>4-检验完成</v>
          </cell>
        </row>
        <row r="1190">
          <cell r="O1190">
            <v>0</v>
          </cell>
          <cell r="P1190" t="str">
            <v>中国运载火箭技术研究院</v>
          </cell>
          <cell r="Q1190" t="str">
            <v>100</v>
          </cell>
          <cell r="R1190">
            <v>45799</v>
          </cell>
        </row>
        <row r="1190">
          <cell r="U1190" t="str">
            <v>010000799328</v>
          </cell>
          <cell r="V1190" t="str">
            <v>ANXINGYOU</v>
          </cell>
          <cell r="W1190" t="str">
            <v/>
          </cell>
          <cell r="X1190" t="str">
            <v>CP-108-A</v>
          </cell>
          <cell r="Y1190" t="str">
            <v/>
          </cell>
          <cell r="Z1190" t="str">
            <v>1901</v>
          </cell>
          <cell r="AA1190" t="str">
            <v>1100143661</v>
          </cell>
          <cell r="AB1190">
            <v>1770</v>
          </cell>
          <cell r="AC1190" t="str">
            <v/>
          </cell>
          <cell r="AD1190">
            <v>136</v>
          </cell>
          <cell r="AE1190" t="str">
            <v>G-100001932-250317-0286</v>
          </cell>
        </row>
        <row r="1191">
          <cell r="B1191" t="str">
            <v>7100952245</v>
          </cell>
          <cell r="C1191" t="str">
            <v>G2503-2038</v>
          </cell>
          <cell r="D1191" t="str">
            <v>000042944201148630</v>
          </cell>
          <cell r="E1191" t="str">
            <v>高温合金GH4738六角头螺栓</v>
          </cell>
          <cell r="F1191" t="str">
            <v>Q/DY1330-2013</v>
          </cell>
          <cell r="G1191" t="str">
            <v>M5×14</v>
          </cell>
          <cell r="H1191" t="str">
            <v>σb≥1210MPa,τb≥720MPa</v>
          </cell>
          <cell r="I1191" t="str">
            <v>Ct·P</v>
          </cell>
          <cell r="J1191" t="str">
            <v>GH4738</v>
          </cell>
          <cell r="K1191">
            <v>1000</v>
          </cell>
          <cell r="L1191">
            <v>45798</v>
          </cell>
          <cell r="M1191" t="str">
            <v>4-检验完成</v>
          </cell>
        </row>
        <row r="1191">
          <cell r="O1191">
            <v>0</v>
          </cell>
          <cell r="P1191" t="str">
            <v>中国运载火箭技术研究院</v>
          </cell>
          <cell r="Q1191" t="str">
            <v>100</v>
          </cell>
          <cell r="R1191">
            <v>45799</v>
          </cell>
        </row>
        <row r="1191">
          <cell r="U1191" t="str">
            <v>010000799328</v>
          </cell>
          <cell r="V1191" t="str">
            <v>ANXINGYOU</v>
          </cell>
          <cell r="W1191" t="str">
            <v/>
          </cell>
          <cell r="X1191" t="str">
            <v>CP-108-A</v>
          </cell>
          <cell r="Y1191" t="str">
            <v/>
          </cell>
          <cell r="Z1191" t="str">
            <v>1901</v>
          </cell>
          <cell r="AA1191" t="str">
            <v>1100143661</v>
          </cell>
          <cell r="AB1191">
            <v>1770</v>
          </cell>
          <cell r="AC1191" t="str">
            <v/>
          </cell>
          <cell r="AD1191">
            <v>136</v>
          </cell>
          <cell r="AE1191" t="str">
            <v>G-100001932-250317-0286</v>
          </cell>
        </row>
        <row r="1192">
          <cell r="B1192" t="str">
            <v>7100951770</v>
          </cell>
          <cell r="C1192" t="str">
            <v>G2503-2187</v>
          </cell>
          <cell r="D1192" t="str">
            <v>000042944201014085</v>
          </cell>
          <cell r="E1192" t="str">
            <v>高温合金GH4738六角头螺栓</v>
          </cell>
          <cell r="F1192" t="str">
            <v>Q/DY1330-2013</v>
          </cell>
          <cell r="G1192" t="str">
            <v>M5×18</v>
          </cell>
          <cell r="H1192" t="str">
            <v>σb≥1210MPa,τb≥720MPa</v>
          </cell>
          <cell r="I1192" t="str">
            <v>Ct·P</v>
          </cell>
          <cell r="J1192" t="str">
            <v>GH4738</v>
          </cell>
          <cell r="K1192">
            <v>810</v>
          </cell>
          <cell r="L1192">
            <v>45797</v>
          </cell>
          <cell r="M1192" t="str">
            <v>4-检验完成</v>
          </cell>
        </row>
        <row r="1192">
          <cell r="O1192">
            <v>0</v>
          </cell>
          <cell r="P1192" t="str">
            <v>中国运载火箭技术研究院</v>
          </cell>
          <cell r="Q1192" t="str">
            <v>120</v>
          </cell>
          <cell r="R1192">
            <v>45798</v>
          </cell>
        </row>
        <row r="1192">
          <cell r="U1192" t="str">
            <v>010000799515</v>
          </cell>
          <cell r="V1192" t="str">
            <v>PANQIFANG</v>
          </cell>
          <cell r="W1192" t="str">
            <v/>
          </cell>
          <cell r="X1192" t="str">
            <v>CP-108-A</v>
          </cell>
          <cell r="Y1192" t="str">
            <v/>
          </cell>
          <cell r="Z1192" t="str">
            <v>1901</v>
          </cell>
          <cell r="AA1192" t="str">
            <v>1100143661</v>
          </cell>
          <cell r="AB1192">
            <v>810</v>
          </cell>
          <cell r="AC1192" t="str">
            <v/>
          </cell>
          <cell r="AD1192">
            <v>176</v>
          </cell>
          <cell r="AE1192" t="str">
            <v>G-100001932-250317-0286</v>
          </cell>
        </row>
        <row r="1193">
          <cell r="B1193" t="str">
            <v>7100950885</v>
          </cell>
          <cell r="C1193" t="str">
            <v>G2503-1303</v>
          </cell>
          <cell r="D1193" t="str">
            <v>000042944999008159</v>
          </cell>
          <cell r="E1193" t="str">
            <v>钉杆</v>
          </cell>
          <cell r="F1193" t="str">
            <v>QJ2996.3A(1)-2004</v>
          </cell>
          <cell r="G1193" t="str">
            <v>5×16</v>
          </cell>
          <cell r="H1193" t="str">
            <v/>
          </cell>
          <cell r="I1193" t="str">
            <v>蓝色阳极化</v>
          </cell>
          <cell r="J1193" t="str">
            <v>TC4</v>
          </cell>
          <cell r="K1193">
            <v>1610</v>
          </cell>
          <cell r="L1193">
            <v>45796</v>
          </cell>
          <cell r="M1193" t="str">
            <v>4-检验完成</v>
          </cell>
        </row>
        <row r="1193">
          <cell r="O1193">
            <v>0</v>
          </cell>
          <cell r="P1193" t="str">
            <v>中国运载火箭技术研究院</v>
          </cell>
          <cell r="Q1193" t="str">
            <v>80</v>
          </cell>
          <cell r="R1193">
            <v>45798</v>
          </cell>
        </row>
        <row r="1193">
          <cell r="U1193" t="str">
            <v>010000796017</v>
          </cell>
          <cell r="V1193" t="str">
            <v>QIAOXUPENG</v>
          </cell>
          <cell r="W1193" t="str">
            <v/>
          </cell>
          <cell r="X1193" t="str">
            <v>CP-108-A</v>
          </cell>
          <cell r="Y1193" t="str">
            <v/>
          </cell>
          <cell r="Z1193" t="str">
            <v>1901</v>
          </cell>
          <cell r="AA1193" t="str">
            <v>1100143219</v>
          </cell>
          <cell r="AB1193">
            <v>1610</v>
          </cell>
          <cell r="AC1193" t="str">
            <v/>
          </cell>
          <cell r="AD1193">
            <v>42</v>
          </cell>
          <cell r="AE1193" t="str">
            <v>G-100001932-250311-0260</v>
          </cell>
        </row>
        <row r="1194">
          <cell r="B1194" t="str">
            <v>7100950703</v>
          </cell>
          <cell r="C1194" t="str">
            <v>G2503-2207</v>
          </cell>
          <cell r="D1194" t="str">
            <v>000042944201014080</v>
          </cell>
          <cell r="E1194" t="str">
            <v>高温合金GH4738六角头螺栓</v>
          </cell>
          <cell r="F1194" t="str">
            <v>Q/DY1330-2013</v>
          </cell>
          <cell r="G1194" t="str">
            <v>M4×14</v>
          </cell>
          <cell r="H1194" t="str">
            <v>σb≥1210MPa</v>
          </cell>
          <cell r="I1194" t="str">
            <v>Ct·P</v>
          </cell>
          <cell r="J1194" t="str">
            <v>GH738</v>
          </cell>
          <cell r="K1194">
            <v>361</v>
          </cell>
          <cell r="L1194">
            <v>45796</v>
          </cell>
          <cell r="M1194" t="str">
            <v>4-检验完成</v>
          </cell>
        </row>
        <row r="1194">
          <cell r="O1194">
            <v>0</v>
          </cell>
          <cell r="P1194" t="str">
            <v>中国运载火箭技术研究院</v>
          </cell>
          <cell r="Q1194" t="str">
            <v>80</v>
          </cell>
          <cell r="R1194">
            <v>45797</v>
          </cell>
        </row>
        <row r="1194">
          <cell r="U1194" t="str">
            <v>010000799552</v>
          </cell>
          <cell r="V1194" t="str">
            <v>QIAOXUPENG</v>
          </cell>
          <cell r="W1194" t="str">
            <v/>
          </cell>
          <cell r="X1194" t="str">
            <v>CP-108-A</v>
          </cell>
          <cell r="Y1194" t="str">
            <v/>
          </cell>
          <cell r="Z1194" t="str">
            <v>1901</v>
          </cell>
          <cell r="AA1194" t="str">
            <v>1100143661</v>
          </cell>
          <cell r="AB1194">
            <v>1290</v>
          </cell>
          <cell r="AC1194" t="str">
            <v/>
          </cell>
          <cell r="AD1194">
            <v>128</v>
          </cell>
          <cell r="AE1194" t="str">
            <v>G-100001932-250317-0286</v>
          </cell>
        </row>
        <row r="1195">
          <cell r="B1195" t="str">
            <v>7100943512</v>
          </cell>
          <cell r="C1195" t="str">
            <v>G2503-1394</v>
          </cell>
          <cell r="D1195" t="str">
            <v>000042944999008088</v>
          </cell>
          <cell r="E1195" t="str">
            <v>钉杆</v>
          </cell>
          <cell r="F1195" t="str">
            <v>QJ2996.2A(1)-2004</v>
          </cell>
          <cell r="G1195" t="str">
            <v>4×10</v>
          </cell>
          <cell r="H1195" t="str">
            <v/>
          </cell>
          <cell r="I1195" t="str">
            <v>蓝色阳极化</v>
          </cell>
          <cell r="J1195" t="str">
            <v>TC4</v>
          </cell>
          <cell r="K1195">
            <v>5025</v>
          </cell>
          <cell r="L1195">
            <v>45782</v>
          </cell>
          <cell r="M1195" t="str">
            <v>4-检验完成</v>
          </cell>
        </row>
        <row r="1195">
          <cell r="O1195">
            <v>0</v>
          </cell>
          <cell r="P1195" t="str">
            <v>中国运载火箭技术研究院</v>
          </cell>
          <cell r="Q1195" t="str">
            <v>110</v>
          </cell>
          <cell r="R1195">
            <v>45785</v>
          </cell>
        </row>
        <row r="1195">
          <cell r="U1195" t="str">
            <v>010000796321</v>
          </cell>
          <cell r="V1195" t="str">
            <v>PANQIFANG</v>
          </cell>
          <cell r="W1195" t="str">
            <v/>
          </cell>
          <cell r="X1195" t="str">
            <v>CP-108-A</v>
          </cell>
          <cell r="Y1195" t="str">
            <v/>
          </cell>
          <cell r="Z1195" t="str">
            <v>1901</v>
          </cell>
          <cell r="AA1195" t="str">
            <v>1100143219</v>
          </cell>
          <cell r="AB1195">
            <v>20010</v>
          </cell>
          <cell r="AC1195" t="str">
            <v/>
          </cell>
          <cell r="AD1195">
            <v>41.5</v>
          </cell>
          <cell r="AE1195" t="str">
            <v>G-100001932-250311-0260</v>
          </cell>
        </row>
        <row r="1196">
          <cell r="B1196" t="str">
            <v>7101098013</v>
          </cell>
          <cell r="C1196" t="str">
            <v>G2508-0537</v>
          </cell>
          <cell r="D1196" t="str">
            <v>000042944999158281</v>
          </cell>
          <cell r="E1196" t="str">
            <v>MJ螺纹无头螺塞</v>
          </cell>
          <cell r="F1196" t="str">
            <v>Q/8S1492-2023</v>
          </cell>
          <cell r="G1196" t="str">
            <v>LB-0508</v>
          </cell>
          <cell r="H1196" t="str">
            <v>σb≥260MPa</v>
          </cell>
          <cell r="I1196" t="str">
            <v>硫酸阳极化</v>
          </cell>
          <cell r="J1196" t="str">
            <v>6061</v>
          </cell>
          <cell r="K1196">
            <v>3</v>
          </cell>
          <cell r="L1196">
            <v>46120</v>
          </cell>
          <cell r="M1196" t="str">
            <v>3-配货完成</v>
          </cell>
        </row>
        <row r="1196">
          <cell r="O1196">
            <v>0</v>
          </cell>
          <cell r="P1196" t="str">
            <v>哈尔滨东安实业发展有限公司</v>
          </cell>
          <cell r="Q1196" t="str">
            <v>20</v>
          </cell>
        </row>
        <row r="1196">
          <cell r="U1196" t="str">
            <v>010000853002</v>
          </cell>
          <cell r="V1196" t="str">
            <v>BIAOQIAN4</v>
          </cell>
          <cell r="W1196" t="str">
            <v/>
          </cell>
          <cell r="X1196" t="str">
            <v>CP-108-A</v>
          </cell>
          <cell r="Y1196" t="str">
            <v/>
          </cell>
          <cell r="Z1196" t="str">
            <v>1906</v>
          </cell>
          <cell r="AA1196" t="str">
            <v>1100142186</v>
          </cell>
          <cell r="AB1196">
            <v>50</v>
          </cell>
          <cell r="AC1196" t="str">
            <v/>
          </cell>
          <cell r="AD1196">
            <v>85</v>
          </cell>
          <cell r="AE1196" t="str">
            <v>G-100016975-250225-0014</v>
          </cell>
        </row>
        <row r="1197">
          <cell r="B1197" t="str">
            <v>7101097814</v>
          </cell>
          <cell r="C1197" t="str">
            <v>G2602-0743</v>
          </cell>
          <cell r="D1197" t="str">
            <v>000042944000046783</v>
          </cell>
          <cell r="E1197" t="str">
            <v>链条</v>
          </cell>
          <cell r="F1197" t="str">
            <v>HB2-62-1</v>
          </cell>
          <cell r="G1197" t="str">
            <v>L=100</v>
          </cell>
          <cell r="H1197" t="str">
            <v/>
          </cell>
          <cell r="I1197" t="str">
            <v>Ep·Cd·c2C</v>
          </cell>
          <cell r="J1197" t="str">
            <v>组件</v>
          </cell>
          <cell r="K1197">
            <v>19</v>
          </cell>
          <cell r="L1197">
            <v>46120</v>
          </cell>
          <cell r="M1197" t="str">
            <v>3-配货完成</v>
          </cell>
        </row>
        <row r="1197">
          <cell r="O1197">
            <v>0</v>
          </cell>
          <cell r="P1197" t="str">
            <v>哈尔滨东安实业发展有限公司</v>
          </cell>
          <cell r="Q1197" t="str">
            <v>50</v>
          </cell>
        </row>
        <row r="1197">
          <cell r="U1197" t="str">
            <v>010000913307</v>
          </cell>
          <cell r="V1197" t="str">
            <v>BIAOQIAN3</v>
          </cell>
          <cell r="W1197" t="str">
            <v/>
          </cell>
          <cell r="X1197" t="str">
            <v>CP-108-A</v>
          </cell>
          <cell r="Y1197" t="str">
            <v/>
          </cell>
          <cell r="Z1197" t="str">
            <v>1906</v>
          </cell>
          <cell r="AA1197" t="str">
            <v>1100161508</v>
          </cell>
          <cell r="AB1197">
            <v>50</v>
          </cell>
          <cell r="AC1197" t="str">
            <v/>
          </cell>
          <cell r="AD1197">
            <v>20</v>
          </cell>
          <cell r="AE1197" t="str">
            <v>G-100016975-260309-0012</v>
          </cell>
        </row>
        <row r="1198">
          <cell r="B1198" t="str">
            <v>7101097668</v>
          </cell>
          <cell r="C1198" t="str">
            <v>G2509-1542</v>
          </cell>
          <cell r="D1198" t="str">
            <v>000042944240136221</v>
          </cell>
          <cell r="E1198" t="str">
            <v>锯齿状锁紧内环锁紧螺柱</v>
          </cell>
          <cell r="F1198" t="str">
            <v>MS51989E206-23</v>
          </cell>
          <cell r="G1198" t="str">
            <v>MS51989E206-23</v>
          </cell>
          <cell r="H1198" t="str">
            <v>σb≥125KSI</v>
          </cell>
          <cell r="I1198" t="str">
            <v>钝化</v>
          </cell>
          <cell r="J1198" t="str">
            <v>A286</v>
          </cell>
          <cell r="K1198">
            <v>51</v>
          </cell>
          <cell r="L1198">
            <v>46119</v>
          </cell>
          <cell r="M1198" t="str">
            <v>3-配货完成</v>
          </cell>
        </row>
        <row r="1198">
          <cell r="O1198">
            <v>0</v>
          </cell>
          <cell r="P1198" t="str">
            <v>哈尔滨东安实业发展有限公司</v>
          </cell>
          <cell r="Q1198" t="str">
            <v>30</v>
          </cell>
        </row>
        <row r="1198">
          <cell r="U1198" t="str">
            <v>010000864013</v>
          </cell>
          <cell r="V1198" t="str">
            <v>BIAOQIAN1</v>
          </cell>
          <cell r="W1198" t="str">
            <v/>
          </cell>
          <cell r="X1198" t="str">
            <v>CP-108-A</v>
          </cell>
          <cell r="Y1198" t="str">
            <v/>
          </cell>
          <cell r="Z1198" t="str">
            <v>1906</v>
          </cell>
          <cell r="AA1198" t="str">
            <v>1100152712</v>
          </cell>
          <cell r="AB1198">
            <v>51</v>
          </cell>
          <cell r="AC1198" t="str">
            <v/>
          </cell>
          <cell r="AD1198">
            <v>173.14</v>
          </cell>
          <cell r="AE1198" t="str">
            <v>G-100016975-250905-0044</v>
          </cell>
        </row>
        <row r="1199">
          <cell r="B1199" t="str">
            <v>7101097479</v>
          </cell>
          <cell r="C1199" t="str">
            <v>G2508-0536</v>
          </cell>
          <cell r="D1199" t="str">
            <v>000042944999158281</v>
          </cell>
          <cell r="E1199" t="str">
            <v>MJ螺纹无头螺塞</v>
          </cell>
          <cell r="F1199" t="str">
            <v>Q/8S1492-2023</v>
          </cell>
          <cell r="G1199" t="str">
            <v>LB-0508</v>
          </cell>
          <cell r="H1199" t="str">
            <v>σb≥260MPa</v>
          </cell>
          <cell r="I1199" t="str">
            <v>硫酸阳极化</v>
          </cell>
          <cell r="J1199" t="str">
            <v>6061</v>
          </cell>
          <cell r="K1199">
            <v>47</v>
          </cell>
          <cell r="L1199">
            <v>46119</v>
          </cell>
          <cell r="M1199" t="str">
            <v>3-配货完成</v>
          </cell>
        </row>
        <row r="1199">
          <cell r="O1199">
            <v>0</v>
          </cell>
          <cell r="P1199" t="str">
            <v>哈尔滨东安实业发展有限公司</v>
          </cell>
          <cell r="Q1199" t="str">
            <v>20</v>
          </cell>
        </row>
        <row r="1199">
          <cell r="U1199" t="str">
            <v>010000853001</v>
          </cell>
          <cell r="V1199" t="str">
            <v>BIAOQIAN1</v>
          </cell>
          <cell r="W1199" t="str">
            <v/>
          </cell>
          <cell r="X1199" t="str">
            <v>CP-108-A</v>
          </cell>
          <cell r="Y1199" t="str">
            <v/>
          </cell>
          <cell r="Z1199" t="str">
            <v>1906</v>
          </cell>
          <cell r="AA1199" t="str">
            <v>1100142186</v>
          </cell>
          <cell r="AB1199">
            <v>50</v>
          </cell>
          <cell r="AC1199" t="str">
            <v/>
          </cell>
          <cell r="AD1199">
            <v>85</v>
          </cell>
          <cell r="AE1199" t="str">
            <v>G-100016975-250225-0014</v>
          </cell>
        </row>
        <row r="1200">
          <cell r="B1200" t="str">
            <v>7101097478</v>
          </cell>
          <cell r="C1200" t="str">
            <v>G2508-0536</v>
          </cell>
          <cell r="D1200" t="str">
            <v>000042944999158281</v>
          </cell>
          <cell r="E1200" t="str">
            <v>MJ螺纹无头螺塞</v>
          </cell>
          <cell r="F1200" t="str">
            <v>Q/8S1492-2023</v>
          </cell>
          <cell r="G1200" t="str">
            <v>LB-0508</v>
          </cell>
          <cell r="H1200" t="str">
            <v>σb≥260MPa</v>
          </cell>
          <cell r="I1200" t="str">
            <v>硫酸阳极化</v>
          </cell>
          <cell r="J1200" t="str">
            <v>6061</v>
          </cell>
          <cell r="K1200">
            <v>20</v>
          </cell>
          <cell r="L1200">
            <v>46119</v>
          </cell>
          <cell r="M1200" t="str">
            <v>3-配货完成</v>
          </cell>
        </row>
        <row r="1200">
          <cell r="O1200">
            <v>0</v>
          </cell>
          <cell r="P1200" t="str">
            <v>哈尔滨东安实业发展有限公司</v>
          </cell>
          <cell r="Q1200" t="str">
            <v>60</v>
          </cell>
        </row>
        <row r="1200">
          <cell r="U1200" t="str">
            <v>010000853001</v>
          </cell>
          <cell r="V1200" t="str">
            <v>BIAOQIAN1</v>
          </cell>
          <cell r="W1200" t="str">
            <v/>
          </cell>
          <cell r="X1200" t="str">
            <v>CP-108-A</v>
          </cell>
          <cell r="Y1200" t="str">
            <v/>
          </cell>
          <cell r="Z1200" t="str">
            <v>1906</v>
          </cell>
          <cell r="AA1200" t="str">
            <v>1100141177</v>
          </cell>
          <cell r="AB1200">
            <v>20</v>
          </cell>
          <cell r="AC1200" t="str">
            <v/>
          </cell>
          <cell r="AD1200">
            <v>85</v>
          </cell>
          <cell r="AE1200" t="str">
            <v>G-100016975-250210-0006-1</v>
          </cell>
        </row>
        <row r="1201">
          <cell r="B1201" t="str">
            <v>7101096920</v>
          </cell>
          <cell r="C1201" t="str">
            <v>G2603-1080</v>
          </cell>
          <cell r="D1201" t="str">
            <v>000042944000020595</v>
          </cell>
          <cell r="E1201" t="str">
            <v>波形弹性卡箍</v>
          </cell>
          <cell r="F1201" t="str">
            <v>8S.DFD20.9.001</v>
          </cell>
          <cell r="G1201" t="str">
            <v>-</v>
          </cell>
          <cell r="H1201" t="str">
            <v/>
          </cell>
          <cell r="I1201" t="str">
            <v/>
          </cell>
          <cell r="J1201" t="str">
            <v>0Cr18Ni9</v>
          </cell>
          <cell r="K1201">
            <v>43</v>
          </cell>
          <cell r="L1201">
            <v>46118</v>
          </cell>
          <cell r="M1201" t="str">
            <v>3-配货完成</v>
          </cell>
        </row>
        <row r="1201">
          <cell r="O1201">
            <v>0</v>
          </cell>
          <cell r="P1201" t="str">
            <v>哈尔滨东安实业发展有限公司</v>
          </cell>
          <cell r="Q1201" t="str">
            <v>80</v>
          </cell>
        </row>
        <row r="1201">
          <cell r="U1201" t="str">
            <v>010000925849</v>
          </cell>
          <cell r="V1201" t="str">
            <v>BIAOQIAN2</v>
          </cell>
          <cell r="W1201" t="str">
            <v/>
          </cell>
          <cell r="X1201" t="str">
            <v>CP-108-A</v>
          </cell>
          <cell r="Y1201" t="str">
            <v/>
          </cell>
          <cell r="Z1201" t="str">
            <v>1906</v>
          </cell>
          <cell r="AA1201" t="str">
            <v>1100160153</v>
          </cell>
          <cell r="AB1201">
            <v>1095</v>
          </cell>
          <cell r="AC1201" t="str">
            <v/>
          </cell>
          <cell r="AD1201">
            <v>50</v>
          </cell>
          <cell r="AE1201" t="str">
            <v>G-100016975-260204-0007</v>
          </cell>
        </row>
        <row r="1202">
          <cell r="B1202" t="str">
            <v>7101095666</v>
          </cell>
          <cell r="C1202" t="str">
            <v>G12603-074</v>
          </cell>
          <cell r="D1202" t="str">
            <v>000042944320009721</v>
          </cell>
          <cell r="E1202" t="str">
            <v>120°沉头铆钉</v>
          </cell>
          <cell r="F1202" t="str">
            <v>HB6319-2002</v>
          </cell>
          <cell r="G1202" t="str">
            <v>2.5×5</v>
          </cell>
          <cell r="H1202" t="str">
            <v>淬火</v>
          </cell>
          <cell r="I1202" t="str">
            <v>ECP</v>
          </cell>
          <cell r="J1202" t="str">
            <v>1Cr18Ni9Ti</v>
          </cell>
          <cell r="K1202">
            <v>500</v>
          </cell>
          <cell r="L1202">
            <v>46114</v>
          </cell>
          <cell r="M1202" t="str">
            <v>3-配货完成</v>
          </cell>
        </row>
        <row r="1202">
          <cell r="O1202">
            <v>0</v>
          </cell>
          <cell r="P1202" t="str">
            <v>哈尔滨东安实业发展有限公司</v>
          </cell>
          <cell r="Q1202" t="str">
            <v>10</v>
          </cell>
        </row>
        <row r="1202">
          <cell r="U1202" t="str">
            <v/>
          </cell>
          <cell r="V1202" t="str">
            <v>BIAOQIAN2</v>
          </cell>
          <cell r="W1202" t="str">
            <v/>
          </cell>
          <cell r="X1202" t="str">
            <v>XH-000</v>
          </cell>
          <cell r="Y1202" t="str">
            <v/>
          </cell>
          <cell r="Z1202" t="str">
            <v>1906</v>
          </cell>
          <cell r="AA1202" t="str">
            <v>1100161947</v>
          </cell>
          <cell r="AB1202">
            <v>500</v>
          </cell>
          <cell r="AC1202" t="str">
            <v/>
          </cell>
          <cell r="AD1202">
            <v>0.8</v>
          </cell>
          <cell r="AE1202" t="str">
            <v>G-100016975-260317-0014-1-H-XH</v>
          </cell>
        </row>
        <row r="1203">
          <cell r="B1203" t="str">
            <v>7101094799</v>
          </cell>
          <cell r="C1203" t="str">
            <v>G2511-1462</v>
          </cell>
          <cell r="D1203" t="str">
            <v>000042944239133303</v>
          </cell>
          <cell r="E1203" t="str">
            <v>高温合金A286短螺纹紧公差100°小沉头螺栓</v>
          </cell>
          <cell r="F1203" t="str">
            <v>NAS8703U3</v>
          </cell>
          <cell r="G1203" t="str">
            <v>NAS8703U3</v>
          </cell>
          <cell r="H1203" t="str">
            <v>σb=160-190KSI</v>
          </cell>
          <cell r="I1203" t="str">
            <v>钝化</v>
          </cell>
          <cell r="J1203" t="str">
            <v>A286</v>
          </cell>
          <cell r="K1203">
            <v>37</v>
          </cell>
          <cell r="L1203">
            <v>46112</v>
          </cell>
          <cell r="M1203" t="str">
            <v>3-配货完成</v>
          </cell>
        </row>
        <row r="1203">
          <cell r="O1203">
            <v>0</v>
          </cell>
          <cell r="P1203" t="str">
            <v>哈尔滨东安实业发展有限公司</v>
          </cell>
          <cell r="Q1203" t="str">
            <v>10</v>
          </cell>
        </row>
        <row r="1203">
          <cell r="U1203" t="str">
            <v>010000885830</v>
          </cell>
          <cell r="V1203" t="str">
            <v>BIAOQIAN2</v>
          </cell>
          <cell r="W1203" t="str">
            <v/>
          </cell>
          <cell r="X1203" t="str">
            <v>CP-108-A</v>
          </cell>
          <cell r="Y1203" t="str">
            <v/>
          </cell>
          <cell r="Z1203" t="str">
            <v>1906</v>
          </cell>
          <cell r="AA1203" t="str">
            <v>1100156012</v>
          </cell>
          <cell r="AB1203">
            <v>50</v>
          </cell>
          <cell r="AC1203" t="str">
            <v/>
          </cell>
          <cell r="AD1203">
            <v>20</v>
          </cell>
          <cell r="AE1203" t="str">
            <v>G-100016975-251114-0068</v>
          </cell>
        </row>
        <row r="1204">
          <cell r="B1204" t="str">
            <v>7101092974</v>
          </cell>
          <cell r="C1204" t="str">
            <v>G2512-1684</v>
          </cell>
          <cell r="D1204" t="str">
            <v>000042944239133992</v>
          </cell>
          <cell r="E1204" t="str">
            <v>D头螺栓</v>
          </cell>
          <cell r="F1204" t="str">
            <v>S7506.019</v>
          </cell>
          <cell r="G1204" t="str">
            <v>-</v>
          </cell>
          <cell r="H1204" t="str">
            <v>36-46.5HRC</v>
          </cell>
          <cell r="I1204" t="str">
            <v/>
          </cell>
          <cell r="J1204" t="str">
            <v>GH4169</v>
          </cell>
          <cell r="K1204">
            <v>39</v>
          </cell>
          <cell r="L1204">
            <v>46108</v>
          </cell>
          <cell r="M1204" t="str">
            <v>3-配货完成</v>
          </cell>
        </row>
        <row r="1204">
          <cell r="O1204">
            <v>0</v>
          </cell>
          <cell r="P1204" t="str">
            <v>哈尔滨东安实业发展有限公司</v>
          </cell>
          <cell r="Q1204" t="str">
            <v>10</v>
          </cell>
        </row>
        <row r="1204">
          <cell r="U1204" t="str">
            <v>010000896848</v>
          </cell>
          <cell r="V1204" t="str">
            <v>BIAOQIAN2</v>
          </cell>
          <cell r="W1204" t="str">
            <v/>
          </cell>
          <cell r="X1204" t="str">
            <v>CP-60-3-2-17</v>
          </cell>
          <cell r="Y1204" t="str">
            <v/>
          </cell>
          <cell r="Z1204" t="str">
            <v>1906</v>
          </cell>
          <cell r="AA1204" t="str">
            <v>1100162396</v>
          </cell>
          <cell r="AB1204">
            <v>420</v>
          </cell>
          <cell r="AC1204" t="str">
            <v/>
          </cell>
          <cell r="AD1204">
            <v>96</v>
          </cell>
          <cell r="AE1204" t="str">
            <v>G-100016975-260325-0018</v>
          </cell>
        </row>
        <row r="1205">
          <cell r="B1205" t="str">
            <v>7101092974</v>
          </cell>
          <cell r="C1205" t="str">
            <v>G2506-2034</v>
          </cell>
          <cell r="D1205" t="str">
            <v>000042944239133906</v>
          </cell>
          <cell r="E1205" t="str">
            <v>转接盘连接螺栓</v>
          </cell>
          <cell r="F1205" t="str">
            <v>S7506.023</v>
          </cell>
          <cell r="G1205" t="str">
            <v>-</v>
          </cell>
          <cell r="H1205" t="str">
            <v>36-46.5HRC</v>
          </cell>
          <cell r="I1205" t="str">
            <v/>
          </cell>
          <cell r="J1205" t="str">
            <v>GH4169</v>
          </cell>
          <cell r="K1205">
            <v>61</v>
          </cell>
          <cell r="L1205">
            <v>46108</v>
          </cell>
          <cell r="M1205" t="str">
            <v>3-配货完成</v>
          </cell>
        </row>
        <row r="1205">
          <cell r="O1205">
            <v>0</v>
          </cell>
          <cell r="P1205" t="str">
            <v>哈尔滨东安实业发展有限公司</v>
          </cell>
          <cell r="Q1205" t="str">
            <v>20</v>
          </cell>
        </row>
        <row r="1205">
          <cell r="U1205" t="str">
            <v>010000839188</v>
          </cell>
          <cell r="V1205" t="str">
            <v>BIAOQIAN2</v>
          </cell>
          <cell r="W1205" t="str">
            <v/>
          </cell>
          <cell r="X1205" t="str">
            <v>CP-32-3-4-15</v>
          </cell>
          <cell r="Y1205" t="str">
            <v/>
          </cell>
          <cell r="Z1205" t="str">
            <v>1906</v>
          </cell>
          <cell r="AA1205" t="str">
            <v>1100162396</v>
          </cell>
          <cell r="AB1205">
            <v>596</v>
          </cell>
          <cell r="AC1205" t="str">
            <v/>
          </cell>
          <cell r="AD1205">
            <v>96</v>
          </cell>
          <cell r="AE1205" t="str">
            <v>G-100016975-260325-0018</v>
          </cell>
        </row>
        <row r="1206">
          <cell r="B1206" t="str">
            <v>7101079326</v>
          </cell>
          <cell r="C1206" t="str">
            <v>G2507-1797</v>
          </cell>
          <cell r="D1206" t="str">
            <v>000042944319000359</v>
          </cell>
          <cell r="E1206" t="str">
            <v>抗剪型高锁螺母</v>
          </cell>
          <cell r="F1206" t="str">
            <v>GJB134.1-1986 M6 LY12-CS 红色阳极化</v>
          </cell>
          <cell r="G1206" t="str">
            <v>M6</v>
          </cell>
          <cell r="H1206" t="str">
            <v/>
          </cell>
          <cell r="I1206" t="str">
            <v>Et·A(s)·Cl(RD)+十六醇</v>
          </cell>
          <cell r="J1206" t="str">
            <v>LY12-CS</v>
          </cell>
          <cell r="K1206">
            <v>85</v>
          </cell>
          <cell r="L1206">
            <v>46078</v>
          </cell>
          <cell r="M1206" t="str">
            <v>3-配货完成</v>
          </cell>
        </row>
        <row r="1206">
          <cell r="O1206">
            <v>0</v>
          </cell>
          <cell r="P1206" t="str">
            <v>哈尔滨东安实业发展有限公司</v>
          </cell>
          <cell r="Q1206" t="str">
            <v>20</v>
          </cell>
        </row>
        <row r="1206">
          <cell r="U1206" t="str">
            <v>010000847896</v>
          </cell>
          <cell r="V1206" t="str">
            <v>BIAOQIAN4</v>
          </cell>
          <cell r="W1206" t="str">
            <v/>
          </cell>
          <cell r="X1206" t="str">
            <v>CP-108-A</v>
          </cell>
          <cell r="Y1206" t="str">
            <v/>
          </cell>
          <cell r="Z1206" t="str">
            <v>1906</v>
          </cell>
          <cell r="AA1206" t="str">
            <v>1100153644</v>
          </cell>
          <cell r="AB1206">
            <v>85</v>
          </cell>
          <cell r="AC1206" t="str">
            <v>GJ2507-01797</v>
          </cell>
          <cell r="AD1206">
            <v>39.2</v>
          </cell>
          <cell r="AE1206" t="str">
            <v>G-100016975-250925-0053</v>
          </cell>
        </row>
        <row r="1207">
          <cell r="B1207" t="str">
            <v>7101073898</v>
          </cell>
          <cell r="C1207" t="str">
            <v>G2312-0470</v>
          </cell>
          <cell r="D1207" t="str">
            <v>000042944999002605</v>
          </cell>
          <cell r="E1207" t="str">
            <v>带键锁紧螺桩</v>
          </cell>
          <cell r="F1207" t="str">
            <v>8S.DFD20.3.802</v>
          </cell>
          <cell r="G1207" t="str">
            <v>-</v>
          </cell>
          <cell r="H1207" t="str">
            <v/>
          </cell>
          <cell r="I1207" t="str">
            <v/>
          </cell>
          <cell r="J1207" t="str">
            <v>组件</v>
          </cell>
          <cell r="K1207">
            <v>50</v>
          </cell>
          <cell r="L1207">
            <v>46058</v>
          </cell>
          <cell r="M1207" t="str">
            <v>3-配货完成</v>
          </cell>
        </row>
        <row r="1207">
          <cell r="O1207">
            <v>0</v>
          </cell>
          <cell r="P1207" t="str">
            <v>哈尔滨东安实业发展有限公司</v>
          </cell>
          <cell r="Q1207" t="str">
            <v>10</v>
          </cell>
        </row>
        <row r="1207">
          <cell r="U1207" t="str">
            <v>010000657073</v>
          </cell>
          <cell r="V1207" t="str">
            <v>BIAOQIAN2</v>
          </cell>
          <cell r="W1207" t="str">
            <v/>
          </cell>
          <cell r="X1207" t="str">
            <v>CP-108-A/CP-C8-2-4-3</v>
          </cell>
          <cell r="Y1207" t="str">
            <v/>
          </cell>
          <cell r="Z1207" t="str">
            <v>1906</v>
          </cell>
          <cell r="AA1207" t="str">
            <v>1100160140</v>
          </cell>
          <cell r="AB1207">
            <v>50</v>
          </cell>
          <cell r="AC1207" t="str">
            <v>GJ2312-00470-S-1A</v>
          </cell>
          <cell r="AD1207">
            <v>197</v>
          </cell>
          <cell r="AE1207" t="str">
            <v>G-100016975-260204-0008XH</v>
          </cell>
        </row>
        <row r="1208">
          <cell r="B1208" t="str">
            <v>7101022910</v>
          </cell>
          <cell r="C1208" t="str">
            <v>G2505-1321</v>
          </cell>
          <cell r="D1208" t="str">
            <v>000042944360151880</v>
          </cell>
          <cell r="E1208" t="str">
            <v>圆柱销</v>
          </cell>
          <cell r="F1208" t="str">
            <v>Q/8S1337.1-2024</v>
          </cell>
          <cell r="G1208" t="str">
            <v>A-014</v>
          </cell>
          <cell r="H1208" t="str">
            <v>27-35HRC</v>
          </cell>
          <cell r="I1208" t="str">
            <v>Ct·P</v>
          </cell>
          <cell r="J1208" t="str">
            <v>GH2132</v>
          </cell>
          <cell r="K1208">
            <v>15</v>
          </cell>
          <cell r="L1208">
            <v>45947</v>
          </cell>
          <cell r="M1208" t="str">
            <v>3-配货完成</v>
          </cell>
        </row>
        <row r="1208">
          <cell r="O1208">
            <v>0</v>
          </cell>
          <cell r="P1208" t="str">
            <v>哈尔滨东安实业发展有限公司</v>
          </cell>
          <cell r="Q1208" t="str">
            <v>30</v>
          </cell>
        </row>
        <row r="1208">
          <cell r="U1208" t="str">
            <v>010000827084</v>
          </cell>
          <cell r="V1208" t="str">
            <v>BIAOQIAN2</v>
          </cell>
          <cell r="W1208" t="str">
            <v/>
          </cell>
          <cell r="X1208" t="str">
            <v>CP-108-A</v>
          </cell>
          <cell r="Y1208" t="str">
            <v/>
          </cell>
          <cell r="Z1208" t="str">
            <v>1906</v>
          </cell>
          <cell r="AA1208" t="str">
            <v>1100141949</v>
          </cell>
          <cell r="AB1208">
            <v>15</v>
          </cell>
          <cell r="AC1208" t="str">
            <v/>
          </cell>
          <cell r="AD1208">
            <v>34.83</v>
          </cell>
          <cell r="AE1208" t="str">
            <v>G-100016975-250221-0010-1</v>
          </cell>
        </row>
        <row r="1209">
          <cell r="B1209" t="str">
            <v>7101099171</v>
          </cell>
          <cell r="C1209" t="str">
            <v>G2509-0696</v>
          </cell>
          <cell r="D1209" t="str">
            <v>000042944239000048</v>
          </cell>
          <cell r="E1209" t="str">
            <v>六角螺栓</v>
          </cell>
          <cell r="F1209" t="str">
            <v>11S10271</v>
          </cell>
          <cell r="G1209" t="str">
            <v>-</v>
          </cell>
          <cell r="H1209" t="str">
            <v>262-326HBW</v>
          </cell>
          <cell r="I1209" t="str">
            <v>Ct·P</v>
          </cell>
          <cell r="J1209" t="str">
            <v>1Cr17Ni3</v>
          </cell>
          <cell r="K1209">
            <v>30</v>
          </cell>
          <cell r="L1209">
            <v>46122</v>
          </cell>
          <cell r="M1209" t="str">
            <v>3-配货完成</v>
          </cell>
        </row>
        <row r="1209">
          <cell r="O1209">
            <v>0</v>
          </cell>
          <cell r="P1209" t="str">
            <v>哈尔滨东安实业发展有限公司</v>
          </cell>
          <cell r="Q1209" t="str">
            <v>10</v>
          </cell>
        </row>
        <row r="1209">
          <cell r="U1209" t="str">
            <v>010000861715</v>
          </cell>
          <cell r="V1209" t="str">
            <v>BIAOQIAN3</v>
          </cell>
          <cell r="W1209" t="str">
            <v/>
          </cell>
          <cell r="X1209" t="str">
            <v>CP-71-1-1-2</v>
          </cell>
          <cell r="Y1209" t="str">
            <v/>
          </cell>
          <cell r="Z1209" t="str">
            <v>1906</v>
          </cell>
          <cell r="AA1209" t="str">
            <v>1100163159</v>
          </cell>
          <cell r="AB1209">
            <v>30</v>
          </cell>
          <cell r="AC1209" t="str">
            <v/>
          </cell>
          <cell r="AD1209">
            <v>65</v>
          </cell>
          <cell r="AE1209" t="str">
            <v>G-100016975-260409-0021XH</v>
          </cell>
        </row>
        <row r="1210">
          <cell r="B1210" t="str">
            <v>7101098013</v>
          </cell>
          <cell r="C1210" t="str">
            <v>G2508-0537</v>
          </cell>
          <cell r="D1210" t="str">
            <v>000042944999158281</v>
          </cell>
          <cell r="E1210" t="str">
            <v>MJ螺纹无头螺塞</v>
          </cell>
          <cell r="F1210" t="str">
            <v>Q/8S1492-2023</v>
          </cell>
          <cell r="G1210" t="str">
            <v>LB-0508</v>
          </cell>
          <cell r="H1210" t="str">
            <v>σb≥260MPa</v>
          </cell>
          <cell r="I1210" t="str">
            <v>硫酸阳极化</v>
          </cell>
          <cell r="J1210" t="str">
            <v>6061</v>
          </cell>
          <cell r="K1210">
            <v>3</v>
          </cell>
          <cell r="L1210">
            <v>46120</v>
          </cell>
          <cell r="M1210" t="str">
            <v>3-配货完成</v>
          </cell>
        </row>
        <row r="1210">
          <cell r="O1210">
            <v>0</v>
          </cell>
          <cell r="P1210" t="str">
            <v>哈尔滨东安实业发展有限公司</v>
          </cell>
          <cell r="Q1210" t="str">
            <v>20</v>
          </cell>
        </row>
        <row r="1210">
          <cell r="U1210" t="str">
            <v>010000853002</v>
          </cell>
          <cell r="V1210" t="str">
            <v>BIAOQIAN4</v>
          </cell>
          <cell r="W1210" t="str">
            <v/>
          </cell>
          <cell r="X1210" t="str">
            <v>CP-108-A</v>
          </cell>
          <cell r="Y1210" t="str">
            <v/>
          </cell>
          <cell r="Z1210" t="str">
            <v>1906</v>
          </cell>
          <cell r="AA1210" t="str">
            <v>1100142186</v>
          </cell>
          <cell r="AB1210">
            <v>50</v>
          </cell>
          <cell r="AC1210" t="str">
            <v/>
          </cell>
          <cell r="AD1210">
            <v>85</v>
          </cell>
          <cell r="AE1210" t="str">
            <v>G-100016975-250225-0014</v>
          </cell>
        </row>
        <row r="1211">
          <cell r="B1211" t="str">
            <v>7101097814</v>
          </cell>
          <cell r="C1211" t="str">
            <v>G2602-0743</v>
          </cell>
          <cell r="D1211" t="str">
            <v>000042944000046783</v>
          </cell>
          <cell r="E1211" t="str">
            <v>链条</v>
          </cell>
          <cell r="F1211" t="str">
            <v>HB2-62-1</v>
          </cell>
          <cell r="G1211" t="str">
            <v>L=100</v>
          </cell>
          <cell r="H1211" t="str">
            <v/>
          </cell>
          <cell r="I1211" t="str">
            <v>Ep·Cd·c2C</v>
          </cell>
          <cell r="J1211" t="str">
            <v>组件</v>
          </cell>
          <cell r="K1211">
            <v>19</v>
          </cell>
          <cell r="L1211">
            <v>46120</v>
          </cell>
          <cell r="M1211" t="str">
            <v>3-配货完成</v>
          </cell>
        </row>
        <row r="1211">
          <cell r="O1211">
            <v>0</v>
          </cell>
          <cell r="P1211" t="str">
            <v>哈尔滨东安实业发展有限公司</v>
          </cell>
          <cell r="Q1211" t="str">
            <v>50</v>
          </cell>
        </row>
        <row r="1211">
          <cell r="U1211" t="str">
            <v>010000913307</v>
          </cell>
          <cell r="V1211" t="str">
            <v>BIAOQIAN3</v>
          </cell>
          <cell r="W1211" t="str">
            <v/>
          </cell>
          <cell r="X1211" t="str">
            <v>CP-108-A</v>
          </cell>
          <cell r="Y1211" t="str">
            <v/>
          </cell>
          <cell r="Z1211" t="str">
            <v>1906</v>
          </cell>
          <cell r="AA1211" t="str">
            <v>1100161508</v>
          </cell>
          <cell r="AB1211">
            <v>50</v>
          </cell>
          <cell r="AC1211" t="str">
            <v/>
          </cell>
          <cell r="AD1211">
            <v>20</v>
          </cell>
          <cell r="AE1211" t="str">
            <v>G-100016975-260309-0012</v>
          </cell>
        </row>
        <row r="1212">
          <cell r="B1212" t="str">
            <v>7101097668</v>
          </cell>
          <cell r="C1212" t="str">
            <v>G2509-1542</v>
          </cell>
          <cell r="D1212" t="str">
            <v>000042944240136221</v>
          </cell>
          <cell r="E1212" t="str">
            <v>锯齿状锁紧内环锁紧螺柱</v>
          </cell>
          <cell r="F1212" t="str">
            <v>MS51989E206-23</v>
          </cell>
          <cell r="G1212" t="str">
            <v>MS51989E206-23</v>
          </cell>
          <cell r="H1212" t="str">
            <v>σb≥125KSI</v>
          </cell>
          <cell r="I1212" t="str">
            <v>钝化</v>
          </cell>
          <cell r="J1212" t="str">
            <v>A286</v>
          </cell>
          <cell r="K1212">
            <v>51</v>
          </cell>
          <cell r="L1212">
            <v>46119</v>
          </cell>
          <cell r="M1212" t="str">
            <v>3-配货完成</v>
          </cell>
        </row>
        <row r="1212">
          <cell r="O1212">
            <v>0</v>
          </cell>
          <cell r="P1212" t="str">
            <v>哈尔滨东安实业发展有限公司</v>
          </cell>
          <cell r="Q1212" t="str">
            <v>30</v>
          </cell>
        </row>
        <row r="1212">
          <cell r="U1212" t="str">
            <v>010000864013</v>
          </cell>
          <cell r="V1212" t="str">
            <v>BIAOQIAN1</v>
          </cell>
          <cell r="W1212" t="str">
            <v/>
          </cell>
          <cell r="X1212" t="str">
            <v>CP-108-A</v>
          </cell>
          <cell r="Y1212" t="str">
            <v/>
          </cell>
          <cell r="Z1212" t="str">
            <v>1906</v>
          </cell>
          <cell r="AA1212" t="str">
            <v>1100152712</v>
          </cell>
          <cell r="AB1212">
            <v>51</v>
          </cell>
          <cell r="AC1212" t="str">
            <v/>
          </cell>
          <cell r="AD1212">
            <v>173.14</v>
          </cell>
          <cell r="AE1212" t="str">
            <v>G-100016975-250905-0044</v>
          </cell>
        </row>
        <row r="1213">
          <cell r="B1213" t="str">
            <v>7101097479</v>
          </cell>
          <cell r="C1213" t="str">
            <v>G2508-0536</v>
          </cell>
          <cell r="D1213" t="str">
            <v>000042944999158281</v>
          </cell>
          <cell r="E1213" t="str">
            <v>MJ螺纹无头螺塞</v>
          </cell>
          <cell r="F1213" t="str">
            <v>Q/8S1492-2023</v>
          </cell>
          <cell r="G1213" t="str">
            <v>LB-0508</v>
          </cell>
          <cell r="H1213" t="str">
            <v>σb≥260MPa</v>
          </cell>
          <cell r="I1213" t="str">
            <v>硫酸阳极化</v>
          </cell>
          <cell r="J1213" t="str">
            <v>6061</v>
          </cell>
          <cell r="K1213">
            <v>47</v>
          </cell>
          <cell r="L1213">
            <v>46119</v>
          </cell>
          <cell r="M1213" t="str">
            <v>3-配货完成</v>
          </cell>
        </row>
        <row r="1213">
          <cell r="O1213">
            <v>0</v>
          </cell>
          <cell r="P1213" t="str">
            <v>哈尔滨东安实业发展有限公司</v>
          </cell>
          <cell r="Q1213" t="str">
            <v>20</v>
          </cell>
        </row>
        <row r="1213">
          <cell r="U1213" t="str">
            <v>010000853001</v>
          </cell>
          <cell r="V1213" t="str">
            <v>BIAOQIAN1</v>
          </cell>
          <cell r="W1213" t="str">
            <v/>
          </cell>
          <cell r="X1213" t="str">
            <v>CP-108-A</v>
          </cell>
          <cell r="Y1213" t="str">
            <v/>
          </cell>
          <cell r="Z1213" t="str">
            <v>1906</v>
          </cell>
          <cell r="AA1213" t="str">
            <v>1100142186</v>
          </cell>
          <cell r="AB1213">
            <v>50</v>
          </cell>
          <cell r="AC1213" t="str">
            <v/>
          </cell>
          <cell r="AD1213">
            <v>85</v>
          </cell>
          <cell r="AE1213" t="str">
            <v>G-100016975-250225-0014</v>
          </cell>
        </row>
        <row r="1214">
          <cell r="B1214" t="str">
            <v>7101097478</v>
          </cell>
          <cell r="C1214" t="str">
            <v>G2508-0536</v>
          </cell>
          <cell r="D1214" t="str">
            <v>000042944999158281</v>
          </cell>
          <cell r="E1214" t="str">
            <v>MJ螺纹无头螺塞</v>
          </cell>
          <cell r="F1214" t="str">
            <v>Q/8S1492-2023</v>
          </cell>
          <cell r="G1214" t="str">
            <v>LB-0508</v>
          </cell>
          <cell r="H1214" t="str">
            <v>σb≥260MPa</v>
          </cell>
          <cell r="I1214" t="str">
            <v>硫酸阳极化</v>
          </cell>
          <cell r="J1214" t="str">
            <v>6061</v>
          </cell>
          <cell r="K1214">
            <v>20</v>
          </cell>
          <cell r="L1214">
            <v>46119</v>
          </cell>
          <cell r="M1214" t="str">
            <v>3-配货完成</v>
          </cell>
        </row>
        <row r="1214">
          <cell r="O1214">
            <v>0</v>
          </cell>
          <cell r="P1214" t="str">
            <v>哈尔滨东安实业发展有限公司</v>
          </cell>
          <cell r="Q1214" t="str">
            <v>60</v>
          </cell>
        </row>
        <row r="1214">
          <cell r="U1214" t="str">
            <v>010000853001</v>
          </cell>
          <cell r="V1214" t="str">
            <v>BIAOQIAN1</v>
          </cell>
          <cell r="W1214" t="str">
            <v/>
          </cell>
          <cell r="X1214" t="str">
            <v>CP-108-A</v>
          </cell>
          <cell r="Y1214" t="str">
            <v/>
          </cell>
          <cell r="Z1214" t="str">
            <v>1906</v>
          </cell>
          <cell r="AA1214" t="str">
            <v>1100141177</v>
          </cell>
          <cell r="AB1214">
            <v>20</v>
          </cell>
          <cell r="AC1214" t="str">
            <v/>
          </cell>
          <cell r="AD1214">
            <v>85</v>
          </cell>
          <cell r="AE1214" t="str">
            <v>G-100016975-250210-0006-1</v>
          </cell>
        </row>
        <row r="1215">
          <cell r="B1215" t="str">
            <v>7101096920</v>
          </cell>
          <cell r="C1215" t="str">
            <v>G2603-1080</v>
          </cell>
          <cell r="D1215" t="str">
            <v>000042944000020595</v>
          </cell>
          <cell r="E1215" t="str">
            <v>波形弹性卡箍</v>
          </cell>
          <cell r="F1215" t="str">
            <v>8S.DFD20.9.001</v>
          </cell>
          <cell r="G1215" t="str">
            <v>-</v>
          </cell>
          <cell r="H1215" t="str">
            <v/>
          </cell>
          <cell r="I1215" t="str">
            <v/>
          </cell>
          <cell r="J1215" t="str">
            <v>0Cr18Ni9</v>
          </cell>
          <cell r="K1215">
            <v>43</v>
          </cell>
          <cell r="L1215">
            <v>46118</v>
          </cell>
          <cell r="M1215" t="str">
            <v>4-检验完成</v>
          </cell>
        </row>
        <row r="1215">
          <cell r="O1215">
            <v>0</v>
          </cell>
          <cell r="P1215" t="str">
            <v>哈尔滨东安实业发展有限公司</v>
          </cell>
          <cell r="Q1215" t="str">
            <v>80</v>
          </cell>
          <cell r="R1215">
            <v>46121</v>
          </cell>
        </row>
        <row r="1215">
          <cell r="U1215" t="str">
            <v>010000925849</v>
          </cell>
          <cell r="V1215" t="str">
            <v>BIAOQIAN2</v>
          </cell>
          <cell r="W1215" t="str">
            <v/>
          </cell>
          <cell r="X1215" t="str">
            <v>CP-108-A</v>
          </cell>
          <cell r="Y1215" t="str">
            <v/>
          </cell>
          <cell r="Z1215" t="str">
            <v>1906</v>
          </cell>
          <cell r="AA1215" t="str">
            <v>1100160153</v>
          </cell>
          <cell r="AB1215">
            <v>1095</v>
          </cell>
          <cell r="AC1215" t="str">
            <v/>
          </cell>
          <cell r="AD1215">
            <v>50</v>
          </cell>
          <cell r="AE1215" t="str">
            <v>G-100016975-260204-0007</v>
          </cell>
        </row>
        <row r="1216">
          <cell r="B1216" t="str">
            <v>7101095666</v>
          </cell>
          <cell r="C1216" t="str">
            <v>G12603-074</v>
          </cell>
          <cell r="D1216" t="str">
            <v>000042944320009721</v>
          </cell>
          <cell r="E1216" t="str">
            <v>120°沉头铆钉</v>
          </cell>
          <cell r="F1216" t="str">
            <v>HB6319-2002</v>
          </cell>
          <cell r="G1216" t="str">
            <v>2.5×5</v>
          </cell>
          <cell r="H1216" t="str">
            <v>淬火</v>
          </cell>
          <cell r="I1216" t="str">
            <v>ECP</v>
          </cell>
          <cell r="J1216" t="str">
            <v>1Cr18Ni9Ti</v>
          </cell>
          <cell r="K1216">
            <v>500</v>
          </cell>
          <cell r="L1216">
            <v>46114</v>
          </cell>
          <cell r="M1216" t="str">
            <v>3-配货完成</v>
          </cell>
        </row>
        <row r="1216">
          <cell r="O1216">
            <v>0</v>
          </cell>
          <cell r="P1216" t="str">
            <v>哈尔滨东安实业发展有限公司</v>
          </cell>
          <cell r="Q1216" t="str">
            <v>10</v>
          </cell>
        </row>
        <row r="1216">
          <cell r="U1216" t="str">
            <v/>
          </cell>
          <cell r="V1216" t="str">
            <v>BIAOQIAN2</v>
          </cell>
          <cell r="W1216" t="str">
            <v/>
          </cell>
          <cell r="X1216" t="str">
            <v>XH-000</v>
          </cell>
          <cell r="Y1216" t="str">
            <v/>
          </cell>
          <cell r="Z1216" t="str">
            <v>1906</v>
          </cell>
          <cell r="AA1216" t="str">
            <v>1100161947</v>
          </cell>
          <cell r="AB1216">
            <v>500</v>
          </cell>
          <cell r="AC1216" t="str">
            <v/>
          </cell>
          <cell r="AD1216">
            <v>0.8</v>
          </cell>
          <cell r="AE1216" t="str">
            <v>G-100016975-260317-0014-1-H-XH</v>
          </cell>
        </row>
        <row r="1217">
          <cell r="B1217" t="str">
            <v>7101092974</v>
          </cell>
          <cell r="C1217" t="str">
            <v>G2512-1684</v>
          </cell>
          <cell r="D1217" t="str">
            <v>000042944239133992</v>
          </cell>
          <cell r="E1217" t="str">
            <v>D头螺栓</v>
          </cell>
          <cell r="F1217" t="str">
            <v>S7506.019</v>
          </cell>
          <cell r="G1217" t="str">
            <v>-</v>
          </cell>
          <cell r="H1217" t="str">
            <v>36-46.5HRC</v>
          </cell>
          <cell r="I1217" t="str">
            <v/>
          </cell>
          <cell r="J1217" t="str">
            <v>GH4169</v>
          </cell>
          <cell r="K1217">
            <v>39</v>
          </cell>
          <cell r="L1217">
            <v>46108</v>
          </cell>
          <cell r="M1217" t="str">
            <v>3-配货完成</v>
          </cell>
        </row>
        <row r="1217">
          <cell r="O1217">
            <v>0</v>
          </cell>
          <cell r="P1217" t="str">
            <v>哈尔滨东安实业发展有限公司</v>
          </cell>
          <cell r="Q1217" t="str">
            <v>10</v>
          </cell>
        </row>
        <row r="1217">
          <cell r="U1217" t="str">
            <v>010000896848</v>
          </cell>
          <cell r="V1217" t="str">
            <v>BIAOQIAN2</v>
          </cell>
          <cell r="W1217" t="str">
            <v/>
          </cell>
          <cell r="X1217" t="str">
            <v>CP-60-3-2-17</v>
          </cell>
          <cell r="Y1217" t="str">
            <v/>
          </cell>
          <cell r="Z1217" t="str">
            <v>1906</v>
          </cell>
          <cell r="AA1217" t="str">
            <v>1100162396</v>
          </cell>
          <cell r="AB1217">
            <v>420</v>
          </cell>
          <cell r="AC1217" t="str">
            <v/>
          </cell>
          <cell r="AD1217">
            <v>96</v>
          </cell>
          <cell r="AE1217" t="str">
            <v>G-100016975-260325-0018</v>
          </cell>
        </row>
        <row r="1218">
          <cell r="B1218" t="str">
            <v>7101092974</v>
          </cell>
          <cell r="C1218" t="str">
            <v>G2506-2034</v>
          </cell>
          <cell r="D1218" t="str">
            <v>000042944239133906</v>
          </cell>
          <cell r="E1218" t="str">
            <v>转接盘连接螺栓</v>
          </cell>
          <cell r="F1218" t="str">
            <v>S7506.023</v>
          </cell>
          <cell r="G1218" t="str">
            <v>-</v>
          </cell>
          <cell r="H1218" t="str">
            <v>36-46.5HRC</v>
          </cell>
          <cell r="I1218" t="str">
            <v/>
          </cell>
          <cell r="J1218" t="str">
            <v>GH4169</v>
          </cell>
          <cell r="K1218">
            <v>61</v>
          </cell>
          <cell r="L1218">
            <v>46108</v>
          </cell>
          <cell r="M1218" t="str">
            <v>3-配货完成</v>
          </cell>
        </row>
        <row r="1218">
          <cell r="O1218">
            <v>0</v>
          </cell>
          <cell r="P1218" t="str">
            <v>哈尔滨东安实业发展有限公司</v>
          </cell>
          <cell r="Q1218" t="str">
            <v>20</v>
          </cell>
        </row>
        <row r="1218">
          <cell r="U1218" t="str">
            <v>010000839188</v>
          </cell>
          <cell r="V1218" t="str">
            <v>BIAOQIAN2</v>
          </cell>
          <cell r="W1218" t="str">
            <v/>
          </cell>
          <cell r="X1218" t="str">
            <v>CP-32-3-4-15</v>
          </cell>
          <cell r="Y1218" t="str">
            <v/>
          </cell>
          <cell r="Z1218" t="str">
            <v>1906</v>
          </cell>
          <cell r="AA1218" t="str">
            <v>1100162396</v>
          </cell>
          <cell r="AB1218">
            <v>596</v>
          </cell>
          <cell r="AC1218" t="str">
            <v/>
          </cell>
          <cell r="AD1218">
            <v>96</v>
          </cell>
          <cell r="AE1218" t="str">
            <v>G-100016975-260325-0018</v>
          </cell>
        </row>
        <row r="1219">
          <cell r="B1219" t="str">
            <v>7101079326</v>
          </cell>
          <cell r="C1219" t="str">
            <v>G2507-1797</v>
          </cell>
          <cell r="D1219" t="str">
            <v>000042944319000359</v>
          </cell>
          <cell r="E1219" t="str">
            <v>抗剪型高锁螺母</v>
          </cell>
          <cell r="F1219" t="str">
            <v>GJB134.1-1986 M6 LY12-CS 红色阳极化</v>
          </cell>
          <cell r="G1219" t="str">
            <v>M6</v>
          </cell>
          <cell r="H1219" t="str">
            <v/>
          </cell>
          <cell r="I1219" t="str">
            <v>Et·A(s)·Cl(RD)+十六醇</v>
          </cell>
          <cell r="J1219" t="str">
            <v>LY12-CS</v>
          </cell>
          <cell r="K1219">
            <v>85</v>
          </cell>
          <cell r="L1219">
            <v>46078</v>
          </cell>
          <cell r="M1219" t="str">
            <v>3-配货完成</v>
          </cell>
        </row>
        <row r="1219">
          <cell r="O1219">
            <v>0</v>
          </cell>
          <cell r="P1219" t="str">
            <v>哈尔滨东安实业发展有限公司</v>
          </cell>
          <cell r="Q1219" t="str">
            <v>20</v>
          </cell>
        </row>
        <row r="1219">
          <cell r="U1219" t="str">
            <v>010000847896</v>
          </cell>
          <cell r="V1219" t="str">
            <v>BIAOQIAN4</v>
          </cell>
          <cell r="W1219" t="str">
            <v/>
          </cell>
          <cell r="X1219" t="str">
            <v>CP-108-A</v>
          </cell>
          <cell r="Y1219" t="str">
            <v/>
          </cell>
          <cell r="Z1219" t="str">
            <v>1906</v>
          </cell>
          <cell r="AA1219" t="str">
            <v>1100153644</v>
          </cell>
          <cell r="AB1219">
            <v>85</v>
          </cell>
          <cell r="AC1219" t="str">
            <v>GJ2507-01797</v>
          </cell>
          <cell r="AD1219">
            <v>39.2</v>
          </cell>
          <cell r="AE1219" t="str">
            <v>G-100016975-250925-0053</v>
          </cell>
        </row>
        <row r="1220">
          <cell r="B1220" t="str">
            <v>7101073898</v>
          </cell>
          <cell r="C1220" t="str">
            <v>G2312-0470</v>
          </cell>
          <cell r="D1220" t="str">
            <v>000042944999002605</v>
          </cell>
          <cell r="E1220" t="str">
            <v>带键锁紧螺桩</v>
          </cell>
          <cell r="F1220" t="str">
            <v>8S.DFD20.3.802</v>
          </cell>
          <cell r="G1220" t="str">
            <v>-</v>
          </cell>
          <cell r="H1220" t="str">
            <v/>
          </cell>
          <cell r="I1220" t="str">
            <v/>
          </cell>
          <cell r="J1220" t="str">
            <v>组件</v>
          </cell>
          <cell r="K1220">
            <v>50</v>
          </cell>
          <cell r="L1220">
            <v>46058</v>
          </cell>
          <cell r="M1220" t="str">
            <v>3-配货完成</v>
          </cell>
        </row>
        <row r="1220">
          <cell r="O1220">
            <v>0</v>
          </cell>
          <cell r="P1220" t="str">
            <v>哈尔滨东安实业发展有限公司</v>
          </cell>
          <cell r="Q1220" t="str">
            <v>10</v>
          </cell>
        </row>
        <row r="1220">
          <cell r="U1220" t="str">
            <v>010000657073</v>
          </cell>
          <cell r="V1220" t="str">
            <v>BIAOQIAN2</v>
          </cell>
          <cell r="W1220" t="str">
            <v/>
          </cell>
          <cell r="X1220" t="str">
            <v>CP-108-A/CP-C8-2-4-3</v>
          </cell>
          <cell r="Y1220" t="str">
            <v/>
          </cell>
          <cell r="Z1220" t="str">
            <v>1906</v>
          </cell>
          <cell r="AA1220" t="str">
            <v>1100160140</v>
          </cell>
          <cell r="AB1220">
            <v>50</v>
          </cell>
          <cell r="AC1220" t="str">
            <v>GJ2312-00470-S-1A</v>
          </cell>
          <cell r="AD1220">
            <v>197</v>
          </cell>
          <cell r="AE1220" t="str">
            <v>G-100016975-260204-0008XH</v>
          </cell>
        </row>
        <row r="1221">
          <cell r="B1221" t="str">
            <v>7101022910</v>
          </cell>
          <cell r="C1221" t="str">
            <v>G2505-1321</v>
          </cell>
          <cell r="D1221" t="str">
            <v>000042944360151880</v>
          </cell>
          <cell r="E1221" t="str">
            <v>圆柱销</v>
          </cell>
          <cell r="F1221" t="str">
            <v>Q/8S1337.1-2024</v>
          </cell>
          <cell r="G1221" t="str">
            <v>A-014</v>
          </cell>
          <cell r="H1221" t="str">
            <v>27-35HRC</v>
          </cell>
          <cell r="I1221" t="str">
            <v>Ct·P</v>
          </cell>
          <cell r="J1221" t="str">
            <v>GH2132</v>
          </cell>
          <cell r="K1221">
            <v>15</v>
          </cell>
          <cell r="L1221">
            <v>45947</v>
          </cell>
          <cell r="M1221" t="str">
            <v>3-配货完成</v>
          </cell>
        </row>
        <row r="1221">
          <cell r="O1221">
            <v>0</v>
          </cell>
          <cell r="P1221" t="str">
            <v>哈尔滨东安实业发展有限公司</v>
          </cell>
          <cell r="Q1221" t="str">
            <v>30</v>
          </cell>
        </row>
        <row r="1221">
          <cell r="U1221" t="str">
            <v>010000827084</v>
          </cell>
          <cell r="V1221" t="str">
            <v>BIAOQIAN2</v>
          </cell>
          <cell r="W1221" t="str">
            <v/>
          </cell>
          <cell r="X1221" t="str">
            <v>CP-108-A</v>
          </cell>
          <cell r="Y1221" t="str">
            <v/>
          </cell>
          <cell r="Z1221" t="str">
            <v>1906</v>
          </cell>
          <cell r="AA1221" t="str">
            <v>1100141949</v>
          </cell>
          <cell r="AB1221">
            <v>15</v>
          </cell>
          <cell r="AC1221" t="str">
            <v/>
          </cell>
          <cell r="AD1221">
            <v>34.83</v>
          </cell>
          <cell r="AE1221" t="str">
            <v>G-100016975-250221-0010-1</v>
          </cell>
        </row>
        <row r="1222">
          <cell r="B1222" t="str">
            <v>7101101566</v>
          </cell>
          <cell r="C1222" t="str">
            <v>G02604-031</v>
          </cell>
          <cell r="D1222" t="str">
            <v>000042944402000426</v>
          </cell>
          <cell r="E1222" t="str">
            <v>轻型不锈钢弹簧垫圈</v>
          </cell>
          <cell r="F1222" t="str">
            <v>QJ2963.3-1997</v>
          </cell>
          <cell r="G1222" t="str">
            <v>5</v>
          </cell>
          <cell r="H1222" t="str">
            <v/>
          </cell>
          <cell r="I1222" t="str">
            <v/>
          </cell>
          <cell r="J1222" t="str">
            <v>1Cr18Ni9Ti</v>
          </cell>
          <cell r="K1222">
            <v>38</v>
          </cell>
          <cell r="L1222">
            <v>46126</v>
          </cell>
          <cell r="M1222" t="str">
            <v>3-配货完成</v>
          </cell>
        </row>
        <row r="1222">
          <cell r="O1222">
            <v>0</v>
          </cell>
          <cell r="P1222" t="str">
            <v>重庆红宇精密工业集团有限公司</v>
          </cell>
          <cell r="Q1222" t="str">
            <v>30</v>
          </cell>
        </row>
        <row r="1222">
          <cell r="U1222" t="str">
            <v>010000937168</v>
          </cell>
          <cell r="V1222" t="str">
            <v>BIAOQIAN3</v>
          </cell>
          <cell r="W1222" t="str">
            <v/>
          </cell>
          <cell r="X1222" t="str">
            <v>CP-108-A</v>
          </cell>
          <cell r="Y1222" t="str">
            <v/>
          </cell>
          <cell r="Z1222" t="str">
            <v>1902</v>
          </cell>
          <cell r="AA1222" t="str">
            <v>1100159279</v>
          </cell>
          <cell r="AB1222">
            <v>600</v>
          </cell>
          <cell r="AC1222" t="str">
            <v/>
          </cell>
          <cell r="AD1222">
            <v>0.6</v>
          </cell>
          <cell r="AE1222" t="str">
            <v>G-100015451-260120-0001</v>
          </cell>
        </row>
        <row r="1223">
          <cell r="B1223" t="str">
            <v>7101101553</v>
          </cell>
          <cell r="C1223" t="str">
            <v>G02604-014</v>
          </cell>
          <cell r="D1223" t="str">
            <v>000042944402000413</v>
          </cell>
          <cell r="E1223" t="str">
            <v>轻型不锈钢弹簧垫圈</v>
          </cell>
          <cell r="F1223" t="str">
            <v>QJ2963.3-1997</v>
          </cell>
          <cell r="G1223" t="str">
            <v>6</v>
          </cell>
          <cell r="H1223" t="str">
            <v/>
          </cell>
          <cell r="I1223" t="str">
            <v>ECP</v>
          </cell>
          <cell r="J1223" t="str">
            <v>1Cr18Ni9Ti</v>
          </cell>
          <cell r="K1223">
            <v>600</v>
          </cell>
          <cell r="L1223">
            <v>46126</v>
          </cell>
          <cell r="M1223" t="str">
            <v>3-配货完成</v>
          </cell>
        </row>
        <row r="1223">
          <cell r="O1223">
            <v>0</v>
          </cell>
          <cell r="P1223" t="str">
            <v>重庆红宇精密工业集团有限公司</v>
          </cell>
          <cell r="Q1223" t="str">
            <v>50</v>
          </cell>
        </row>
        <row r="1223">
          <cell r="U1223" t="str">
            <v>010000937034</v>
          </cell>
          <cell r="V1223" t="str">
            <v>BIAOQIAN1</v>
          </cell>
          <cell r="W1223" t="str">
            <v/>
          </cell>
          <cell r="X1223" t="str">
            <v>CP-108-A</v>
          </cell>
          <cell r="Y1223" t="str">
            <v/>
          </cell>
          <cell r="Z1223" t="str">
            <v>1902</v>
          </cell>
          <cell r="AA1223" t="str">
            <v>1100159279</v>
          </cell>
          <cell r="AB1223">
            <v>600</v>
          </cell>
          <cell r="AC1223" t="str">
            <v/>
          </cell>
          <cell r="AD1223">
            <v>0.8</v>
          </cell>
          <cell r="AE1223" t="str">
            <v>G-100015451-260120-0001</v>
          </cell>
        </row>
        <row r="1224">
          <cell r="B1224" t="str">
            <v>7101101195</v>
          </cell>
          <cell r="C1224" t="str">
            <v>G2603-1446</v>
          </cell>
          <cell r="D1224" t="str">
            <v>000042944288117418</v>
          </cell>
          <cell r="E1224" t="str">
            <v>双耳游动自锁托板螺母</v>
          </cell>
          <cell r="F1224" t="str">
            <v>AS3481-04</v>
          </cell>
          <cell r="G1224" t="str">
            <v>AS3481-04</v>
          </cell>
          <cell r="H1224" t="str">
            <v/>
          </cell>
          <cell r="I1224" t="str">
            <v/>
          </cell>
          <cell r="J1224" t="str">
            <v>组件</v>
          </cell>
          <cell r="K1224">
            <v>50</v>
          </cell>
          <cell r="L1224">
            <v>46126</v>
          </cell>
          <cell r="M1224" t="str">
            <v>3-配货完成</v>
          </cell>
        </row>
        <row r="1224">
          <cell r="O1224">
            <v>0</v>
          </cell>
          <cell r="P1224" t="str">
            <v>哈尔滨东安实业发展有限公司</v>
          </cell>
          <cell r="Q1224" t="str">
            <v>10</v>
          </cell>
        </row>
        <row r="1224">
          <cell r="U1224" t="str">
            <v>010000928034</v>
          </cell>
          <cell r="V1224" t="str">
            <v>BIAOQIAN1</v>
          </cell>
          <cell r="W1224" t="str">
            <v/>
          </cell>
          <cell r="X1224" t="str">
            <v>CP-108-A</v>
          </cell>
          <cell r="Y1224" t="str">
            <v/>
          </cell>
          <cell r="Z1224" t="str">
            <v>1906</v>
          </cell>
          <cell r="AA1224" t="str">
            <v>1100159521</v>
          </cell>
          <cell r="AB1224">
            <v>50</v>
          </cell>
          <cell r="AC1224" t="str">
            <v/>
          </cell>
          <cell r="AD1224">
            <v>41.52</v>
          </cell>
          <cell r="AE1224" t="str">
            <v>G-100016975-260121-0006</v>
          </cell>
        </row>
        <row r="1225">
          <cell r="B1225" t="str">
            <v>7101097814</v>
          </cell>
          <cell r="C1225" t="str">
            <v>G2602-0743</v>
          </cell>
          <cell r="D1225" t="str">
            <v>000042944000046783</v>
          </cell>
          <cell r="E1225" t="str">
            <v>链条</v>
          </cell>
          <cell r="F1225" t="str">
            <v>HB2-62-1</v>
          </cell>
          <cell r="G1225" t="str">
            <v>L=100</v>
          </cell>
          <cell r="H1225" t="str">
            <v/>
          </cell>
          <cell r="I1225" t="str">
            <v>Ep·Cd·c2C</v>
          </cell>
          <cell r="J1225" t="str">
            <v>组件</v>
          </cell>
          <cell r="K1225">
            <v>19</v>
          </cell>
          <cell r="L1225">
            <v>46120</v>
          </cell>
          <cell r="M1225" t="str">
            <v>3-配货完成</v>
          </cell>
        </row>
        <row r="1225">
          <cell r="O1225">
            <v>0</v>
          </cell>
          <cell r="P1225" t="str">
            <v>哈尔滨东安实业发展有限公司</v>
          </cell>
          <cell r="Q1225" t="str">
            <v>50</v>
          </cell>
        </row>
        <row r="1225">
          <cell r="U1225" t="str">
            <v>010000913307</v>
          </cell>
          <cell r="V1225" t="str">
            <v>BIAOQIAN3</v>
          </cell>
          <cell r="W1225" t="str">
            <v/>
          </cell>
          <cell r="X1225" t="str">
            <v>CP-108-A</v>
          </cell>
          <cell r="Y1225" t="str">
            <v/>
          </cell>
          <cell r="Z1225" t="str">
            <v>1906</v>
          </cell>
          <cell r="AA1225" t="str">
            <v>1100161508</v>
          </cell>
          <cell r="AB1225">
            <v>50</v>
          </cell>
          <cell r="AC1225" t="str">
            <v/>
          </cell>
          <cell r="AD1225">
            <v>20</v>
          </cell>
          <cell r="AE1225" t="str">
            <v>G-100016975-260309-0012</v>
          </cell>
        </row>
        <row r="1226">
          <cell r="B1226" t="str">
            <v>7101095666</v>
          </cell>
          <cell r="C1226" t="str">
            <v>G12603-074</v>
          </cell>
          <cell r="D1226" t="str">
            <v>000042944320009721</v>
          </cell>
          <cell r="E1226" t="str">
            <v>120°沉头铆钉</v>
          </cell>
          <cell r="F1226" t="str">
            <v>HB6319-2002</v>
          </cell>
          <cell r="G1226" t="str">
            <v>2.5×5</v>
          </cell>
          <cell r="H1226" t="str">
            <v>淬火</v>
          </cell>
          <cell r="I1226" t="str">
            <v>ECP</v>
          </cell>
          <cell r="J1226" t="str">
            <v>ML1Cr18Ni9Ti</v>
          </cell>
          <cell r="K1226">
            <v>500</v>
          </cell>
          <cell r="L1226">
            <v>46114</v>
          </cell>
          <cell r="M1226" t="str">
            <v>3-配货完成</v>
          </cell>
        </row>
        <row r="1226">
          <cell r="O1226">
            <v>0</v>
          </cell>
          <cell r="P1226" t="str">
            <v>哈尔滨东安实业发展有限公司</v>
          </cell>
          <cell r="Q1226" t="str">
            <v>10</v>
          </cell>
        </row>
        <row r="1226">
          <cell r="U1226" t="str">
            <v/>
          </cell>
          <cell r="V1226" t="str">
            <v>BIAOQIAN2</v>
          </cell>
          <cell r="W1226" t="str">
            <v/>
          </cell>
          <cell r="X1226" t="str">
            <v>XH-000</v>
          </cell>
          <cell r="Y1226" t="str">
            <v/>
          </cell>
          <cell r="Z1226" t="str">
            <v>1906</v>
          </cell>
          <cell r="AA1226" t="str">
            <v>1100161947</v>
          </cell>
          <cell r="AB1226">
            <v>500</v>
          </cell>
          <cell r="AC1226" t="str">
            <v/>
          </cell>
          <cell r="AD1226">
            <v>0.8</v>
          </cell>
          <cell r="AE1226" t="str">
            <v>G-100016975-260317-0014-1-H-XH</v>
          </cell>
        </row>
        <row r="1227">
          <cell r="B1227" t="str">
            <v>7101092974</v>
          </cell>
          <cell r="C1227" t="str">
            <v>G2512-1684</v>
          </cell>
          <cell r="D1227" t="str">
            <v>000042944239133992</v>
          </cell>
          <cell r="E1227" t="str">
            <v>D头螺栓</v>
          </cell>
          <cell r="F1227" t="str">
            <v>S7506.019</v>
          </cell>
          <cell r="G1227" t="str">
            <v>-</v>
          </cell>
          <cell r="H1227" t="str">
            <v>36-46.5HRC</v>
          </cell>
          <cell r="I1227" t="str">
            <v/>
          </cell>
          <cell r="J1227" t="str">
            <v>GH4169</v>
          </cell>
          <cell r="K1227">
            <v>39</v>
          </cell>
          <cell r="L1227">
            <v>46108</v>
          </cell>
          <cell r="M1227" t="str">
            <v>3-配货完成</v>
          </cell>
        </row>
        <row r="1227">
          <cell r="O1227">
            <v>0</v>
          </cell>
          <cell r="P1227" t="str">
            <v>哈尔滨东安实业发展有限公司</v>
          </cell>
          <cell r="Q1227" t="str">
            <v>10</v>
          </cell>
        </row>
        <row r="1227">
          <cell r="U1227" t="str">
            <v>010000896848</v>
          </cell>
          <cell r="V1227" t="str">
            <v>BIAOQIAN2</v>
          </cell>
          <cell r="W1227" t="str">
            <v/>
          </cell>
          <cell r="X1227" t="str">
            <v>CP-60-3-2-17</v>
          </cell>
          <cell r="Y1227" t="str">
            <v/>
          </cell>
          <cell r="Z1227" t="str">
            <v>1906</v>
          </cell>
          <cell r="AA1227" t="str">
            <v>1100162396</v>
          </cell>
          <cell r="AB1227">
            <v>420</v>
          </cell>
          <cell r="AC1227" t="str">
            <v/>
          </cell>
          <cell r="AD1227">
            <v>96</v>
          </cell>
          <cell r="AE1227" t="str">
            <v>G-100016975-260325-0018</v>
          </cell>
        </row>
        <row r="1228">
          <cell r="B1228" t="str">
            <v>7101079326</v>
          </cell>
          <cell r="C1228" t="str">
            <v>G2507-1797</v>
          </cell>
          <cell r="D1228" t="str">
            <v>000042944319000359</v>
          </cell>
          <cell r="E1228" t="str">
            <v>抗剪型高锁螺母</v>
          </cell>
          <cell r="F1228" t="str">
            <v>GJB134.1-1986 M6 LY12-CS 红色阳极化</v>
          </cell>
          <cell r="G1228" t="str">
            <v>M6</v>
          </cell>
          <cell r="H1228" t="str">
            <v/>
          </cell>
          <cell r="I1228" t="str">
            <v>Et·A(s)·Cl(RD)+十六醇</v>
          </cell>
          <cell r="J1228" t="str">
            <v>LY12-CS</v>
          </cell>
          <cell r="K1228">
            <v>85</v>
          </cell>
          <cell r="L1228">
            <v>46078</v>
          </cell>
          <cell r="M1228" t="str">
            <v>3-配货完成</v>
          </cell>
        </row>
        <row r="1228">
          <cell r="O1228">
            <v>0</v>
          </cell>
          <cell r="P1228" t="str">
            <v>哈尔滨东安实业发展有限公司</v>
          </cell>
          <cell r="Q1228" t="str">
            <v>20</v>
          </cell>
        </row>
        <row r="1228">
          <cell r="U1228" t="str">
            <v>010000847896</v>
          </cell>
          <cell r="V1228" t="str">
            <v>BIAOQIAN4</v>
          </cell>
          <cell r="W1228" t="str">
            <v/>
          </cell>
          <cell r="X1228" t="str">
            <v>CP-108-A</v>
          </cell>
          <cell r="Y1228" t="str">
            <v/>
          </cell>
          <cell r="Z1228" t="str">
            <v>1906</v>
          </cell>
          <cell r="AA1228" t="str">
            <v>1100153644</v>
          </cell>
          <cell r="AB1228">
            <v>85</v>
          </cell>
          <cell r="AC1228" t="str">
            <v>GJ2507-01797</v>
          </cell>
          <cell r="AD1228">
            <v>39.2</v>
          </cell>
          <cell r="AE1228" t="str">
            <v>G-100016975-250925-0053</v>
          </cell>
        </row>
        <row r="1229">
          <cell r="B1229" t="str">
            <v>7101073898</v>
          </cell>
          <cell r="C1229" t="str">
            <v>G2312-0470</v>
          </cell>
          <cell r="D1229" t="str">
            <v>000042944999002605</v>
          </cell>
          <cell r="E1229" t="str">
            <v>带键锁紧螺桩</v>
          </cell>
          <cell r="F1229" t="str">
            <v>8S.DFD20.3.802</v>
          </cell>
          <cell r="G1229" t="str">
            <v>-</v>
          </cell>
          <cell r="H1229" t="str">
            <v/>
          </cell>
          <cell r="I1229" t="str">
            <v/>
          </cell>
          <cell r="J1229" t="str">
            <v>组件</v>
          </cell>
          <cell r="K1229">
            <v>50</v>
          </cell>
          <cell r="L1229">
            <v>46058</v>
          </cell>
          <cell r="M1229" t="str">
            <v>3-配货完成</v>
          </cell>
        </row>
        <row r="1229">
          <cell r="O1229">
            <v>0</v>
          </cell>
          <cell r="P1229" t="str">
            <v>哈尔滨东安实业发展有限公司</v>
          </cell>
          <cell r="Q1229" t="str">
            <v>10</v>
          </cell>
        </row>
        <row r="1229">
          <cell r="U1229" t="str">
            <v>010000657073</v>
          </cell>
          <cell r="V1229" t="str">
            <v>BIAOQIAN2</v>
          </cell>
          <cell r="W1229" t="str">
            <v/>
          </cell>
          <cell r="X1229" t="str">
            <v>CP-108-A/CP-C8-2-4-3</v>
          </cell>
          <cell r="Y1229" t="str">
            <v/>
          </cell>
          <cell r="Z1229" t="str">
            <v>1906</v>
          </cell>
          <cell r="AA1229" t="str">
            <v>1100160140</v>
          </cell>
          <cell r="AB1229">
            <v>50</v>
          </cell>
          <cell r="AC1229" t="str">
            <v>GJ2312-00470-S-1A</v>
          </cell>
          <cell r="AD1229">
            <v>197</v>
          </cell>
          <cell r="AE1229" t="str">
            <v>G-100016975-260204-0008XH</v>
          </cell>
        </row>
        <row r="1230">
          <cell r="B1230" t="str">
            <v>7101103532</v>
          </cell>
          <cell r="C1230" t="str">
            <v>G12602-082</v>
          </cell>
          <cell r="D1230" t="str">
            <v>000042944360002496</v>
          </cell>
          <cell r="E1230" t="str">
            <v>开口销</v>
          </cell>
          <cell r="F1230" t="str">
            <v>GB/T91-2000</v>
          </cell>
          <cell r="G1230" t="str">
            <v>2×16</v>
          </cell>
          <cell r="H1230" t="str">
            <v/>
          </cell>
          <cell r="I1230" t="str">
            <v>ECP</v>
          </cell>
          <cell r="J1230" t="str">
            <v>1Cr18Ni9Ti</v>
          </cell>
          <cell r="K1230">
            <v>100</v>
          </cell>
          <cell r="L1230">
            <v>46130</v>
          </cell>
          <cell r="M1230" t="str">
            <v>3-配货完成</v>
          </cell>
        </row>
        <row r="1230">
          <cell r="O1230">
            <v>0</v>
          </cell>
          <cell r="P1230" t="str">
            <v>中国运载火箭技术研究院</v>
          </cell>
          <cell r="Q1230" t="str">
            <v>80</v>
          </cell>
        </row>
        <row r="1230">
          <cell r="U1230" t="str">
            <v/>
          </cell>
          <cell r="V1230" t="str">
            <v>BIAOQIAN1</v>
          </cell>
          <cell r="W1230" t="str">
            <v/>
          </cell>
          <cell r="X1230" t="str">
            <v>XH-000</v>
          </cell>
          <cell r="Y1230" t="str">
            <v/>
          </cell>
          <cell r="Z1230" t="str">
            <v>1901</v>
          </cell>
          <cell r="AA1230" t="str">
            <v>1100159314</v>
          </cell>
          <cell r="AB1230">
            <v>100</v>
          </cell>
          <cell r="AC1230" t="str">
            <v/>
          </cell>
          <cell r="AD1230">
            <v>1.9</v>
          </cell>
          <cell r="AE1230" t="str">
            <v>G-100001932-260121-0118-1-H</v>
          </cell>
        </row>
        <row r="1231">
          <cell r="B1231" t="str">
            <v>7101103520</v>
          </cell>
          <cell r="C1231" t="str">
            <v>G12602-078</v>
          </cell>
          <cell r="D1231" t="str">
            <v>000042944360002496</v>
          </cell>
          <cell r="E1231" t="str">
            <v>开口销</v>
          </cell>
          <cell r="F1231" t="str">
            <v>GB/T91-2000</v>
          </cell>
          <cell r="G1231" t="str">
            <v>2×16</v>
          </cell>
          <cell r="H1231" t="str">
            <v/>
          </cell>
          <cell r="I1231" t="str">
            <v>ECP</v>
          </cell>
          <cell r="J1231" t="str">
            <v>1Cr18Ni9Ti</v>
          </cell>
          <cell r="K1231">
            <v>100</v>
          </cell>
          <cell r="L1231">
            <v>46130</v>
          </cell>
          <cell r="M1231" t="str">
            <v>3-配货完成</v>
          </cell>
        </row>
        <row r="1231">
          <cell r="O1231">
            <v>0</v>
          </cell>
          <cell r="P1231" t="str">
            <v>中国运载火箭技术研究院</v>
          </cell>
          <cell r="Q1231" t="str">
            <v>100</v>
          </cell>
        </row>
        <row r="1231">
          <cell r="U1231" t="str">
            <v/>
          </cell>
          <cell r="V1231" t="str">
            <v>BIAOQIAN1</v>
          </cell>
          <cell r="W1231" t="str">
            <v/>
          </cell>
          <cell r="X1231" t="str">
            <v>XH-000</v>
          </cell>
          <cell r="Y1231" t="str">
            <v/>
          </cell>
          <cell r="Z1231" t="str">
            <v>1901</v>
          </cell>
          <cell r="AA1231" t="str">
            <v>1100159314</v>
          </cell>
          <cell r="AB1231">
            <v>100</v>
          </cell>
          <cell r="AC1231" t="str">
            <v/>
          </cell>
          <cell r="AD1231">
            <v>1.9</v>
          </cell>
          <cell r="AE1231" t="str">
            <v>G-100001932-260121-0118-1-H</v>
          </cell>
        </row>
        <row r="1232">
          <cell r="B1232" t="str">
            <v>7101103520</v>
          </cell>
          <cell r="C1232" t="str">
            <v>G12602-080</v>
          </cell>
          <cell r="D1232" t="str">
            <v>000042944360002496</v>
          </cell>
          <cell r="E1232" t="str">
            <v>开口销</v>
          </cell>
          <cell r="F1232" t="str">
            <v>GB/T91-2000</v>
          </cell>
          <cell r="G1232" t="str">
            <v>2×16</v>
          </cell>
          <cell r="H1232" t="str">
            <v/>
          </cell>
          <cell r="I1232" t="str">
            <v>ECP</v>
          </cell>
          <cell r="J1232" t="str">
            <v>1Cr18Ni9Ti</v>
          </cell>
          <cell r="K1232">
            <v>100</v>
          </cell>
          <cell r="L1232">
            <v>46130</v>
          </cell>
          <cell r="M1232" t="str">
            <v>3-配货完成</v>
          </cell>
        </row>
        <row r="1232">
          <cell r="O1232">
            <v>0</v>
          </cell>
          <cell r="P1232" t="str">
            <v>中国运载火箭技术研究院</v>
          </cell>
          <cell r="Q1232" t="str">
            <v>120</v>
          </cell>
        </row>
        <row r="1232">
          <cell r="U1232" t="str">
            <v/>
          </cell>
          <cell r="V1232" t="str">
            <v>BIAOQIAN1</v>
          </cell>
          <cell r="W1232" t="str">
            <v/>
          </cell>
          <cell r="X1232" t="str">
            <v>XH-000</v>
          </cell>
          <cell r="Y1232" t="str">
            <v/>
          </cell>
          <cell r="Z1232" t="str">
            <v>1901</v>
          </cell>
          <cell r="AA1232" t="str">
            <v>1100159314</v>
          </cell>
          <cell r="AB1232">
            <v>100</v>
          </cell>
          <cell r="AC1232" t="str">
            <v/>
          </cell>
          <cell r="AD1232">
            <v>1.9</v>
          </cell>
          <cell r="AE1232" t="str">
            <v>G-100001932-260121-0118-1-H</v>
          </cell>
        </row>
        <row r="1233">
          <cell r="B1233" t="str">
            <v>7101102798</v>
          </cell>
          <cell r="C1233" t="str">
            <v>G2601-9012</v>
          </cell>
          <cell r="D1233" t="str">
            <v>000042944044071579</v>
          </cell>
          <cell r="E1233" t="str">
            <v>十字槽沉头螺钉</v>
          </cell>
          <cell r="F1233" t="str">
            <v>GB/T819.2-2016</v>
          </cell>
          <cell r="G1233" t="str">
            <v>M4×12</v>
          </cell>
          <cell r="H1233" t="str">
            <v>A2-70</v>
          </cell>
          <cell r="I1233" t="str">
            <v>ECP</v>
          </cell>
          <cell r="J1233" t="str">
            <v>1Cr18Ni9Ti</v>
          </cell>
          <cell r="K1233">
            <v>8</v>
          </cell>
          <cell r="L1233">
            <v>46128</v>
          </cell>
          <cell r="M1233" t="str">
            <v>0-初始未打印</v>
          </cell>
        </row>
        <row r="1233">
          <cell r="O1233">
            <v>0</v>
          </cell>
          <cell r="P1233" t="str">
            <v>中国运载火箭技术研究院</v>
          </cell>
          <cell r="Q1233" t="str">
            <v>250</v>
          </cell>
        </row>
        <row r="1233">
          <cell r="U1233" t="str">
            <v>010000900452</v>
          </cell>
          <cell r="V1233" t="str">
            <v/>
          </cell>
          <cell r="W1233" t="str">
            <v/>
          </cell>
          <cell r="X1233" t="str">
            <v>CP-69-2-3-7</v>
          </cell>
          <cell r="Y1233" t="str">
            <v/>
          </cell>
          <cell r="Z1233" t="str">
            <v>1901</v>
          </cell>
          <cell r="AA1233" t="str">
            <v>1100157995</v>
          </cell>
          <cell r="AB1233">
            <v>22000</v>
          </cell>
          <cell r="AC1233" t="str">
            <v/>
          </cell>
          <cell r="AD1233">
            <v>2</v>
          </cell>
          <cell r="AE1233" t="str">
            <v>G-100001932-260103-0001</v>
          </cell>
        </row>
        <row r="1234">
          <cell r="B1234" t="str">
            <v>7101101458</v>
          </cell>
          <cell r="C1234" t="str">
            <v>G12603-031</v>
          </cell>
          <cell r="D1234" t="str">
            <v>000042944360002605</v>
          </cell>
          <cell r="E1234" t="str">
            <v>开口销</v>
          </cell>
          <cell r="F1234" t="str">
            <v>GB/T91-2000</v>
          </cell>
          <cell r="G1234" t="str">
            <v>3.2×50</v>
          </cell>
          <cell r="H1234" t="str">
            <v/>
          </cell>
          <cell r="I1234" t="str">
            <v>ECP</v>
          </cell>
          <cell r="J1234" t="str">
            <v>不锈钢</v>
          </cell>
          <cell r="K1234">
            <v>100</v>
          </cell>
          <cell r="L1234">
            <v>46126</v>
          </cell>
          <cell r="M1234" t="str">
            <v>4-检验完成</v>
          </cell>
        </row>
        <row r="1234">
          <cell r="O1234">
            <v>0</v>
          </cell>
          <cell r="P1234" t="str">
            <v>中国运载火箭技术研究院</v>
          </cell>
          <cell r="Q1234" t="str">
            <v>10</v>
          </cell>
          <cell r="R1234">
            <v>46127</v>
          </cell>
        </row>
        <row r="1234">
          <cell r="U1234" t="str">
            <v/>
          </cell>
          <cell r="V1234" t="str">
            <v>BIAOQIAN4</v>
          </cell>
          <cell r="W1234" t="str">
            <v/>
          </cell>
          <cell r="X1234" t="str">
            <v>XH-000</v>
          </cell>
          <cell r="Y1234" t="str">
            <v/>
          </cell>
          <cell r="Z1234" t="str">
            <v>1901</v>
          </cell>
          <cell r="AA1234" t="str">
            <v>1100160338</v>
          </cell>
          <cell r="AB1234">
            <v>100</v>
          </cell>
          <cell r="AC1234" t="str">
            <v/>
          </cell>
          <cell r="AD1234">
            <v>1.9</v>
          </cell>
          <cell r="AE1234" t="str">
            <v>G-100001932-260205-0207-1-H</v>
          </cell>
        </row>
        <row r="1235">
          <cell r="B1235" t="str">
            <v>7101101456</v>
          </cell>
          <cell r="C1235" t="str">
            <v>G12602-076</v>
          </cell>
          <cell r="D1235" t="str">
            <v>000042944360002540</v>
          </cell>
          <cell r="E1235" t="str">
            <v>开口销</v>
          </cell>
          <cell r="F1235" t="str">
            <v>GB/T91-2000</v>
          </cell>
          <cell r="G1235" t="str">
            <v>2×32</v>
          </cell>
          <cell r="H1235" t="str">
            <v/>
          </cell>
          <cell r="I1235" t="str">
            <v>ECP</v>
          </cell>
          <cell r="J1235" t="str">
            <v>1Cr18Ni9Ti</v>
          </cell>
          <cell r="K1235">
            <v>100</v>
          </cell>
          <cell r="L1235">
            <v>46126</v>
          </cell>
          <cell r="M1235" t="str">
            <v>4-检验完成</v>
          </cell>
        </row>
        <row r="1235">
          <cell r="O1235">
            <v>0</v>
          </cell>
          <cell r="P1235" t="str">
            <v>中国运载火箭技术研究院</v>
          </cell>
          <cell r="Q1235" t="str">
            <v>10</v>
          </cell>
          <cell r="R1235">
            <v>46128</v>
          </cell>
        </row>
        <row r="1235">
          <cell r="U1235" t="str">
            <v/>
          </cell>
          <cell r="V1235" t="str">
            <v>BIAOQIAN1</v>
          </cell>
          <cell r="W1235" t="str">
            <v/>
          </cell>
          <cell r="X1235" t="str">
            <v>XH-000</v>
          </cell>
          <cell r="Y1235" t="str">
            <v/>
          </cell>
          <cell r="Z1235" t="str">
            <v>1901</v>
          </cell>
          <cell r="AA1235" t="str">
            <v>1100160237</v>
          </cell>
          <cell r="AB1235">
            <v>100</v>
          </cell>
          <cell r="AC1235" t="str">
            <v/>
          </cell>
          <cell r="AD1235">
            <v>1.9</v>
          </cell>
          <cell r="AE1235" t="str">
            <v>G-100001932-260205-0209-1-H-XH</v>
          </cell>
        </row>
        <row r="1236">
          <cell r="B1236" t="str">
            <v>7101101454</v>
          </cell>
          <cell r="C1236" t="str">
            <v>G12603-031</v>
          </cell>
          <cell r="D1236" t="str">
            <v>000042944360002605</v>
          </cell>
          <cell r="E1236" t="str">
            <v>开口销</v>
          </cell>
          <cell r="F1236" t="str">
            <v>GB/T91-2000</v>
          </cell>
          <cell r="G1236" t="str">
            <v>3.2×50</v>
          </cell>
          <cell r="H1236" t="str">
            <v/>
          </cell>
          <cell r="I1236" t="str">
            <v>ECP</v>
          </cell>
          <cell r="J1236" t="str">
            <v>不锈钢</v>
          </cell>
          <cell r="K1236">
            <v>100</v>
          </cell>
          <cell r="L1236">
            <v>46126</v>
          </cell>
          <cell r="M1236" t="str">
            <v>3-配货完成</v>
          </cell>
        </row>
        <row r="1236">
          <cell r="O1236">
            <v>0</v>
          </cell>
          <cell r="P1236" t="str">
            <v>中国运载火箭技术研究院</v>
          </cell>
          <cell r="Q1236" t="str">
            <v>20</v>
          </cell>
        </row>
        <row r="1236">
          <cell r="U1236" t="str">
            <v/>
          </cell>
          <cell r="V1236" t="str">
            <v>BIAOQIAN4</v>
          </cell>
          <cell r="W1236" t="str">
            <v/>
          </cell>
          <cell r="X1236" t="str">
            <v>XH-000</v>
          </cell>
          <cell r="Y1236" t="str">
            <v/>
          </cell>
          <cell r="Z1236" t="str">
            <v>1901</v>
          </cell>
          <cell r="AA1236" t="str">
            <v>1100160338</v>
          </cell>
          <cell r="AB1236">
            <v>100</v>
          </cell>
          <cell r="AC1236" t="str">
            <v/>
          </cell>
          <cell r="AD1236">
            <v>1.9</v>
          </cell>
          <cell r="AE1236" t="str">
            <v>G-100001932-260205-0207-1-H</v>
          </cell>
        </row>
        <row r="1237">
          <cell r="B1237" t="str">
            <v>7101101453</v>
          </cell>
          <cell r="C1237" t="str">
            <v>G12603-102</v>
          </cell>
          <cell r="D1237" t="str">
            <v>000042944360002430</v>
          </cell>
          <cell r="E1237" t="str">
            <v>开口销</v>
          </cell>
          <cell r="F1237" t="str">
            <v>GB/T91-2000</v>
          </cell>
          <cell r="G1237" t="str">
            <v>2.5×22</v>
          </cell>
          <cell r="H1237" t="str">
            <v/>
          </cell>
          <cell r="I1237" t="str">
            <v>ECP</v>
          </cell>
          <cell r="J1237" t="str">
            <v>不锈钢</v>
          </cell>
          <cell r="K1237">
            <v>120</v>
          </cell>
          <cell r="L1237">
            <v>46126</v>
          </cell>
          <cell r="M1237" t="str">
            <v>4-检验完成</v>
          </cell>
        </row>
        <row r="1237">
          <cell r="O1237">
            <v>0</v>
          </cell>
          <cell r="P1237" t="str">
            <v>中国运载火箭技术研究院</v>
          </cell>
          <cell r="Q1237" t="str">
            <v>50</v>
          </cell>
          <cell r="R1237">
            <v>46127</v>
          </cell>
        </row>
        <row r="1237">
          <cell r="U1237" t="str">
            <v/>
          </cell>
          <cell r="V1237" t="str">
            <v>BIAOQIAN1</v>
          </cell>
          <cell r="W1237" t="str">
            <v/>
          </cell>
          <cell r="X1237" t="str">
            <v>XH-000</v>
          </cell>
          <cell r="Y1237" t="str">
            <v/>
          </cell>
          <cell r="Z1237" t="str">
            <v>1901</v>
          </cell>
          <cell r="AA1237" t="str">
            <v>1100161297</v>
          </cell>
          <cell r="AB1237">
            <v>120</v>
          </cell>
          <cell r="AC1237" t="str">
            <v/>
          </cell>
          <cell r="AD1237">
            <v>1.9</v>
          </cell>
          <cell r="AE1237" t="str">
            <v>G-100001932-260305-0288-1-H</v>
          </cell>
        </row>
        <row r="1238">
          <cell r="B1238" t="str">
            <v>7101101453</v>
          </cell>
          <cell r="C1238" t="str">
            <v>G12603-102</v>
          </cell>
          <cell r="D1238" t="str">
            <v>000042944360002430</v>
          </cell>
          <cell r="E1238" t="str">
            <v>开口销</v>
          </cell>
          <cell r="F1238" t="str">
            <v>GB/T91-2000</v>
          </cell>
          <cell r="G1238" t="str">
            <v>2.5×22</v>
          </cell>
          <cell r="H1238" t="str">
            <v/>
          </cell>
          <cell r="I1238" t="str">
            <v>ECP</v>
          </cell>
          <cell r="J1238" t="str">
            <v>不锈钢</v>
          </cell>
          <cell r="K1238">
            <v>100</v>
          </cell>
          <cell r="L1238">
            <v>46126</v>
          </cell>
          <cell r="M1238" t="str">
            <v>4-检验完成</v>
          </cell>
        </row>
        <row r="1238">
          <cell r="O1238">
            <v>0</v>
          </cell>
          <cell r="P1238" t="str">
            <v>中国运载火箭技术研究院</v>
          </cell>
          <cell r="Q1238" t="str">
            <v>60</v>
          </cell>
          <cell r="R1238">
            <v>46127</v>
          </cell>
        </row>
        <row r="1238">
          <cell r="U1238" t="str">
            <v/>
          </cell>
          <cell r="V1238" t="str">
            <v>BIAOQIAN1</v>
          </cell>
          <cell r="W1238" t="str">
            <v/>
          </cell>
          <cell r="X1238" t="str">
            <v>XH-000</v>
          </cell>
          <cell r="Y1238" t="str">
            <v/>
          </cell>
          <cell r="Z1238" t="str">
            <v>1901</v>
          </cell>
          <cell r="AA1238" t="str">
            <v>1100161297</v>
          </cell>
          <cell r="AB1238">
            <v>100</v>
          </cell>
          <cell r="AC1238" t="str">
            <v/>
          </cell>
          <cell r="AD1238">
            <v>1.9</v>
          </cell>
          <cell r="AE1238" t="str">
            <v>G-100001932-260305-0288-1-H</v>
          </cell>
        </row>
        <row r="1239">
          <cell r="B1239" t="str">
            <v>7101101452</v>
          </cell>
          <cell r="C1239" t="str">
            <v>G12602-074</v>
          </cell>
          <cell r="D1239" t="str">
            <v>000042944360076001</v>
          </cell>
          <cell r="E1239" t="str">
            <v>开口销</v>
          </cell>
          <cell r="F1239" t="str">
            <v>GB/T91-2000</v>
          </cell>
          <cell r="G1239" t="str">
            <v>2.5×30</v>
          </cell>
          <cell r="H1239" t="str">
            <v/>
          </cell>
          <cell r="I1239" t="str">
            <v>ECP</v>
          </cell>
          <cell r="J1239" t="str">
            <v>不锈钢</v>
          </cell>
          <cell r="K1239">
            <v>100</v>
          </cell>
          <cell r="L1239">
            <v>46126</v>
          </cell>
          <cell r="M1239" t="str">
            <v>4-检验完成</v>
          </cell>
        </row>
        <row r="1239">
          <cell r="O1239">
            <v>0</v>
          </cell>
          <cell r="P1239" t="str">
            <v>中国运载火箭技术研究院</v>
          </cell>
          <cell r="Q1239" t="str">
            <v>40</v>
          </cell>
          <cell r="R1239">
            <v>46127</v>
          </cell>
        </row>
        <row r="1239">
          <cell r="U1239" t="str">
            <v/>
          </cell>
          <cell r="V1239" t="str">
            <v>BIAOQIAN1</v>
          </cell>
          <cell r="W1239" t="str">
            <v/>
          </cell>
          <cell r="X1239" t="str">
            <v>XH-000</v>
          </cell>
          <cell r="Y1239" t="str">
            <v/>
          </cell>
          <cell r="Z1239" t="str">
            <v>1901</v>
          </cell>
          <cell r="AA1239" t="str">
            <v>1100160237</v>
          </cell>
          <cell r="AB1239">
            <v>100</v>
          </cell>
          <cell r="AC1239" t="str">
            <v/>
          </cell>
          <cell r="AD1239">
            <v>1.9</v>
          </cell>
          <cell r="AE1239" t="str">
            <v>G-100001932-260205-0209-1-H-XH</v>
          </cell>
        </row>
        <row r="1240">
          <cell r="B1240" t="str">
            <v>7101100955</v>
          </cell>
          <cell r="C1240" t="str">
            <v>G12603-096</v>
          </cell>
          <cell r="D1240" t="str">
            <v>000042944360002436</v>
          </cell>
          <cell r="E1240" t="str">
            <v>开口销</v>
          </cell>
          <cell r="F1240" t="str">
            <v>GB/T91-2000</v>
          </cell>
          <cell r="G1240" t="str">
            <v>2.5×25</v>
          </cell>
          <cell r="H1240" t="str">
            <v/>
          </cell>
          <cell r="I1240" t="str">
            <v>ECP</v>
          </cell>
          <cell r="J1240" t="str">
            <v>1Cr18Ni9Ti</v>
          </cell>
          <cell r="K1240">
            <v>100</v>
          </cell>
          <cell r="L1240">
            <v>46125</v>
          </cell>
          <cell r="M1240" t="str">
            <v>6-过账完成</v>
          </cell>
        </row>
        <row r="1240">
          <cell r="O1240">
            <v>0</v>
          </cell>
          <cell r="P1240" t="str">
            <v>中国运载火箭技术研究院</v>
          </cell>
          <cell r="Q1240" t="str">
            <v>30</v>
          </cell>
          <cell r="R1240">
            <v>46126</v>
          </cell>
          <cell r="S1240">
            <v>46130</v>
          </cell>
          <cell r="T1240">
            <v>46130</v>
          </cell>
          <cell r="U1240" t="str">
            <v/>
          </cell>
          <cell r="V1240" t="str">
            <v>BIAOQIAN4</v>
          </cell>
          <cell r="W1240" t="str">
            <v/>
          </cell>
          <cell r="X1240" t="str">
            <v>XH-000</v>
          </cell>
          <cell r="Y1240" t="str">
            <v>ZHANGZHIYI</v>
          </cell>
          <cell r="Z1240" t="str">
            <v>1901</v>
          </cell>
          <cell r="AA1240" t="str">
            <v>1100162020</v>
          </cell>
          <cell r="AB1240">
            <v>100</v>
          </cell>
          <cell r="AC1240" t="str">
            <v/>
          </cell>
          <cell r="AD1240">
            <v>1.9</v>
          </cell>
          <cell r="AE1240" t="str">
            <v>G-100001932-260319-0360-1-H-XH</v>
          </cell>
        </row>
        <row r="1241">
          <cell r="B1241" t="str">
            <v>7101100491</v>
          </cell>
          <cell r="C1241" t="str">
            <v>G12603-103</v>
          </cell>
          <cell r="D1241" t="str">
            <v>000042944360002367</v>
          </cell>
          <cell r="E1241" t="str">
            <v>开口销</v>
          </cell>
          <cell r="F1241" t="str">
            <v>GB/T91-2000</v>
          </cell>
          <cell r="G1241" t="str">
            <v>1.6×8</v>
          </cell>
          <cell r="H1241" t="str">
            <v/>
          </cell>
          <cell r="I1241" t="str">
            <v>ECP</v>
          </cell>
          <cell r="J1241" t="str">
            <v>ML1Cr18Ni9Ti</v>
          </cell>
          <cell r="K1241">
            <v>100</v>
          </cell>
          <cell r="L1241">
            <v>46124</v>
          </cell>
          <cell r="M1241" t="str">
            <v>4-检验完成</v>
          </cell>
        </row>
        <row r="1241">
          <cell r="O1241">
            <v>0</v>
          </cell>
          <cell r="P1241" t="str">
            <v>中国运载火箭技术研究院</v>
          </cell>
          <cell r="Q1241" t="str">
            <v>70</v>
          </cell>
          <cell r="R1241">
            <v>46125</v>
          </cell>
        </row>
        <row r="1241">
          <cell r="U1241" t="str">
            <v/>
          </cell>
          <cell r="V1241" t="str">
            <v>BIAOQIAN4</v>
          </cell>
          <cell r="W1241" t="str">
            <v/>
          </cell>
          <cell r="X1241" t="str">
            <v>XH-000</v>
          </cell>
          <cell r="Y1241" t="str">
            <v/>
          </cell>
          <cell r="Z1241" t="str">
            <v>1901</v>
          </cell>
          <cell r="AA1241" t="str">
            <v>1100161297</v>
          </cell>
          <cell r="AB1241">
            <v>100</v>
          </cell>
          <cell r="AC1241" t="str">
            <v/>
          </cell>
          <cell r="AD1241">
            <v>1.9</v>
          </cell>
          <cell r="AE1241" t="str">
            <v>G-100001932-260305-0288-1-H</v>
          </cell>
        </row>
        <row r="1242">
          <cell r="B1242" t="str">
            <v>7101098649</v>
          </cell>
          <cell r="C1242" t="str">
            <v>G2602-1467</v>
          </cell>
          <cell r="D1242" t="str">
            <v>000042944044158059</v>
          </cell>
          <cell r="E1242" t="str">
            <v>十字槽沉头螺钉</v>
          </cell>
          <cell r="F1242" t="str">
            <v>GB/T819.1-2016</v>
          </cell>
          <cell r="G1242" t="str">
            <v>M2×4</v>
          </cell>
          <cell r="H1242" t="str">
            <v>5.8</v>
          </cell>
          <cell r="I1242" t="str">
            <v>Ep·Zn·c2C</v>
          </cell>
          <cell r="J1242" t="str">
            <v>ML25</v>
          </cell>
          <cell r="K1242">
            <v>9520</v>
          </cell>
          <cell r="L1242">
            <v>46121</v>
          </cell>
          <cell r="M1242" t="str">
            <v>4-检验完成</v>
          </cell>
        </row>
        <row r="1242">
          <cell r="O1242">
            <v>0</v>
          </cell>
          <cell r="P1242" t="str">
            <v>中国运载火箭技术研究院</v>
          </cell>
          <cell r="Q1242" t="str">
            <v>10</v>
          </cell>
          <cell r="R1242">
            <v>46128</v>
          </cell>
        </row>
        <row r="1242">
          <cell r="U1242" t="str">
            <v>010000917799</v>
          </cell>
          <cell r="V1242" t="str">
            <v>BIAOQIAN4</v>
          </cell>
          <cell r="W1242" t="str">
            <v/>
          </cell>
          <cell r="X1242" t="str">
            <v>CP-108-A</v>
          </cell>
          <cell r="Y1242" t="str">
            <v/>
          </cell>
          <cell r="Z1242" t="str">
            <v>1901</v>
          </cell>
          <cell r="AA1242" t="str">
            <v>1100150752</v>
          </cell>
          <cell r="AB1242">
            <v>15000</v>
          </cell>
          <cell r="AC1242" t="str">
            <v/>
          </cell>
          <cell r="AD1242">
            <v>0.6</v>
          </cell>
          <cell r="AE1242" t="str">
            <v>G-100001932-250723-0791</v>
          </cell>
        </row>
        <row r="1243">
          <cell r="B1243" t="str">
            <v>7101098638</v>
          </cell>
          <cell r="C1243" t="str">
            <v>G2509-1288</v>
          </cell>
          <cell r="D1243" t="str">
            <v>000042944999150685</v>
          </cell>
          <cell r="E1243" t="str">
            <v>钉杆</v>
          </cell>
          <cell r="F1243" t="str">
            <v>QJ2996.2A(1)-2004</v>
          </cell>
          <cell r="G1243" t="str">
            <v>5×8</v>
          </cell>
          <cell r="H1243" t="str">
            <v/>
          </cell>
          <cell r="I1243" t="str">
            <v>蓝色阳极化</v>
          </cell>
          <cell r="J1243" t="str">
            <v>TC4</v>
          </cell>
          <cell r="K1243">
            <v>230</v>
          </cell>
          <cell r="L1243">
            <v>46121</v>
          </cell>
          <cell r="M1243" t="str">
            <v>4-检验完成</v>
          </cell>
        </row>
        <row r="1243">
          <cell r="O1243">
            <v>0</v>
          </cell>
          <cell r="P1243" t="str">
            <v>中国运载火箭技术研究院</v>
          </cell>
          <cell r="Q1243" t="str">
            <v>10</v>
          </cell>
          <cell r="R1243">
            <v>46125</v>
          </cell>
        </row>
        <row r="1243">
          <cell r="U1243" t="str">
            <v>010000863285</v>
          </cell>
          <cell r="V1243" t="str">
            <v>BIAOQIAN2</v>
          </cell>
          <cell r="W1243" t="str">
            <v/>
          </cell>
          <cell r="X1243" t="str">
            <v>CP-32-4-2-1</v>
          </cell>
          <cell r="Y1243" t="str">
            <v/>
          </cell>
          <cell r="Z1243" t="str">
            <v>1901</v>
          </cell>
          <cell r="AA1243" t="str">
            <v>1100152546</v>
          </cell>
          <cell r="AB1243">
            <v>230</v>
          </cell>
          <cell r="AC1243" t="str">
            <v/>
          </cell>
          <cell r="AD1243">
            <v>39.5</v>
          </cell>
          <cell r="AE1243" t="str">
            <v>G-100001932-250905-0942</v>
          </cell>
        </row>
        <row r="1244">
          <cell r="B1244" t="str">
            <v>7101098565</v>
          </cell>
          <cell r="C1244" t="str">
            <v>G2602-1468</v>
          </cell>
          <cell r="D1244" t="str">
            <v>000042944044158059</v>
          </cell>
          <cell r="E1244" t="str">
            <v>十字槽沉头螺钉</v>
          </cell>
          <cell r="F1244" t="str">
            <v>GB/T819.1-2016</v>
          </cell>
          <cell r="G1244" t="str">
            <v>M2×4</v>
          </cell>
          <cell r="H1244" t="str">
            <v>5.8</v>
          </cell>
          <cell r="I1244" t="str">
            <v>Ep·Zn·c2C</v>
          </cell>
          <cell r="J1244" t="str">
            <v>ML25</v>
          </cell>
          <cell r="K1244">
            <v>4630</v>
          </cell>
          <cell r="L1244">
            <v>46121</v>
          </cell>
          <cell r="M1244" t="str">
            <v>4-检验完成</v>
          </cell>
        </row>
        <row r="1244">
          <cell r="O1244">
            <v>0</v>
          </cell>
          <cell r="P1244" t="str">
            <v>中国运载火箭技术研究院</v>
          </cell>
          <cell r="Q1244" t="str">
            <v>10</v>
          </cell>
          <cell r="R1244">
            <v>46128</v>
          </cell>
        </row>
        <row r="1244">
          <cell r="U1244" t="str">
            <v>010000917805</v>
          </cell>
          <cell r="V1244" t="str">
            <v>BIAOQIAN2</v>
          </cell>
          <cell r="W1244" t="str">
            <v/>
          </cell>
          <cell r="X1244" t="str">
            <v>CP-108-A</v>
          </cell>
          <cell r="Y1244" t="str">
            <v/>
          </cell>
          <cell r="Z1244" t="str">
            <v>1901</v>
          </cell>
          <cell r="AA1244" t="str">
            <v>1100150752</v>
          </cell>
          <cell r="AB1244">
            <v>15000</v>
          </cell>
          <cell r="AC1244" t="str">
            <v/>
          </cell>
          <cell r="AD1244">
            <v>0.6</v>
          </cell>
          <cell r="AE1244" t="str">
            <v>G-100001932-250723-0791</v>
          </cell>
        </row>
        <row r="1245">
          <cell r="B1245" t="str">
            <v>7101098509</v>
          </cell>
          <cell r="C1245" t="str">
            <v>G2512-1868</v>
          </cell>
          <cell r="D1245" t="str">
            <v>000042944439000395</v>
          </cell>
          <cell r="E1245" t="str">
            <v>小垫圈</v>
          </cell>
          <cell r="F1245" t="str">
            <v>GB/T848-2002</v>
          </cell>
          <cell r="G1245" t="str">
            <v>3</v>
          </cell>
          <cell r="H1245" t="str">
            <v>200HV</v>
          </cell>
          <cell r="I1245" t="str">
            <v>ECP</v>
          </cell>
          <cell r="J1245" t="str">
            <v>1Cr18Ni9</v>
          </cell>
          <cell r="K1245">
            <v>125</v>
          </cell>
          <cell r="L1245">
            <v>46121</v>
          </cell>
          <cell r="M1245" t="str">
            <v>3-配货完成</v>
          </cell>
        </row>
        <row r="1245">
          <cell r="O1245">
            <v>0</v>
          </cell>
          <cell r="P1245" t="str">
            <v>中国运载火箭技术研究院</v>
          </cell>
          <cell r="Q1245" t="str">
            <v>310</v>
          </cell>
        </row>
        <row r="1245">
          <cell r="U1245" t="str">
            <v>010000897831</v>
          </cell>
          <cell r="V1245" t="str">
            <v>BIAOQIAN2</v>
          </cell>
          <cell r="W1245" t="str">
            <v/>
          </cell>
          <cell r="X1245" t="str">
            <v>CP-108-A</v>
          </cell>
          <cell r="Y1245" t="str">
            <v/>
          </cell>
          <cell r="Z1245" t="str">
            <v>1901</v>
          </cell>
          <cell r="AA1245" t="str">
            <v>1100150584</v>
          </cell>
          <cell r="AB1245">
            <v>100000</v>
          </cell>
          <cell r="AC1245" t="str">
            <v/>
          </cell>
          <cell r="AD1245">
            <v>0.6</v>
          </cell>
          <cell r="AE1245" t="str">
            <v>G-100001932-250723-0789</v>
          </cell>
        </row>
        <row r="1246">
          <cell r="B1246" t="str">
            <v>7101098159</v>
          </cell>
          <cell r="C1246" t="str">
            <v>G02511-019</v>
          </cell>
          <cell r="D1246" t="str">
            <v>000042944402142509</v>
          </cell>
          <cell r="E1246" t="str">
            <v>轻型不锈钢弹簧垫圈</v>
          </cell>
          <cell r="F1246" t="str">
            <v>QJ2963.3-1997</v>
          </cell>
          <cell r="G1246" t="str">
            <v>1.6</v>
          </cell>
          <cell r="H1246" t="str">
            <v>A2-50</v>
          </cell>
          <cell r="I1246" t="str">
            <v>ECP</v>
          </cell>
          <cell r="J1246" t="str">
            <v>1Cr18Ni9Ti</v>
          </cell>
          <cell r="K1246">
            <v>352</v>
          </cell>
          <cell r="L1246">
            <v>46120</v>
          </cell>
          <cell r="M1246" t="str">
            <v>3-配货完成</v>
          </cell>
        </row>
        <row r="1246">
          <cell r="O1246">
            <v>0</v>
          </cell>
          <cell r="P1246" t="str">
            <v>中国运载火箭技术研究院</v>
          </cell>
          <cell r="Q1246" t="str">
            <v>10</v>
          </cell>
        </row>
        <row r="1246">
          <cell r="U1246" t="str">
            <v>010000883683</v>
          </cell>
          <cell r="V1246" t="str">
            <v>BIAOQIAN4</v>
          </cell>
          <cell r="W1246" t="str">
            <v/>
          </cell>
          <cell r="X1246" t="str">
            <v>CP-108-A</v>
          </cell>
          <cell r="Y1246" t="str">
            <v/>
          </cell>
          <cell r="Z1246" t="str">
            <v>1901</v>
          </cell>
          <cell r="AA1246" t="str">
            <v>1100135552</v>
          </cell>
          <cell r="AB1246">
            <v>3000</v>
          </cell>
          <cell r="AC1246" t="str">
            <v/>
          </cell>
          <cell r="AD1246">
            <v>0.8</v>
          </cell>
          <cell r="AE1246" t="str">
            <v>G-100001932-241014-0887</v>
          </cell>
        </row>
        <row r="1247">
          <cell r="B1247" t="str">
            <v>7101097289</v>
          </cell>
          <cell r="C1247" t="str">
            <v>G2501-9085</v>
          </cell>
          <cell r="D1247" t="str">
            <v>000042944044087052</v>
          </cell>
          <cell r="E1247" t="str">
            <v>十字槽沉头螺钉</v>
          </cell>
          <cell r="F1247" t="str">
            <v>GB/T819.2-2016</v>
          </cell>
          <cell r="G1247" t="str">
            <v>M2.5×18</v>
          </cell>
          <cell r="H1247" t="str">
            <v>A2-70</v>
          </cell>
          <cell r="I1247" t="str">
            <v>ECP</v>
          </cell>
          <cell r="J1247" t="str">
            <v>ML1Cr18Ni9Ti</v>
          </cell>
          <cell r="K1247">
            <v>83</v>
          </cell>
          <cell r="L1247">
            <v>46119</v>
          </cell>
          <cell r="M1247" t="str">
            <v>3-配货完成</v>
          </cell>
        </row>
        <row r="1247">
          <cell r="O1247">
            <v>0</v>
          </cell>
          <cell r="P1247" t="str">
            <v>中国运载火箭技术研究院</v>
          </cell>
          <cell r="Q1247" t="str">
            <v>130</v>
          </cell>
        </row>
        <row r="1247">
          <cell r="U1247" t="str">
            <v>010000778175</v>
          </cell>
          <cell r="V1247" t="str">
            <v>BIAOQIAN3</v>
          </cell>
          <cell r="W1247" t="str">
            <v/>
          </cell>
          <cell r="X1247" t="str">
            <v>CP-58-3-2-1</v>
          </cell>
          <cell r="Y1247" t="str">
            <v/>
          </cell>
          <cell r="Z1247" t="str">
            <v>1901</v>
          </cell>
          <cell r="AA1247" t="str">
            <v>1100157995</v>
          </cell>
          <cell r="AB1247">
            <v>3000</v>
          </cell>
          <cell r="AC1247" t="str">
            <v/>
          </cell>
          <cell r="AD1247">
            <v>1</v>
          </cell>
          <cell r="AE1247" t="str">
            <v>G-100001932-260103-0001</v>
          </cell>
        </row>
        <row r="1248">
          <cell r="B1248" t="str">
            <v>7101097289</v>
          </cell>
          <cell r="C1248" t="str">
            <v>G2505-9208</v>
          </cell>
          <cell r="D1248" t="str">
            <v>000042944044153505</v>
          </cell>
          <cell r="E1248" t="str">
            <v>十字槽沉头螺钉</v>
          </cell>
          <cell r="F1248" t="str">
            <v>GB/T819.2-2016</v>
          </cell>
          <cell r="G1248" t="str">
            <v>M3×15</v>
          </cell>
          <cell r="H1248" t="str">
            <v>A2-70</v>
          </cell>
          <cell r="I1248" t="str">
            <v>ECP</v>
          </cell>
          <cell r="J1248" t="str">
            <v>ML1Cr18Ni9Ti</v>
          </cell>
          <cell r="K1248">
            <v>66</v>
          </cell>
          <cell r="L1248">
            <v>46119</v>
          </cell>
          <cell r="M1248" t="str">
            <v>3-配货完成</v>
          </cell>
        </row>
        <row r="1248">
          <cell r="O1248">
            <v>0</v>
          </cell>
          <cell r="P1248" t="str">
            <v>中国运载火箭技术研究院</v>
          </cell>
          <cell r="Q1248" t="str">
            <v>210</v>
          </cell>
        </row>
        <row r="1248">
          <cell r="U1248" t="str">
            <v>010000826606</v>
          </cell>
          <cell r="V1248" t="str">
            <v>BIAOQIAN3</v>
          </cell>
          <cell r="W1248" t="str">
            <v/>
          </cell>
          <cell r="X1248" t="str">
            <v>CP-19-3-4-6</v>
          </cell>
          <cell r="Y1248" t="str">
            <v/>
          </cell>
          <cell r="Z1248" t="str">
            <v>1901</v>
          </cell>
          <cell r="AA1248" t="str">
            <v>1100157995</v>
          </cell>
          <cell r="AB1248">
            <v>1000</v>
          </cell>
          <cell r="AC1248" t="str">
            <v/>
          </cell>
          <cell r="AD1248">
            <v>1</v>
          </cell>
          <cell r="AE1248" t="str">
            <v>G-100001932-260103-0001</v>
          </cell>
        </row>
        <row r="1249">
          <cell r="B1249" t="str">
            <v>7101096019</v>
          </cell>
          <cell r="C1249" t="str">
            <v>G12603-075</v>
          </cell>
          <cell r="D1249" t="str">
            <v>000042944360004704</v>
          </cell>
          <cell r="E1249" t="str">
            <v>开口销</v>
          </cell>
          <cell r="F1249" t="str">
            <v>GB91-1986</v>
          </cell>
          <cell r="G1249" t="str">
            <v>2×16</v>
          </cell>
          <cell r="H1249" t="str">
            <v/>
          </cell>
          <cell r="I1249" t="str">
            <v/>
          </cell>
          <cell r="J1249" t="str">
            <v>不锈钢</v>
          </cell>
          <cell r="K1249">
            <v>210</v>
          </cell>
          <cell r="L1249">
            <v>46114</v>
          </cell>
          <cell r="M1249" t="str">
            <v>4-检验完成</v>
          </cell>
        </row>
        <row r="1249">
          <cell r="O1249">
            <v>0</v>
          </cell>
          <cell r="P1249" t="str">
            <v>中国运载火箭技术研究院</v>
          </cell>
          <cell r="Q1249" t="str">
            <v>40</v>
          </cell>
          <cell r="R1249">
            <v>46119</v>
          </cell>
        </row>
        <row r="1249">
          <cell r="U1249" t="str">
            <v/>
          </cell>
          <cell r="V1249" t="str">
            <v>BIAOQIAN2</v>
          </cell>
          <cell r="W1249" t="str">
            <v/>
          </cell>
          <cell r="X1249" t="str">
            <v>XH-000</v>
          </cell>
          <cell r="Y1249" t="str">
            <v/>
          </cell>
          <cell r="Z1249" t="str">
            <v>1901</v>
          </cell>
          <cell r="AA1249" t="str">
            <v>1100161297</v>
          </cell>
          <cell r="AB1249">
            <v>210</v>
          </cell>
          <cell r="AC1249" t="str">
            <v/>
          </cell>
          <cell r="AD1249">
            <v>1.9</v>
          </cell>
          <cell r="AE1249" t="str">
            <v>G-100001932-260305-0288-1-H</v>
          </cell>
        </row>
        <row r="1250">
          <cell r="B1250" t="str">
            <v>7101095763</v>
          </cell>
          <cell r="C1250" t="str">
            <v>G02603-031</v>
          </cell>
          <cell r="D1250" t="str">
            <v>000042944281069316</v>
          </cell>
          <cell r="E1250" t="str">
            <v>1型六角螺母</v>
          </cell>
          <cell r="F1250" t="str">
            <v>GB/T6170-2015</v>
          </cell>
          <cell r="G1250" t="str">
            <v>M2</v>
          </cell>
          <cell r="H1250" t="str">
            <v>A2-70</v>
          </cell>
          <cell r="I1250" t="str">
            <v>ECP</v>
          </cell>
          <cell r="J1250" t="str">
            <v>1Cr18Ni9Ti</v>
          </cell>
          <cell r="K1250">
            <v>24000</v>
          </cell>
          <cell r="L1250">
            <v>46114</v>
          </cell>
          <cell r="M1250" t="str">
            <v>3-配货完成</v>
          </cell>
        </row>
        <row r="1250">
          <cell r="O1250">
            <v>0</v>
          </cell>
          <cell r="P1250" t="str">
            <v>中国运载火箭技术研究院</v>
          </cell>
          <cell r="Q1250" t="str">
            <v>20</v>
          </cell>
        </row>
        <row r="1250">
          <cell r="U1250" t="str">
            <v>010000928588</v>
          </cell>
          <cell r="V1250" t="str">
            <v>BIAOQIAN4</v>
          </cell>
          <cell r="W1250" t="str">
            <v/>
          </cell>
          <cell r="X1250" t="str">
            <v>CP-108-A</v>
          </cell>
          <cell r="Y1250" t="str">
            <v/>
          </cell>
          <cell r="Z1250" t="str">
            <v>1901</v>
          </cell>
          <cell r="AA1250" t="str">
            <v>1100157995</v>
          </cell>
          <cell r="AB1250">
            <v>30000</v>
          </cell>
          <cell r="AC1250" t="str">
            <v/>
          </cell>
          <cell r="AD1250">
            <v>1.5</v>
          </cell>
          <cell r="AE1250" t="str">
            <v>G-100001932-260103-0001</v>
          </cell>
        </row>
        <row r="1251">
          <cell r="B1251" t="str">
            <v>7101094813</v>
          </cell>
          <cell r="C1251" t="str">
            <v>G2601-9055</v>
          </cell>
          <cell r="D1251" t="str">
            <v>000042944044071579</v>
          </cell>
          <cell r="E1251" t="str">
            <v>十字槽沉头螺钉</v>
          </cell>
          <cell r="F1251" t="str">
            <v>GB/T819.2-2016</v>
          </cell>
          <cell r="G1251" t="str">
            <v>M4×12</v>
          </cell>
          <cell r="H1251" t="str">
            <v>A2-70</v>
          </cell>
          <cell r="I1251" t="str">
            <v>ECP</v>
          </cell>
          <cell r="J1251" t="str">
            <v>1Cr18Ni9Ti</v>
          </cell>
          <cell r="K1251">
            <v>1364</v>
          </cell>
          <cell r="L1251">
            <v>46112</v>
          </cell>
          <cell r="M1251" t="str">
            <v>3-配货完成</v>
          </cell>
        </row>
        <row r="1251">
          <cell r="O1251">
            <v>0</v>
          </cell>
          <cell r="P1251" t="str">
            <v>中国运载火箭技术研究院</v>
          </cell>
          <cell r="Q1251" t="str">
            <v>250</v>
          </cell>
        </row>
        <row r="1251">
          <cell r="U1251" t="str">
            <v>010000901192</v>
          </cell>
          <cell r="V1251" t="str">
            <v>BIAOQIAN4</v>
          </cell>
          <cell r="W1251" t="str">
            <v/>
          </cell>
          <cell r="X1251" t="str">
            <v>CP-108-A</v>
          </cell>
          <cell r="Y1251" t="str">
            <v/>
          </cell>
          <cell r="Z1251" t="str">
            <v>1901</v>
          </cell>
          <cell r="AA1251" t="str">
            <v>1100157995</v>
          </cell>
          <cell r="AB1251">
            <v>22000</v>
          </cell>
          <cell r="AC1251" t="str">
            <v/>
          </cell>
          <cell r="AD1251">
            <v>2</v>
          </cell>
          <cell r="AE1251" t="str">
            <v>G-100001932-260103-0001</v>
          </cell>
        </row>
        <row r="1252">
          <cell r="B1252" t="str">
            <v>7101091025</v>
          </cell>
          <cell r="C1252" t="str">
            <v>G2601-9007</v>
          </cell>
          <cell r="D1252" t="str">
            <v>000042944043104737</v>
          </cell>
          <cell r="E1252" t="str">
            <v>开槽沉头螺钉</v>
          </cell>
          <cell r="F1252" t="str">
            <v>GB/T68-2016</v>
          </cell>
          <cell r="G1252" t="str">
            <v>M1.6×5</v>
          </cell>
          <cell r="H1252" t="str">
            <v>A2-50</v>
          </cell>
          <cell r="I1252" t="str">
            <v>ECP</v>
          </cell>
          <cell r="J1252" t="str">
            <v>ML1Cr18Ni9Ti</v>
          </cell>
          <cell r="K1252">
            <v>14150</v>
          </cell>
          <cell r="L1252">
            <v>46104</v>
          </cell>
          <cell r="M1252" t="str">
            <v>3-配货完成</v>
          </cell>
        </row>
        <row r="1252">
          <cell r="O1252">
            <v>0</v>
          </cell>
          <cell r="P1252" t="str">
            <v>中国运载火箭技术研究院</v>
          </cell>
          <cell r="Q1252" t="str">
            <v>40</v>
          </cell>
        </row>
        <row r="1252">
          <cell r="U1252" t="str">
            <v>010000900446</v>
          </cell>
          <cell r="V1252" t="str">
            <v>BIAOQIAN4</v>
          </cell>
          <cell r="W1252" t="str">
            <v/>
          </cell>
          <cell r="X1252" t="str">
            <v>CP-108-A</v>
          </cell>
          <cell r="Y1252" t="str">
            <v/>
          </cell>
          <cell r="Z1252" t="str">
            <v>1901</v>
          </cell>
          <cell r="AA1252" t="str">
            <v>1100157995</v>
          </cell>
          <cell r="AB1252">
            <v>17000</v>
          </cell>
          <cell r="AC1252" t="str">
            <v/>
          </cell>
          <cell r="AD1252">
            <v>1</v>
          </cell>
          <cell r="AE1252" t="str">
            <v>G-100001932-260103-0001</v>
          </cell>
        </row>
        <row r="1253">
          <cell r="B1253" t="str">
            <v>7101089011</v>
          </cell>
          <cell r="C1253" t="str">
            <v>G2501-9014</v>
          </cell>
          <cell r="D1253" t="str">
            <v>000042944044079365</v>
          </cell>
          <cell r="E1253" t="str">
            <v>十字槽沉头螺钉</v>
          </cell>
          <cell r="F1253" t="str">
            <v>GB/T819.2-2016</v>
          </cell>
          <cell r="G1253" t="str">
            <v>M6×12</v>
          </cell>
          <cell r="H1253" t="str">
            <v>A2-70</v>
          </cell>
          <cell r="I1253" t="str">
            <v>ECP</v>
          </cell>
          <cell r="J1253" t="str">
            <v>ML1Cr18Ni9Ti</v>
          </cell>
          <cell r="K1253">
            <v>400</v>
          </cell>
          <cell r="L1253">
            <v>46099</v>
          </cell>
          <cell r="M1253" t="str">
            <v>3-配货完成</v>
          </cell>
        </row>
        <row r="1253">
          <cell r="O1253">
            <v>0</v>
          </cell>
          <cell r="P1253" t="str">
            <v>中国运载火箭技术研究院</v>
          </cell>
          <cell r="Q1253" t="str">
            <v>370</v>
          </cell>
        </row>
        <row r="1253">
          <cell r="U1253" t="str">
            <v>010000769948</v>
          </cell>
          <cell r="V1253" t="str">
            <v>BIAOQIAN3</v>
          </cell>
          <cell r="W1253" t="str">
            <v/>
          </cell>
          <cell r="X1253" t="str">
            <v>CP-67-3-1-1</v>
          </cell>
          <cell r="Y1253" t="str">
            <v/>
          </cell>
          <cell r="Z1253" t="str">
            <v>1901</v>
          </cell>
          <cell r="AA1253" t="str">
            <v>1100157995</v>
          </cell>
          <cell r="AB1253">
            <v>1000</v>
          </cell>
          <cell r="AC1253" t="str">
            <v/>
          </cell>
          <cell r="AD1253">
            <v>2</v>
          </cell>
          <cell r="AE1253" t="str">
            <v>G-100001932-260103-0001</v>
          </cell>
        </row>
        <row r="1254">
          <cell r="B1254" t="str">
            <v>7101089011</v>
          </cell>
          <cell r="C1254" t="str">
            <v>G2601-9014</v>
          </cell>
          <cell r="D1254" t="str">
            <v>000042944044079365</v>
          </cell>
          <cell r="E1254" t="str">
            <v>十字槽沉头螺钉</v>
          </cell>
          <cell r="F1254" t="str">
            <v>GB/T819.2-2016</v>
          </cell>
          <cell r="G1254" t="str">
            <v>M6×12</v>
          </cell>
          <cell r="H1254" t="str">
            <v>A2-70</v>
          </cell>
          <cell r="I1254" t="str">
            <v>ECP</v>
          </cell>
          <cell r="J1254" t="str">
            <v>ML1Cr18Ni9Ti</v>
          </cell>
          <cell r="K1254">
            <v>600</v>
          </cell>
          <cell r="L1254">
            <v>46099</v>
          </cell>
          <cell r="M1254" t="str">
            <v>3-配货完成</v>
          </cell>
        </row>
        <row r="1254">
          <cell r="O1254">
            <v>0</v>
          </cell>
          <cell r="P1254" t="str">
            <v>中国运载火箭技术研究院</v>
          </cell>
          <cell r="Q1254" t="str">
            <v>370</v>
          </cell>
        </row>
        <row r="1254">
          <cell r="U1254" t="str">
            <v>010000900454</v>
          </cell>
          <cell r="V1254" t="str">
            <v>BIAOQIAN3</v>
          </cell>
          <cell r="W1254" t="str">
            <v/>
          </cell>
          <cell r="X1254" t="str">
            <v>CP-14-3-1-7</v>
          </cell>
          <cell r="Y1254" t="str">
            <v/>
          </cell>
          <cell r="Z1254" t="str">
            <v>1901</v>
          </cell>
          <cell r="AA1254" t="str">
            <v>1100157995</v>
          </cell>
          <cell r="AB1254">
            <v>1000</v>
          </cell>
          <cell r="AC1254" t="str">
            <v/>
          </cell>
          <cell r="AD1254">
            <v>2</v>
          </cell>
          <cell r="AE1254" t="str">
            <v>G-100001932-260103-0001</v>
          </cell>
        </row>
        <row r="1255">
          <cell r="B1255" t="str">
            <v>7101089009</v>
          </cell>
          <cell r="C1255" t="str">
            <v>G2509-1948</v>
          </cell>
          <cell r="D1255" t="str">
            <v>000042944043086956</v>
          </cell>
          <cell r="E1255" t="str">
            <v>开槽沉头螺钉</v>
          </cell>
          <cell r="F1255" t="str">
            <v>GB/T68-2016</v>
          </cell>
          <cell r="G1255" t="str">
            <v>M2×12</v>
          </cell>
          <cell r="H1255" t="str">
            <v>A2-70</v>
          </cell>
          <cell r="I1255" t="str">
            <v>ECP</v>
          </cell>
          <cell r="J1255" t="str">
            <v>ML1Cr18Ni9Ti</v>
          </cell>
          <cell r="K1255">
            <v>76</v>
          </cell>
          <cell r="L1255">
            <v>46099</v>
          </cell>
          <cell r="M1255" t="str">
            <v>3-配货完成</v>
          </cell>
        </row>
        <row r="1255">
          <cell r="O1255">
            <v>0</v>
          </cell>
          <cell r="P1255" t="str">
            <v>中国运载火箭技术研究院</v>
          </cell>
          <cell r="Q1255" t="str">
            <v>60</v>
          </cell>
        </row>
        <row r="1255">
          <cell r="U1255" t="str">
            <v>010000865398</v>
          </cell>
          <cell r="V1255" t="str">
            <v>BIAOQIAN3</v>
          </cell>
          <cell r="W1255" t="str">
            <v/>
          </cell>
          <cell r="X1255" t="str">
            <v>CP-81-1-4-7</v>
          </cell>
          <cell r="Y1255" t="str">
            <v/>
          </cell>
          <cell r="Z1255" t="str">
            <v>1901</v>
          </cell>
          <cell r="AA1255" t="str">
            <v>1100157995</v>
          </cell>
          <cell r="AB1255">
            <v>10000</v>
          </cell>
          <cell r="AC1255" t="str">
            <v/>
          </cell>
          <cell r="AD1255">
            <v>1.5</v>
          </cell>
          <cell r="AE1255" t="str">
            <v>G-100001932-260103-0001</v>
          </cell>
        </row>
        <row r="1256">
          <cell r="B1256" t="str">
            <v>7101089009</v>
          </cell>
          <cell r="C1256" t="str">
            <v>G2601-9108</v>
          </cell>
          <cell r="D1256" t="str">
            <v>000042944043086956</v>
          </cell>
          <cell r="E1256" t="str">
            <v>开槽沉头螺钉</v>
          </cell>
          <cell r="F1256" t="str">
            <v>GB/T68-2016</v>
          </cell>
          <cell r="G1256" t="str">
            <v>M2×12</v>
          </cell>
          <cell r="H1256" t="str">
            <v>A2-70</v>
          </cell>
          <cell r="I1256" t="str">
            <v>ECP</v>
          </cell>
          <cell r="J1256" t="str">
            <v>ML1Cr18Ni9Ti</v>
          </cell>
          <cell r="K1256">
            <v>92</v>
          </cell>
          <cell r="L1256">
            <v>46099</v>
          </cell>
          <cell r="M1256" t="str">
            <v>3-配货完成</v>
          </cell>
        </row>
        <row r="1256">
          <cell r="O1256">
            <v>0</v>
          </cell>
          <cell r="P1256" t="str">
            <v>中国运载火箭技术研究院</v>
          </cell>
          <cell r="Q1256" t="str">
            <v>60</v>
          </cell>
        </row>
        <row r="1256">
          <cell r="U1256" t="str">
            <v>010000906275</v>
          </cell>
          <cell r="V1256" t="str">
            <v>BIAOQIAN3</v>
          </cell>
          <cell r="W1256" t="str">
            <v/>
          </cell>
          <cell r="X1256" t="str">
            <v>CP-23-3-1-9</v>
          </cell>
          <cell r="Y1256" t="str">
            <v/>
          </cell>
          <cell r="Z1256" t="str">
            <v>1901</v>
          </cell>
          <cell r="AA1256" t="str">
            <v>1100157995</v>
          </cell>
          <cell r="AB1256">
            <v>10000</v>
          </cell>
          <cell r="AC1256" t="str">
            <v/>
          </cell>
          <cell r="AD1256">
            <v>1.5</v>
          </cell>
          <cell r="AE1256" t="str">
            <v>G-100001932-260103-0001</v>
          </cell>
        </row>
        <row r="1257">
          <cell r="B1257" t="str">
            <v>7101088529</v>
          </cell>
          <cell r="C1257" t="str">
            <v>G2510-1585</v>
          </cell>
          <cell r="D1257" t="str">
            <v>000042944439000288</v>
          </cell>
          <cell r="E1257" t="str">
            <v>小垫圈</v>
          </cell>
          <cell r="F1257" t="str">
            <v>GB/T848-2002</v>
          </cell>
          <cell r="G1257" t="str">
            <v>2</v>
          </cell>
          <cell r="H1257" t="str">
            <v>200HV</v>
          </cell>
          <cell r="I1257" t="str">
            <v>ECP</v>
          </cell>
          <cell r="J1257" t="str">
            <v>1Cr18Ni9Ti</v>
          </cell>
          <cell r="K1257">
            <v>3915</v>
          </cell>
          <cell r="L1257">
            <v>46098</v>
          </cell>
          <cell r="M1257" t="str">
            <v>4-检验完成</v>
          </cell>
        </row>
        <row r="1257">
          <cell r="O1257">
            <v>0</v>
          </cell>
          <cell r="P1257" t="str">
            <v>中国运载火箭技术研究院</v>
          </cell>
          <cell r="Q1257" t="str">
            <v>300</v>
          </cell>
          <cell r="R1257">
            <v>46128</v>
          </cell>
        </row>
        <row r="1257">
          <cell r="U1257" t="str">
            <v>010000877377</v>
          </cell>
          <cell r="V1257" t="str">
            <v>BIAOQIAN4</v>
          </cell>
          <cell r="W1257" t="str">
            <v/>
          </cell>
          <cell r="X1257" t="str">
            <v>CP-108-A</v>
          </cell>
          <cell r="Y1257" t="str">
            <v/>
          </cell>
          <cell r="Z1257" t="str">
            <v>1901</v>
          </cell>
          <cell r="AA1257" t="str">
            <v>1100150584</v>
          </cell>
          <cell r="AB1257">
            <v>86000</v>
          </cell>
          <cell r="AC1257" t="str">
            <v/>
          </cell>
          <cell r="AD1257">
            <v>0.6</v>
          </cell>
          <cell r="AE1257" t="str">
            <v>G-100001932-250723-0789</v>
          </cell>
        </row>
        <row r="1258">
          <cell r="B1258" t="str">
            <v>7101088431</v>
          </cell>
          <cell r="C1258" t="str">
            <v>G2509-0973</v>
          </cell>
          <cell r="D1258" t="str">
            <v>000042944000042725</v>
          </cell>
          <cell r="E1258" t="str">
            <v>钉杆</v>
          </cell>
          <cell r="F1258" t="str">
            <v>QJ2996.3A(1)-2004</v>
          </cell>
          <cell r="G1258" t="str">
            <v>5×14</v>
          </cell>
          <cell r="H1258" t="str">
            <v/>
          </cell>
          <cell r="I1258" t="str">
            <v>蓝色阳极化</v>
          </cell>
          <cell r="J1258" t="str">
            <v>TC4</v>
          </cell>
          <cell r="K1258">
            <v>450</v>
          </cell>
          <cell r="L1258">
            <v>46098</v>
          </cell>
          <cell r="M1258" t="str">
            <v>4-检验完成</v>
          </cell>
        </row>
        <row r="1258">
          <cell r="O1258">
            <v>0</v>
          </cell>
          <cell r="P1258" t="str">
            <v>中国运载火箭技术研究院</v>
          </cell>
          <cell r="Q1258" t="str">
            <v>30</v>
          </cell>
          <cell r="R1258">
            <v>46113</v>
          </cell>
        </row>
        <row r="1258">
          <cell r="U1258" t="str">
            <v>010000862164</v>
          </cell>
          <cell r="V1258" t="str">
            <v>BIAOQIAN4</v>
          </cell>
          <cell r="W1258" t="str">
            <v/>
          </cell>
          <cell r="X1258" t="str">
            <v>CP-108-A</v>
          </cell>
          <cell r="Y1258" t="str">
            <v/>
          </cell>
          <cell r="Z1258" t="str">
            <v>1901</v>
          </cell>
          <cell r="AA1258" t="str">
            <v>1100149507</v>
          </cell>
          <cell r="AB1258">
            <v>450</v>
          </cell>
          <cell r="AC1258" t="str">
            <v/>
          </cell>
          <cell r="AD1258">
            <v>39.5</v>
          </cell>
          <cell r="AE1258" t="str">
            <v>G-100001932-250701-0722</v>
          </cell>
        </row>
        <row r="1259">
          <cell r="B1259" t="str">
            <v>7101088429</v>
          </cell>
          <cell r="C1259" t="str">
            <v>G2509-0973</v>
          </cell>
          <cell r="D1259" t="str">
            <v>000042944000042725</v>
          </cell>
          <cell r="E1259" t="str">
            <v>钉杆</v>
          </cell>
          <cell r="F1259" t="str">
            <v>QJ2996.3A(1)-2004</v>
          </cell>
          <cell r="G1259" t="str">
            <v>5×14</v>
          </cell>
          <cell r="H1259" t="str">
            <v/>
          </cell>
          <cell r="I1259" t="str">
            <v>蓝色阳极化</v>
          </cell>
          <cell r="J1259" t="str">
            <v>TC4</v>
          </cell>
          <cell r="K1259">
            <v>155</v>
          </cell>
          <cell r="L1259">
            <v>46098</v>
          </cell>
          <cell r="M1259" t="str">
            <v>4-检验完成</v>
          </cell>
        </row>
        <row r="1259">
          <cell r="O1259">
            <v>0</v>
          </cell>
          <cell r="P1259" t="str">
            <v>中国运载火箭技术研究院</v>
          </cell>
          <cell r="Q1259" t="str">
            <v>10</v>
          </cell>
          <cell r="R1259">
            <v>46128</v>
          </cell>
        </row>
        <row r="1259">
          <cell r="U1259" t="str">
            <v>010000862164</v>
          </cell>
          <cell r="V1259" t="str">
            <v>BIAOQIAN4</v>
          </cell>
          <cell r="W1259" t="str">
            <v/>
          </cell>
          <cell r="X1259" t="str">
            <v>CP-108-A</v>
          </cell>
          <cell r="Y1259" t="str">
            <v/>
          </cell>
          <cell r="Z1259" t="str">
            <v>1901</v>
          </cell>
          <cell r="AA1259" t="str">
            <v>1100146632</v>
          </cell>
          <cell r="AB1259">
            <v>155</v>
          </cell>
          <cell r="AC1259" t="str">
            <v/>
          </cell>
          <cell r="AD1259">
            <v>39.5</v>
          </cell>
          <cell r="AE1259" t="str">
            <v>G-100001932-250508-0505</v>
          </cell>
        </row>
        <row r="1260">
          <cell r="B1260" t="str">
            <v>7101088360</v>
          </cell>
          <cell r="C1260" t="str">
            <v>G2503-1395</v>
          </cell>
          <cell r="D1260" t="str">
            <v>000042944999008088</v>
          </cell>
          <cell r="E1260" t="str">
            <v>钉杆</v>
          </cell>
          <cell r="F1260" t="str">
            <v>QJ2996.2A(1)-2004</v>
          </cell>
          <cell r="G1260" t="str">
            <v>4×10</v>
          </cell>
          <cell r="H1260" t="str">
            <v/>
          </cell>
          <cell r="I1260" t="str">
            <v>蓝色阳极化</v>
          </cell>
          <cell r="J1260" t="str">
            <v>TC4</v>
          </cell>
          <cell r="K1260">
            <v>4885</v>
          </cell>
          <cell r="L1260">
            <v>46098</v>
          </cell>
          <cell r="M1260" t="str">
            <v>4-检验完成</v>
          </cell>
        </row>
        <row r="1260">
          <cell r="O1260">
            <v>0</v>
          </cell>
          <cell r="P1260" t="str">
            <v>中国运载火箭技术研究院</v>
          </cell>
          <cell r="Q1260" t="str">
            <v>110</v>
          </cell>
          <cell r="R1260">
            <v>46100</v>
          </cell>
        </row>
        <row r="1260">
          <cell r="U1260" t="str">
            <v>010000796322</v>
          </cell>
          <cell r="V1260" t="str">
            <v>BIAOQIAN4</v>
          </cell>
          <cell r="W1260" t="str">
            <v/>
          </cell>
          <cell r="X1260" t="str">
            <v>CP-108-A</v>
          </cell>
          <cell r="Y1260" t="str">
            <v/>
          </cell>
          <cell r="Z1260" t="str">
            <v>1901</v>
          </cell>
          <cell r="AA1260" t="str">
            <v>1100143219</v>
          </cell>
          <cell r="AB1260">
            <v>20010</v>
          </cell>
          <cell r="AC1260" t="str">
            <v/>
          </cell>
          <cell r="AD1260">
            <v>41.5</v>
          </cell>
          <cell r="AE1260" t="str">
            <v>G-100001932-250311-0260</v>
          </cell>
        </row>
        <row r="1261">
          <cell r="B1261" t="str">
            <v>7101088285</v>
          </cell>
          <cell r="C1261" t="str">
            <v>G2509-1038</v>
          </cell>
          <cell r="D1261" t="str">
            <v>000042944999008159</v>
          </cell>
          <cell r="E1261" t="str">
            <v>钉杆</v>
          </cell>
          <cell r="F1261" t="str">
            <v>QJ2996.3A(1)-2004</v>
          </cell>
          <cell r="G1261" t="str">
            <v>5×16</v>
          </cell>
          <cell r="H1261" t="str">
            <v/>
          </cell>
          <cell r="I1261" t="str">
            <v>蓝色阳极化</v>
          </cell>
          <cell r="J1261" t="str">
            <v>TC4</v>
          </cell>
          <cell r="K1261">
            <v>220</v>
          </cell>
          <cell r="L1261">
            <v>46098</v>
          </cell>
          <cell r="M1261" t="str">
            <v>4-检验完成</v>
          </cell>
        </row>
        <row r="1261">
          <cell r="O1261">
            <v>0</v>
          </cell>
          <cell r="P1261" t="str">
            <v>中国运载火箭技术研究院</v>
          </cell>
          <cell r="Q1261" t="str">
            <v>20</v>
          </cell>
          <cell r="R1261">
            <v>46101</v>
          </cell>
        </row>
        <row r="1261">
          <cell r="U1261" t="str">
            <v>010000862319</v>
          </cell>
          <cell r="V1261" t="str">
            <v>BIAOQIAN1</v>
          </cell>
          <cell r="W1261" t="str">
            <v/>
          </cell>
          <cell r="X1261" t="str">
            <v>CP-108-A</v>
          </cell>
          <cell r="Y1261" t="str">
            <v/>
          </cell>
          <cell r="Z1261" t="str">
            <v>1901</v>
          </cell>
          <cell r="AA1261" t="str">
            <v>1100146632</v>
          </cell>
          <cell r="AB1261">
            <v>220</v>
          </cell>
          <cell r="AC1261" t="str">
            <v/>
          </cell>
          <cell r="AD1261">
            <v>39.5</v>
          </cell>
          <cell r="AE1261" t="str">
            <v>G-100001932-250508-0505</v>
          </cell>
        </row>
        <row r="1262">
          <cell r="B1262" t="str">
            <v>7101085353</v>
          </cell>
          <cell r="C1262" t="str">
            <v>G2601-0606</v>
          </cell>
          <cell r="D1262" t="str">
            <v>000042944044087040</v>
          </cell>
          <cell r="E1262" t="str">
            <v>十字槽沉头螺钉</v>
          </cell>
          <cell r="F1262" t="str">
            <v>GB/T819.2-2016</v>
          </cell>
          <cell r="G1262" t="str">
            <v>M2×14</v>
          </cell>
          <cell r="H1262" t="str">
            <v>A2-70</v>
          </cell>
          <cell r="I1262" t="str">
            <v>ECP</v>
          </cell>
          <cell r="J1262" t="str">
            <v>ML1Cr18Ni9Ti</v>
          </cell>
          <cell r="K1262">
            <v>4000</v>
          </cell>
          <cell r="L1262">
            <v>46091</v>
          </cell>
          <cell r="M1262" t="str">
            <v>4-检验完成</v>
          </cell>
        </row>
        <row r="1262">
          <cell r="O1262">
            <v>0</v>
          </cell>
          <cell r="P1262" t="str">
            <v>中国运载火箭技术研究院</v>
          </cell>
          <cell r="Q1262" t="str">
            <v>10</v>
          </cell>
          <cell r="R1262">
            <v>46128</v>
          </cell>
        </row>
        <row r="1262">
          <cell r="U1262" t="str">
            <v>010000901314</v>
          </cell>
          <cell r="V1262" t="str">
            <v>BIAOQIAN1</v>
          </cell>
          <cell r="W1262" t="str">
            <v/>
          </cell>
          <cell r="X1262" t="str">
            <v>CP-108-A</v>
          </cell>
          <cell r="Y1262" t="str">
            <v/>
          </cell>
          <cell r="Z1262" t="str">
            <v>1901</v>
          </cell>
          <cell r="AA1262" t="str">
            <v>1100158122</v>
          </cell>
          <cell r="AB1262">
            <v>4000</v>
          </cell>
          <cell r="AC1262" t="str">
            <v/>
          </cell>
          <cell r="AD1262">
            <v>1</v>
          </cell>
          <cell r="AE1262" t="str">
            <v>G-100001932-260105-0019</v>
          </cell>
        </row>
        <row r="1263">
          <cell r="B1263" t="str">
            <v>7101085328</v>
          </cell>
          <cell r="C1263" t="str">
            <v>G2601-9023</v>
          </cell>
          <cell r="D1263" t="str">
            <v>000042944044087059</v>
          </cell>
          <cell r="E1263" t="str">
            <v>十字槽沉头螺钉</v>
          </cell>
          <cell r="F1263" t="str">
            <v>GB/T819.2-2016</v>
          </cell>
          <cell r="G1263" t="str">
            <v>M3×16</v>
          </cell>
          <cell r="H1263" t="str">
            <v>A2-70</v>
          </cell>
          <cell r="I1263" t="str">
            <v>ECP</v>
          </cell>
          <cell r="J1263" t="str">
            <v>ML1Cr18Ni9Ti</v>
          </cell>
          <cell r="K1263">
            <v>944</v>
          </cell>
          <cell r="L1263">
            <v>46091</v>
          </cell>
          <cell r="M1263" t="str">
            <v>4-检验完成</v>
          </cell>
        </row>
        <row r="1263">
          <cell r="O1263">
            <v>0</v>
          </cell>
          <cell r="P1263" t="str">
            <v>中国运载火箭技术研究院</v>
          </cell>
          <cell r="Q1263" t="str">
            <v>220</v>
          </cell>
          <cell r="R1263">
            <v>46129</v>
          </cell>
        </row>
        <row r="1263">
          <cell r="U1263" t="str">
            <v>010000900475</v>
          </cell>
          <cell r="V1263" t="str">
            <v>BIAOQIAN4</v>
          </cell>
          <cell r="W1263" t="str">
            <v/>
          </cell>
          <cell r="X1263" t="str">
            <v>CP-108-A</v>
          </cell>
          <cell r="Y1263" t="str">
            <v/>
          </cell>
          <cell r="Z1263" t="str">
            <v>1901</v>
          </cell>
          <cell r="AA1263" t="str">
            <v>1100157995</v>
          </cell>
          <cell r="AB1263">
            <v>1000</v>
          </cell>
          <cell r="AC1263" t="str">
            <v/>
          </cell>
          <cell r="AD1263">
            <v>1</v>
          </cell>
          <cell r="AE1263" t="str">
            <v>G-100001932-260103-0001</v>
          </cell>
        </row>
        <row r="1264">
          <cell r="B1264" t="str">
            <v>7101085125</v>
          </cell>
          <cell r="C1264" t="str">
            <v>G2601-9018</v>
          </cell>
          <cell r="D1264" t="str">
            <v>000042944044087041</v>
          </cell>
          <cell r="E1264" t="str">
            <v>十字槽沉头螺钉</v>
          </cell>
          <cell r="F1264" t="str">
            <v>GB/T819.2-2016</v>
          </cell>
          <cell r="G1264" t="str">
            <v>M2×16</v>
          </cell>
          <cell r="H1264" t="str">
            <v>A2-70</v>
          </cell>
          <cell r="I1264" t="str">
            <v>ECP</v>
          </cell>
          <cell r="J1264" t="str">
            <v>ML0Cr18Ni9</v>
          </cell>
          <cell r="K1264">
            <v>1984</v>
          </cell>
          <cell r="L1264">
            <v>46090</v>
          </cell>
          <cell r="M1264" t="str">
            <v>3-配货完成</v>
          </cell>
        </row>
        <row r="1264">
          <cell r="O1264">
            <v>0</v>
          </cell>
          <cell r="P1264" t="str">
            <v>中国运载火箭技术研究院</v>
          </cell>
          <cell r="Q1264" t="str">
            <v>170</v>
          </cell>
        </row>
        <row r="1264">
          <cell r="U1264" t="str">
            <v>010000900460</v>
          </cell>
          <cell r="V1264" t="str">
            <v>BIAOQIAN1</v>
          </cell>
          <cell r="W1264" t="str">
            <v/>
          </cell>
          <cell r="X1264" t="str">
            <v>CP-108-A</v>
          </cell>
          <cell r="Y1264" t="str">
            <v/>
          </cell>
          <cell r="Z1264" t="str">
            <v>1901</v>
          </cell>
          <cell r="AA1264" t="str">
            <v>1100157995</v>
          </cell>
          <cell r="AB1264">
            <v>2000</v>
          </cell>
          <cell r="AC1264" t="str">
            <v/>
          </cell>
          <cell r="AD1264">
            <v>1</v>
          </cell>
          <cell r="AE1264" t="str">
            <v>G-100001932-260103-0001</v>
          </cell>
        </row>
        <row r="1265">
          <cell r="B1265" t="str">
            <v>7101085125</v>
          </cell>
          <cell r="C1265" t="str">
            <v>G2501-9091</v>
          </cell>
          <cell r="D1265" t="str">
            <v>000042944044087041</v>
          </cell>
          <cell r="E1265" t="str">
            <v>十字槽沉头螺钉</v>
          </cell>
          <cell r="F1265" t="str">
            <v>GB/T819.2-2016</v>
          </cell>
          <cell r="G1265" t="str">
            <v>M2×16</v>
          </cell>
          <cell r="H1265" t="str">
            <v>A2-70</v>
          </cell>
          <cell r="I1265" t="str">
            <v>ECP</v>
          </cell>
          <cell r="J1265" t="str">
            <v>ML0Cr18Ni9</v>
          </cell>
          <cell r="K1265">
            <v>16</v>
          </cell>
          <cell r="L1265">
            <v>46090</v>
          </cell>
          <cell r="M1265" t="str">
            <v>3-配货完成</v>
          </cell>
        </row>
        <row r="1265">
          <cell r="O1265">
            <v>0</v>
          </cell>
          <cell r="P1265" t="str">
            <v>中国运载火箭技术研究院</v>
          </cell>
          <cell r="Q1265" t="str">
            <v>170</v>
          </cell>
        </row>
        <row r="1265">
          <cell r="U1265" t="str">
            <v>010000778241</v>
          </cell>
          <cell r="V1265" t="str">
            <v>BIAOQIAN1</v>
          </cell>
          <cell r="W1265" t="str">
            <v/>
          </cell>
          <cell r="X1265" t="str">
            <v>CP-35-2-4-3</v>
          </cell>
          <cell r="Y1265" t="str">
            <v/>
          </cell>
          <cell r="Z1265" t="str">
            <v>1901</v>
          </cell>
          <cell r="AA1265" t="str">
            <v>1100157995</v>
          </cell>
          <cell r="AB1265">
            <v>2000</v>
          </cell>
          <cell r="AC1265" t="str">
            <v/>
          </cell>
          <cell r="AD1265">
            <v>1</v>
          </cell>
          <cell r="AE1265" t="str">
            <v>G-100001932-260103-0001</v>
          </cell>
        </row>
        <row r="1266">
          <cell r="B1266" t="str">
            <v>7101083013</v>
          </cell>
          <cell r="C1266" t="str">
            <v>G2601-9071</v>
          </cell>
          <cell r="D1266" t="str">
            <v>000042944043086966</v>
          </cell>
          <cell r="E1266" t="str">
            <v>开槽沉头螺钉</v>
          </cell>
          <cell r="F1266" t="str">
            <v>GB/T68-2016</v>
          </cell>
          <cell r="G1266" t="str">
            <v>M3×6</v>
          </cell>
          <cell r="H1266" t="str">
            <v>A2-70</v>
          </cell>
          <cell r="I1266" t="str">
            <v>ECP</v>
          </cell>
          <cell r="J1266" t="str">
            <v>ML1Cr18Ni9Ti</v>
          </cell>
          <cell r="K1266">
            <v>16630</v>
          </cell>
          <cell r="L1266">
            <v>46086</v>
          </cell>
          <cell r="M1266" t="str">
            <v>4-检验完成</v>
          </cell>
        </row>
        <row r="1266">
          <cell r="O1266">
            <v>0</v>
          </cell>
          <cell r="P1266" t="str">
            <v>中国运载火箭技术研究院</v>
          </cell>
          <cell r="Q1266" t="str">
            <v>90</v>
          </cell>
          <cell r="R1266">
            <v>46128</v>
          </cell>
        </row>
        <row r="1266">
          <cell r="U1266" t="str">
            <v>010000902238</v>
          </cell>
          <cell r="V1266" t="str">
            <v>BIAOQIAN3</v>
          </cell>
          <cell r="W1266" t="str">
            <v/>
          </cell>
          <cell r="X1266" t="str">
            <v>CP-108-A</v>
          </cell>
          <cell r="Y1266" t="str">
            <v/>
          </cell>
          <cell r="Z1266" t="str">
            <v>1901</v>
          </cell>
          <cell r="AA1266" t="str">
            <v>1100157995</v>
          </cell>
          <cell r="AB1266">
            <v>33000</v>
          </cell>
          <cell r="AC1266" t="str">
            <v/>
          </cell>
          <cell r="AD1266">
            <v>1.5</v>
          </cell>
          <cell r="AE1266" t="str">
            <v>G-100001932-260103-0001</v>
          </cell>
        </row>
        <row r="1267">
          <cell r="B1267" t="str">
            <v>7101082086</v>
          </cell>
          <cell r="C1267" t="str">
            <v>G2503-1393</v>
          </cell>
          <cell r="D1267" t="str">
            <v>000042944999008088</v>
          </cell>
          <cell r="E1267" t="str">
            <v>钉杆</v>
          </cell>
          <cell r="F1267" t="str">
            <v>QJ2996.2A(1)-2004</v>
          </cell>
          <cell r="G1267" t="str">
            <v>4×10</v>
          </cell>
          <cell r="H1267" t="str">
            <v/>
          </cell>
          <cell r="I1267" t="str">
            <v>蓝色阳极化</v>
          </cell>
          <cell r="J1267" t="str">
            <v>TC4</v>
          </cell>
          <cell r="K1267">
            <v>5050</v>
          </cell>
          <cell r="L1267">
            <v>46084</v>
          </cell>
          <cell r="M1267" t="str">
            <v>4-检验完成</v>
          </cell>
        </row>
        <row r="1267">
          <cell r="O1267">
            <v>0</v>
          </cell>
          <cell r="P1267" t="str">
            <v>中国运载火箭技术研究院</v>
          </cell>
          <cell r="Q1267" t="str">
            <v>110</v>
          </cell>
          <cell r="R1267">
            <v>46088</v>
          </cell>
        </row>
        <row r="1267">
          <cell r="U1267" t="str">
            <v>010000796320</v>
          </cell>
          <cell r="V1267" t="str">
            <v>BIAOQIAN4</v>
          </cell>
          <cell r="W1267" t="str">
            <v/>
          </cell>
          <cell r="X1267" t="str">
            <v>CP-108-A</v>
          </cell>
          <cell r="Y1267" t="str">
            <v/>
          </cell>
          <cell r="Z1267" t="str">
            <v>1901</v>
          </cell>
          <cell r="AA1267" t="str">
            <v>1100143219</v>
          </cell>
          <cell r="AB1267">
            <v>20010</v>
          </cell>
          <cell r="AC1267" t="str">
            <v/>
          </cell>
          <cell r="AD1267">
            <v>41.5</v>
          </cell>
          <cell r="AE1267" t="str">
            <v>G-100001932-250311-0260</v>
          </cell>
        </row>
        <row r="1268">
          <cell r="B1268" t="str">
            <v>7101082027</v>
          </cell>
          <cell r="C1268" t="str">
            <v>G2503-1396</v>
          </cell>
          <cell r="D1268" t="str">
            <v>000042944999008092</v>
          </cell>
          <cell r="E1268" t="str">
            <v>钉杆</v>
          </cell>
          <cell r="F1268" t="str">
            <v>QJ2996.2A(1)-2004</v>
          </cell>
          <cell r="G1268" t="str">
            <v>4×14</v>
          </cell>
          <cell r="H1268" t="str">
            <v/>
          </cell>
          <cell r="I1268" t="str">
            <v>蓝色阳极化</v>
          </cell>
          <cell r="J1268" t="str">
            <v>TC4</v>
          </cell>
          <cell r="K1268">
            <v>4255</v>
          </cell>
          <cell r="L1268">
            <v>46084</v>
          </cell>
          <cell r="M1268" t="str">
            <v>4-检验完成</v>
          </cell>
        </row>
        <row r="1268">
          <cell r="O1268">
            <v>0</v>
          </cell>
          <cell r="P1268" t="str">
            <v>中国运载火箭技术研究院</v>
          </cell>
          <cell r="Q1268" t="str">
            <v>140</v>
          </cell>
          <cell r="R1268">
            <v>46086</v>
          </cell>
        </row>
        <row r="1268">
          <cell r="U1268" t="str">
            <v>010000796323</v>
          </cell>
          <cell r="V1268" t="str">
            <v>BIAOQIAN2</v>
          </cell>
          <cell r="W1268" t="str">
            <v/>
          </cell>
          <cell r="X1268" t="str">
            <v>CP-108-A</v>
          </cell>
          <cell r="Y1268" t="str">
            <v/>
          </cell>
          <cell r="Z1268" t="str">
            <v>1901</v>
          </cell>
          <cell r="AA1268" t="str">
            <v>1100143219</v>
          </cell>
          <cell r="AB1268">
            <v>8550</v>
          </cell>
          <cell r="AC1268" t="str">
            <v/>
          </cell>
          <cell r="AD1268">
            <v>41.5</v>
          </cell>
          <cell r="AE1268" t="str">
            <v>G-100001932-250311-0260</v>
          </cell>
        </row>
        <row r="1269">
          <cell r="B1269" t="str">
            <v>7101073331</v>
          </cell>
          <cell r="C1269" t="str">
            <v>G2503-1404</v>
          </cell>
          <cell r="D1269" t="str">
            <v>000042944999008146</v>
          </cell>
          <cell r="E1269" t="str">
            <v>钉杆</v>
          </cell>
          <cell r="F1269" t="str">
            <v>QJ2996.3A(1)-2004</v>
          </cell>
          <cell r="G1269" t="str">
            <v>4×15</v>
          </cell>
          <cell r="H1269" t="str">
            <v/>
          </cell>
          <cell r="I1269" t="str">
            <v>蓝色阳极化</v>
          </cell>
          <cell r="J1269" t="str">
            <v>TC4</v>
          </cell>
          <cell r="K1269">
            <v>5106</v>
          </cell>
          <cell r="L1269">
            <v>46057</v>
          </cell>
          <cell r="M1269" t="str">
            <v>4-检验完成</v>
          </cell>
        </row>
        <row r="1269">
          <cell r="O1269">
            <v>0</v>
          </cell>
          <cell r="P1269" t="str">
            <v>中国运载火箭技术研究院</v>
          </cell>
          <cell r="Q1269" t="str">
            <v>10</v>
          </cell>
          <cell r="R1269">
            <v>46058</v>
          </cell>
        </row>
        <row r="1269">
          <cell r="U1269" t="str">
            <v>010000796331</v>
          </cell>
          <cell r="V1269" t="str">
            <v>BIAOQIAN4</v>
          </cell>
          <cell r="W1269" t="str">
            <v/>
          </cell>
          <cell r="X1269" t="str">
            <v>CP-85-4-4-1/2/3/4/5/6/7</v>
          </cell>
          <cell r="Y1269" t="str">
            <v/>
          </cell>
          <cell r="Z1269" t="str">
            <v>1901</v>
          </cell>
          <cell r="AA1269" t="str">
            <v>1100145339</v>
          </cell>
          <cell r="AB1269">
            <v>5106</v>
          </cell>
          <cell r="AC1269" t="str">
            <v/>
          </cell>
          <cell r="AD1269">
            <v>41.5</v>
          </cell>
          <cell r="AE1269" t="str">
            <v>G-100001932-250415-0411</v>
          </cell>
        </row>
        <row r="1270">
          <cell r="B1270" t="str">
            <v>7101062104</v>
          </cell>
          <cell r="C1270" t="str">
            <v>G2505-0859</v>
          </cell>
          <cell r="D1270" t="str">
            <v>000042944201014080</v>
          </cell>
          <cell r="E1270" t="str">
            <v>高温合金GH4738六角头螺栓</v>
          </cell>
          <cell r="F1270" t="str">
            <v>Q/DY1330-2013</v>
          </cell>
          <cell r="G1270" t="str">
            <v>M4×14</v>
          </cell>
          <cell r="H1270" t="str">
            <v>σb≥1210MPa</v>
          </cell>
          <cell r="I1270" t="str">
            <v>Ct·P</v>
          </cell>
          <cell r="J1270" t="str">
            <v>GH738</v>
          </cell>
          <cell r="K1270">
            <v>219</v>
          </cell>
          <cell r="L1270">
            <v>46034</v>
          </cell>
          <cell r="M1270" t="str">
            <v>4-检验完成</v>
          </cell>
        </row>
        <row r="1270">
          <cell r="O1270">
            <v>0</v>
          </cell>
          <cell r="P1270" t="str">
            <v>中国运载火箭技术研究院</v>
          </cell>
          <cell r="Q1270" t="str">
            <v>80</v>
          </cell>
          <cell r="R1270">
            <v>46036</v>
          </cell>
        </row>
        <row r="1270">
          <cell r="U1270" t="str">
            <v>010000824784</v>
          </cell>
          <cell r="V1270" t="str">
            <v>BIAOQIAN2</v>
          </cell>
          <cell r="W1270" t="str">
            <v/>
          </cell>
          <cell r="X1270" t="str">
            <v>CP-108-A</v>
          </cell>
          <cell r="Y1270" t="str">
            <v/>
          </cell>
          <cell r="Z1270" t="str">
            <v>1901</v>
          </cell>
          <cell r="AA1270" t="str">
            <v>1100143661</v>
          </cell>
          <cell r="AB1270">
            <v>1290</v>
          </cell>
          <cell r="AC1270" t="str">
            <v/>
          </cell>
          <cell r="AD1270">
            <v>128</v>
          </cell>
          <cell r="AE1270" t="str">
            <v>G-100001932-250317-0286</v>
          </cell>
        </row>
        <row r="1271">
          <cell r="B1271" t="str">
            <v>7101060236</v>
          </cell>
          <cell r="C1271" t="str">
            <v>G2503-1378</v>
          </cell>
          <cell r="D1271" t="str">
            <v>000042944999008132</v>
          </cell>
          <cell r="E1271" t="str">
            <v>钉套</v>
          </cell>
          <cell r="F1271" t="str">
            <v>QJ2996.2A(2)-2004</v>
          </cell>
          <cell r="G1271" t="str">
            <v>4</v>
          </cell>
          <cell r="H1271" t="str">
            <v/>
          </cell>
          <cell r="I1271" t="str">
            <v>蓝色阳极化+十六醇</v>
          </cell>
          <cell r="J1271" t="str">
            <v>TA1</v>
          </cell>
          <cell r="K1271">
            <v>3646</v>
          </cell>
          <cell r="L1271">
            <v>46030</v>
          </cell>
          <cell r="M1271" t="str">
            <v>4-检验完成</v>
          </cell>
        </row>
        <row r="1271">
          <cell r="O1271">
            <v>0</v>
          </cell>
          <cell r="P1271" t="str">
            <v>中国运载火箭技术研究院</v>
          </cell>
          <cell r="Q1271" t="str">
            <v>230</v>
          </cell>
          <cell r="R1271">
            <v>46031</v>
          </cell>
        </row>
        <row r="1271">
          <cell r="U1271" t="str">
            <v>010000796037</v>
          </cell>
          <cell r="V1271" t="str">
            <v>BIAOQIAN1</v>
          </cell>
          <cell r="W1271" t="str">
            <v/>
          </cell>
          <cell r="X1271" t="str">
            <v>CP-108-A</v>
          </cell>
          <cell r="Y1271" t="str">
            <v/>
          </cell>
          <cell r="Z1271" t="str">
            <v>1901</v>
          </cell>
          <cell r="AA1271" t="str">
            <v>1100143219</v>
          </cell>
          <cell r="AB1271">
            <v>92500</v>
          </cell>
          <cell r="AC1271" t="str">
            <v/>
          </cell>
          <cell r="AD1271">
            <v>5</v>
          </cell>
          <cell r="AE1271" t="str">
            <v>G-100001932-250311-0260</v>
          </cell>
        </row>
        <row r="1272">
          <cell r="B1272" t="str">
            <v>7101058555</v>
          </cell>
          <cell r="C1272" t="str">
            <v>G2503-1381</v>
          </cell>
          <cell r="D1272" t="str">
            <v>000042944999008132</v>
          </cell>
          <cell r="E1272" t="str">
            <v>钉套</v>
          </cell>
          <cell r="F1272" t="str">
            <v>QJ2996.2A(2)-2004</v>
          </cell>
          <cell r="G1272" t="str">
            <v>4</v>
          </cell>
          <cell r="H1272" t="str">
            <v/>
          </cell>
          <cell r="I1272" t="str">
            <v>蓝色阳极化+十六醇</v>
          </cell>
          <cell r="J1272" t="str">
            <v>TA1</v>
          </cell>
          <cell r="K1272">
            <v>4681</v>
          </cell>
          <cell r="L1272">
            <v>46028</v>
          </cell>
          <cell r="M1272" t="str">
            <v>4-检验完成</v>
          </cell>
        </row>
        <row r="1272">
          <cell r="O1272">
            <v>0</v>
          </cell>
          <cell r="P1272" t="str">
            <v>中国运载火箭技术研究院</v>
          </cell>
          <cell r="Q1272" t="str">
            <v>230</v>
          </cell>
          <cell r="R1272">
            <v>46030</v>
          </cell>
        </row>
        <row r="1272">
          <cell r="U1272" t="str">
            <v>010000796040</v>
          </cell>
          <cell r="V1272" t="str">
            <v>BIAOQIAN4</v>
          </cell>
          <cell r="W1272" t="str">
            <v/>
          </cell>
          <cell r="X1272" t="str">
            <v>CP-108-A</v>
          </cell>
          <cell r="Y1272" t="str">
            <v/>
          </cell>
          <cell r="Z1272" t="str">
            <v>1901</v>
          </cell>
          <cell r="AA1272" t="str">
            <v>1100143219</v>
          </cell>
          <cell r="AB1272">
            <v>92500</v>
          </cell>
          <cell r="AC1272" t="str">
            <v/>
          </cell>
          <cell r="AD1272">
            <v>5</v>
          </cell>
          <cell r="AE1272" t="str">
            <v>G-100001932-250311-0260</v>
          </cell>
        </row>
        <row r="1273">
          <cell r="B1273" t="str">
            <v>7101057735</v>
          </cell>
          <cell r="C1273" t="str">
            <v>G2503-1382</v>
          </cell>
          <cell r="D1273" t="str">
            <v>000042944999008132</v>
          </cell>
          <cell r="E1273" t="str">
            <v>钉套</v>
          </cell>
          <cell r="F1273" t="str">
            <v>QJ2996.2A(2)-2004</v>
          </cell>
          <cell r="G1273" t="str">
            <v>4</v>
          </cell>
          <cell r="H1273" t="str">
            <v/>
          </cell>
          <cell r="I1273" t="str">
            <v>蓝色阳极化+十六醇</v>
          </cell>
          <cell r="J1273" t="str">
            <v>TA1</v>
          </cell>
          <cell r="K1273">
            <v>4740</v>
          </cell>
          <cell r="L1273">
            <v>46027</v>
          </cell>
          <cell r="M1273" t="str">
            <v>4-检验完成</v>
          </cell>
        </row>
        <row r="1273">
          <cell r="O1273">
            <v>0</v>
          </cell>
          <cell r="P1273" t="str">
            <v>中国运载火箭技术研究院</v>
          </cell>
          <cell r="Q1273" t="str">
            <v>230</v>
          </cell>
          <cell r="R1273">
            <v>46030</v>
          </cell>
        </row>
        <row r="1273">
          <cell r="U1273" t="str">
            <v>010000796041</v>
          </cell>
          <cell r="V1273" t="str">
            <v>BIAOQIAN2</v>
          </cell>
          <cell r="W1273" t="str">
            <v/>
          </cell>
          <cell r="X1273" t="str">
            <v>CP-108-A</v>
          </cell>
          <cell r="Y1273" t="str">
            <v/>
          </cell>
          <cell r="Z1273" t="str">
            <v>1901</v>
          </cell>
          <cell r="AA1273" t="str">
            <v>1100143219</v>
          </cell>
          <cell r="AB1273">
            <v>92500</v>
          </cell>
          <cell r="AC1273" t="str">
            <v/>
          </cell>
          <cell r="AD1273">
            <v>5</v>
          </cell>
          <cell r="AE1273" t="str">
            <v>G-100001932-250311-0260</v>
          </cell>
        </row>
        <row r="1274">
          <cell r="B1274" t="str">
            <v>7101057662</v>
          </cell>
          <cell r="C1274" t="str">
            <v>G2512-1952</v>
          </cell>
          <cell r="D1274" t="str">
            <v>000042944999008093</v>
          </cell>
          <cell r="E1274" t="str">
            <v>钉杆</v>
          </cell>
          <cell r="F1274" t="str">
            <v>QJ2996.2A(1)-2004</v>
          </cell>
          <cell r="G1274" t="str">
            <v>4×15</v>
          </cell>
          <cell r="H1274" t="str">
            <v/>
          </cell>
          <cell r="I1274" t="str">
            <v>蓝色阳极化</v>
          </cell>
          <cell r="J1274" t="str">
            <v>TC4</v>
          </cell>
          <cell r="K1274">
            <v>5182</v>
          </cell>
          <cell r="L1274">
            <v>46027</v>
          </cell>
          <cell r="M1274" t="str">
            <v>4-检验完成</v>
          </cell>
        </row>
        <row r="1274">
          <cell r="O1274">
            <v>0</v>
          </cell>
          <cell r="P1274" t="str">
            <v>中国运载火箭技术研究院</v>
          </cell>
          <cell r="Q1274" t="str">
            <v>150</v>
          </cell>
          <cell r="R1274">
            <v>46030</v>
          </cell>
        </row>
        <row r="1274">
          <cell r="U1274" t="str">
            <v>010000898357</v>
          </cell>
          <cell r="V1274" t="str">
            <v>BIAOQIAN2</v>
          </cell>
          <cell r="W1274" t="str">
            <v/>
          </cell>
          <cell r="X1274" t="str">
            <v>CP-108-A</v>
          </cell>
          <cell r="Y1274" t="str">
            <v/>
          </cell>
          <cell r="Z1274" t="str">
            <v>1901</v>
          </cell>
          <cell r="AA1274" t="str">
            <v>1100143219</v>
          </cell>
          <cell r="AB1274">
            <v>10500</v>
          </cell>
          <cell r="AC1274" t="str">
            <v/>
          </cell>
          <cell r="AD1274">
            <v>41.5</v>
          </cell>
          <cell r="AE1274" t="str">
            <v>G-100001932-250311-0260</v>
          </cell>
        </row>
        <row r="1275">
          <cell r="B1275" t="str">
            <v>7101057368</v>
          </cell>
          <cell r="C1275" t="str">
            <v>G2512-1956</v>
          </cell>
          <cell r="D1275" t="str">
            <v>000042944999008092</v>
          </cell>
          <cell r="E1275" t="str">
            <v>钉杆</v>
          </cell>
          <cell r="F1275" t="str">
            <v>QJ2996.2A(1)-2004</v>
          </cell>
          <cell r="G1275" t="str">
            <v>4×14</v>
          </cell>
          <cell r="H1275" t="str">
            <v/>
          </cell>
          <cell r="I1275" t="str">
            <v>蓝色阳极化</v>
          </cell>
          <cell r="J1275" t="str">
            <v>TC4</v>
          </cell>
          <cell r="K1275">
            <v>4295</v>
          </cell>
          <cell r="L1275">
            <v>46026</v>
          </cell>
          <cell r="M1275" t="str">
            <v>4-检验完成</v>
          </cell>
        </row>
        <row r="1275">
          <cell r="O1275">
            <v>0</v>
          </cell>
          <cell r="P1275" t="str">
            <v>中国运载火箭技术研究院</v>
          </cell>
          <cell r="Q1275" t="str">
            <v>140</v>
          </cell>
          <cell r="R1275">
            <v>46042</v>
          </cell>
        </row>
        <row r="1275">
          <cell r="U1275" t="str">
            <v>010000898369</v>
          </cell>
          <cell r="V1275" t="str">
            <v>BIAOQIAN2</v>
          </cell>
          <cell r="W1275" t="str">
            <v/>
          </cell>
          <cell r="X1275" t="str">
            <v>CP-108-A</v>
          </cell>
          <cell r="Y1275" t="str">
            <v/>
          </cell>
          <cell r="Z1275" t="str">
            <v>1901</v>
          </cell>
          <cell r="AA1275" t="str">
            <v>1100143219</v>
          </cell>
          <cell r="AB1275">
            <v>8550</v>
          </cell>
          <cell r="AC1275" t="str">
            <v/>
          </cell>
          <cell r="AD1275">
            <v>41.5</v>
          </cell>
          <cell r="AE1275" t="str">
            <v>G-100001932-250311-0260</v>
          </cell>
        </row>
        <row r="1276">
          <cell r="B1276" t="str">
            <v>7101056438</v>
          </cell>
          <cell r="C1276" t="str">
            <v>G2503-1379</v>
          </cell>
          <cell r="D1276" t="str">
            <v>000042944999008132</v>
          </cell>
          <cell r="E1276" t="str">
            <v>钉套</v>
          </cell>
          <cell r="F1276" t="str">
            <v>QJ2996.2A(2)-2004</v>
          </cell>
          <cell r="G1276" t="str">
            <v>4</v>
          </cell>
          <cell r="H1276" t="str">
            <v/>
          </cell>
          <cell r="I1276" t="str">
            <v>蓝色阳极化+十六醇</v>
          </cell>
          <cell r="J1276" t="str">
            <v>TA1</v>
          </cell>
          <cell r="K1276">
            <v>4780</v>
          </cell>
          <cell r="L1276">
            <v>46022</v>
          </cell>
          <cell r="M1276" t="str">
            <v>4-检验完成</v>
          </cell>
        </row>
        <row r="1276">
          <cell r="O1276">
            <v>0</v>
          </cell>
          <cell r="P1276" t="str">
            <v>中国运载火箭技术研究院</v>
          </cell>
          <cell r="Q1276" t="str">
            <v>230</v>
          </cell>
          <cell r="R1276">
            <v>46026</v>
          </cell>
        </row>
        <row r="1276">
          <cell r="U1276" t="str">
            <v>010000796038</v>
          </cell>
          <cell r="V1276" t="str">
            <v>BIAOQIAN4</v>
          </cell>
          <cell r="W1276" t="str">
            <v/>
          </cell>
          <cell r="X1276" t="str">
            <v>CP-108-A</v>
          </cell>
          <cell r="Y1276" t="str">
            <v/>
          </cell>
          <cell r="Z1276" t="str">
            <v>1901</v>
          </cell>
          <cell r="AA1276" t="str">
            <v>1100143219</v>
          </cell>
          <cell r="AB1276">
            <v>92500</v>
          </cell>
          <cell r="AC1276" t="str">
            <v/>
          </cell>
          <cell r="AD1276">
            <v>5</v>
          </cell>
          <cell r="AE1276" t="str">
            <v>G-100001932-250311-0260</v>
          </cell>
        </row>
        <row r="1277">
          <cell r="B1277" t="str">
            <v>7101053479</v>
          </cell>
          <cell r="C1277" t="str">
            <v>G2503-1373</v>
          </cell>
          <cell r="D1277" t="str">
            <v>000042944999008132</v>
          </cell>
          <cell r="E1277" t="str">
            <v>钉套</v>
          </cell>
          <cell r="F1277" t="str">
            <v>QJ2996.2A(2)-2004</v>
          </cell>
          <cell r="G1277" t="str">
            <v>4</v>
          </cell>
          <cell r="H1277" t="str">
            <v/>
          </cell>
          <cell r="I1277" t="str">
            <v>蓝色阳极化+十六醇</v>
          </cell>
          <cell r="J1277" t="str">
            <v>TA1</v>
          </cell>
          <cell r="K1277">
            <v>4740</v>
          </cell>
          <cell r="L1277">
            <v>46014</v>
          </cell>
          <cell r="M1277" t="str">
            <v>4-检验完成</v>
          </cell>
        </row>
        <row r="1277">
          <cell r="O1277">
            <v>0</v>
          </cell>
          <cell r="P1277" t="str">
            <v>中国运载火箭技术研究院</v>
          </cell>
          <cell r="Q1277" t="str">
            <v>230</v>
          </cell>
          <cell r="R1277">
            <v>46015</v>
          </cell>
        </row>
        <row r="1277">
          <cell r="U1277" t="str">
            <v>010000796032</v>
          </cell>
          <cell r="V1277" t="str">
            <v>BIAOQIAN4</v>
          </cell>
          <cell r="W1277" t="str">
            <v/>
          </cell>
          <cell r="X1277" t="str">
            <v>CP-108-A</v>
          </cell>
          <cell r="Y1277" t="str">
            <v/>
          </cell>
          <cell r="Z1277" t="str">
            <v>1901</v>
          </cell>
          <cell r="AA1277" t="str">
            <v>1100143219</v>
          </cell>
          <cell r="AB1277">
            <v>92500</v>
          </cell>
          <cell r="AC1277" t="str">
            <v/>
          </cell>
          <cell r="AD1277">
            <v>5</v>
          </cell>
          <cell r="AE1277" t="str">
            <v>G-100001932-250311-0260</v>
          </cell>
        </row>
        <row r="1278">
          <cell r="B1278" t="str">
            <v>7101053479</v>
          </cell>
          <cell r="C1278" t="str">
            <v>G2503-1377</v>
          </cell>
          <cell r="D1278" t="str">
            <v>000042944999008132</v>
          </cell>
          <cell r="E1278" t="str">
            <v>钉套</v>
          </cell>
          <cell r="F1278" t="str">
            <v>QJ2996.2A(2)-2004</v>
          </cell>
          <cell r="G1278" t="str">
            <v>4</v>
          </cell>
          <cell r="H1278" t="str">
            <v/>
          </cell>
          <cell r="I1278" t="str">
            <v>蓝色阳极化+十六醇</v>
          </cell>
          <cell r="J1278" t="str">
            <v>TA1</v>
          </cell>
          <cell r="K1278">
            <v>4659</v>
          </cell>
          <cell r="L1278">
            <v>46014</v>
          </cell>
          <cell r="M1278" t="str">
            <v>4-检验完成</v>
          </cell>
        </row>
        <row r="1278">
          <cell r="O1278">
            <v>0</v>
          </cell>
          <cell r="P1278" t="str">
            <v>中国运载火箭技术研究院</v>
          </cell>
          <cell r="Q1278" t="str">
            <v>230</v>
          </cell>
          <cell r="R1278">
            <v>46015</v>
          </cell>
        </row>
        <row r="1278">
          <cell r="U1278" t="str">
            <v>010000796036</v>
          </cell>
          <cell r="V1278" t="str">
            <v>BIAOQIAN4</v>
          </cell>
          <cell r="W1278" t="str">
            <v/>
          </cell>
          <cell r="X1278" t="str">
            <v>CP-108-A</v>
          </cell>
          <cell r="Y1278" t="str">
            <v/>
          </cell>
          <cell r="Z1278" t="str">
            <v>1901</v>
          </cell>
          <cell r="AA1278" t="str">
            <v>1100143219</v>
          </cell>
          <cell r="AB1278">
            <v>92500</v>
          </cell>
          <cell r="AC1278" t="str">
            <v/>
          </cell>
          <cell r="AD1278">
            <v>5</v>
          </cell>
          <cell r="AE1278" t="str">
            <v>G-100001932-250311-0260</v>
          </cell>
        </row>
        <row r="1279">
          <cell r="B1279" t="str">
            <v>7101052976</v>
          </cell>
          <cell r="C1279" t="str">
            <v>G2503-1380</v>
          </cell>
          <cell r="D1279" t="str">
            <v>000042944999008132</v>
          </cell>
          <cell r="E1279" t="str">
            <v>钉套</v>
          </cell>
          <cell r="F1279" t="str">
            <v>QJ2996.2A(2)-2004</v>
          </cell>
          <cell r="G1279" t="str">
            <v>4</v>
          </cell>
          <cell r="H1279" t="str">
            <v/>
          </cell>
          <cell r="I1279" t="str">
            <v>蓝色阳极化+十六醇</v>
          </cell>
          <cell r="J1279" t="str">
            <v>TA1</v>
          </cell>
          <cell r="K1279">
            <v>4525</v>
          </cell>
          <cell r="L1279">
            <v>46012</v>
          </cell>
          <cell r="M1279" t="str">
            <v>4-检验完成</v>
          </cell>
        </row>
        <row r="1279">
          <cell r="O1279">
            <v>0</v>
          </cell>
          <cell r="P1279" t="str">
            <v>中国运载火箭技术研究院</v>
          </cell>
          <cell r="Q1279" t="str">
            <v>230</v>
          </cell>
          <cell r="R1279">
            <v>46016</v>
          </cell>
        </row>
        <row r="1279">
          <cell r="U1279" t="str">
            <v>010000796039</v>
          </cell>
          <cell r="V1279" t="str">
            <v>BIAOQIAN2</v>
          </cell>
          <cell r="W1279" t="str">
            <v/>
          </cell>
          <cell r="X1279" t="str">
            <v>CP-108-A</v>
          </cell>
          <cell r="Y1279" t="str">
            <v/>
          </cell>
          <cell r="Z1279" t="str">
            <v>1901</v>
          </cell>
          <cell r="AA1279" t="str">
            <v>1100143219</v>
          </cell>
          <cell r="AB1279">
            <v>92500</v>
          </cell>
          <cell r="AC1279" t="str">
            <v/>
          </cell>
          <cell r="AD1279">
            <v>5</v>
          </cell>
          <cell r="AE1279" t="str">
            <v>G-100001932-250311-0260</v>
          </cell>
        </row>
        <row r="1280">
          <cell r="B1280" t="str">
            <v>7101051356</v>
          </cell>
          <cell r="C1280" t="str">
            <v>G2503-1376</v>
          </cell>
          <cell r="D1280" t="str">
            <v>000042944999008132</v>
          </cell>
          <cell r="E1280" t="str">
            <v>钉套</v>
          </cell>
          <cell r="F1280" t="str">
            <v>QJ2996.2A(2)-2004</v>
          </cell>
          <cell r="G1280" t="str">
            <v>4</v>
          </cell>
          <cell r="H1280" t="str">
            <v/>
          </cell>
          <cell r="I1280" t="str">
            <v>蓝色阳极化+十六醇</v>
          </cell>
          <cell r="J1280" t="str">
            <v>TA1</v>
          </cell>
          <cell r="K1280">
            <v>4710</v>
          </cell>
          <cell r="L1280">
            <v>46009</v>
          </cell>
          <cell r="M1280" t="str">
            <v>4-检验完成</v>
          </cell>
        </row>
        <row r="1280">
          <cell r="O1280">
            <v>0</v>
          </cell>
          <cell r="P1280" t="str">
            <v>中国运载火箭技术研究院</v>
          </cell>
          <cell r="Q1280" t="str">
            <v>230</v>
          </cell>
          <cell r="R1280">
            <v>46010</v>
          </cell>
        </row>
        <row r="1280">
          <cell r="U1280" t="str">
            <v>010000796035</v>
          </cell>
          <cell r="V1280" t="str">
            <v>BIAOQIAN1</v>
          </cell>
          <cell r="W1280" t="str">
            <v/>
          </cell>
          <cell r="X1280" t="str">
            <v>CP-108-A</v>
          </cell>
          <cell r="Y1280" t="str">
            <v/>
          </cell>
          <cell r="Z1280" t="str">
            <v>1901</v>
          </cell>
          <cell r="AA1280" t="str">
            <v>1100143219</v>
          </cell>
          <cell r="AB1280">
            <v>92500</v>
          </cell>
          <cell r="AC1280" t="str">
            <v/>
          </cell>
          <cell r="AD1280">
            <v>5</v>
          </cell>
          <cell r="AE1280" t="str">
            <v>G-100001932-250311-0260</v>
          </cell>
        </row>
        <row r="1281">
          <cell r="B1281" t="str">
            <v>7101051182</v>
          </cell>
          <cell r="C1281" t="str">
            <v>G2503-1417</v>
          </cell>
          <cell r="D1281" t="str">
            <v>000042944999008088</v>
          </cell>
          <cell r="E1281" t="str">
            <v>钉杆</v>
          </cell>
          <cell r="F1281" t="str">
            <v>QJ2996.2A(1)-2004</v>
          </cell>
          <cell r="G1281" t="str">
            <v>4×10</v>
          </cell>
          <cell r="H1281" t="str">
            <v/>
          </cell>
          <cell r="I1281" t="str">
            <v>蓝色阳极化</v>
          </cell>
          <cell r="J1281" t="str">
            <v>TC4</v>
          </cell>
          <cell r="K1281">
            <v>5050</v>
          </cell>
          <cell r="L1281">
            <v>46008</v>
          </cell>
          <cell r="M1281" t="str">
            <v>4-检验完成</v>
          </cell>
        </row>
        <row r="1281">
          <cell r="O1281">
            <v>0</v>
          </cell>
          <cell r="P1281" t="str">
            <v>中国运载火箭技术研究院</v>
          </cell>
          <cell r="Q1281" t="str">
            <v>110</v>
          </cell>
          <cell r="R1281">
            <v>46013</v>
          </cell>
        </row>
        <row r="1281">
          <cell r="U1281" t="str">
            <v>010000796299</v>
          </cell>
          <cell r="V1281" t="str">
            <v>BIAOQIAN4</v>
          </cell>
          <cell r="W1281" t="str">
            <v/>
          </cell>
          <cell r="X1281" t="str">
            <v>CP-108-A</v>
          </cell>
          <cell r="Y1281" t="str">
            <v/>
          </cell>
          <cell r="Z1281" t="str">
            <v>1901</v>
          </cell>
          <cell r="AA1281" t="str">
            <v>1100143219</v>
          </cell>
          <cell r="AB1281">
            <v>20010</v>
          </cell>
          <cell r="AC1281" t="str">
            <v/>
          </cell>
          <cell r="AD1281">
            <v>41.5</v>
          </cell>
          <cell r="AE1281" t="str">
            <v>G-100001932-250311-0260</v>
          </cell>
        </row>
        <row r="1282">
          <cell r="B1282" t="str">
            <v>7101051180</v>
          </cell>
          <cell r="C1282" t="str">
            <v>G2503-2037</v>
          </cell>
          <cell r="D1282" t="str">
            <v>000042944201014079</v>
          </cell>
          <cell r="E1282" t="str">
            <v>高温合金GH4738六角头螺栓</v>
          </cell>
          <cell r="F1282" t="str">
            <v>Q/DY1330-2013</v>
          </cell>
          <cell r="G1282" t="str">
            <v>M4×12</v>
          </cell>
          <cell r="H1282" t="str">
            <v>σb≥1210MPa</v>
          </cell>
          <cell r="I1282" t="str">
            <v>Ct·P</v>
          </cell>
          <cell r="J1282" t="str">
            <v>GH738</v>
          </cell>
          <cell r="K1282">
            <v>1290</v>
          </cell>
          <cell r="L1282">
            <v>46008</v>
          </cell>
          <cell r="M1282" t="str">
            <v>4-检验完成</v>
          </cell>
        </row>
        <row r="1282">
          <cell r="O1282">
            <v>0</v>
          </cell>
          <cell r="P1282" t="str">
            <v>中国运载火箭技术研究院</v>
          </cell>
          <cell r="Q1282" t="str">
            <v>70</v>
          </cell>
          <cell r="R1282">
            <v>46009</v>
          </cell>
        </row>
        <row r="1282">
          <cell r="U1282" t="str">
            <v>010000799326</v>
          </cell>
          <cell r="V1282" t="str">
            <v>BIAOQIAN4</v>
          </cell>
          <cell r="W1282" t="str">
            <v/>
          </cell>
          <cell r="X1282" t="str">
            <v>CP-108-A</v>
          </cell>
          <cell r="Y1282" t="str">
            <v/>
          </cell>
          <cell r="Z1282" t="str">
            <v>1901</v>
          </cell>
          <cell r="AA1282" t="str">
            <v>1100143661</v>
          </cell>
          <cell r="AB1282">
            <v>1290</v>
          </cell>
          <cell r="AC1282" t="str">
            <v/>
          </cell>
          <cell r="AD1282">
            <v>128</v>
          </cell>
          <cell r="AE1282" t="str">
            <v>G-100001932-250317-0286</v>
          </cell>
        </row>
        <row r="1283">
          <cell r="B1283" t="str">
            <v>7101051029</v>
          </cell>
          <cell r="C1283" t="str">
            <v>G2503-1306</v>
          </cell>
          <cell r="D1283" t="str">
            <v>000042944999008091</v>
          </cell>
          <cell r="E1283" t="str">
            <v>钉杆</v>
          </cell>
          <cell r="F1283" t="str">
            <v>QJ2996.2A(1)-2004</v>
          </cell>
          <cell r="G1283" t="str">
            <v>4×13</v>
          </cell>
          <cell r="H1283" t="str">
            <v/>
          </cell>
          <cell r="I1283" t="str">
            <v>蓝色阳极化</v>
          </cell>
          <cell r="J1283" t="str">
            <v>TC4</v>
          </cell>
          <cell r="K1283">
            <v>4069</v>
          </cell>
          <cell r="L1283">
            <v>46008</v>
          </cell>
          <cell r="M1283" t="str">
            <v>4-检验完成</v>
          </cell>
        </row>
        <row r="1283">
          <cell r="O1283">
            <v>0</v>
          </cell>
          <cell r="P1283" t="str">
            <v>中国运载火箭技术研究院</v>
          </cell>
          <cell r="Q1283" t="str">
            <v>130</v>
          </cell>
          <cell r="R1283">
            <v>46009</v>
          </cell>
        </row>
        <row r="1283">
          <cell r="U1283" t="str">
            <v>010000796021</v>
          </cell>
          <cell r="V1283" t="str">
            <v>BIAOQIAN1</v>
          </cell>
          <cell r="W1283" t="str">
            <v/>
          </cell>
          <cell r="X1283" t="str">
            <v>CP-108-A</v>
          </cell>
          <cell r="Y1283" t="str">
            <v/>
          </cell>
          <cell r="Z1283" t="str">
            <v>1901</v>
          </cell>
          <cell r="AA1283" t="str">
            <v>1100143219</v>
          </cell>
          <cell r="AB1283">
            <v>8350</v>
          </cell>
          <cell r="AC1283" t="str">
            <v/>
          </cell>
          <cell r="AD1283">
            <v>41.5</v>
          </cell>
          <cell r="AE1283" t="str">
            <v>G-100001932-250311-0260</v>
          </cell>
        </row>
        <row r="1284">
          <cell r="B1284" t="str">
            <v>7101049090</v>
          </cell>
          <cell r="C1284" t="str">
            <v>G2503-1372</v>
          </cell>
          <cell r="D1284" t="str">
            <v>000042944999008132</v>
          </cell>
          <cell r="E1284" t="str">
            <v>钉套</v>
          </cell>
          <cell r="F1284" t="str">
            <v>QJ2996.2A(2)-2004</v>
          </cell>
          <cell r="G1284" t="str">
            <v>4</v>
          </cell>
          <cell r="H1284" t="str">
            <v/>
          </cell>
          <cell r="I1284" t="str">
            <v>蓝色阳极化+十六醇</v>
          </cell>
          <cell r="J1284" t="str">
            <v>TA1</v>
          </cell>
          <cell r="K1284">
            <v>4685</v>
          </cell>
          <cell r="L1284">
            <v>46002</v>
          </cell>
          <cell r="M1284" t="str">
            <v>4-检验完成</v>
          </cell>
        </row>
        <row r="1284">
          <cell r="O1284">
            <v>0</v>
          </cell>
          <cell r="P1284" t="str">
            <v>中国运载火箭技术研究院</v>
          </cell>
          <cell r="Q1284" t="str">
            <v>230</v>
          </cell>
          <cell r="R1284">
            <v>46003</v>
          </cell>
        </row>
        <row r="1284">
          <cell r="U1284" t="str">
            <v>010000796031</v>
          </cell>
          <cell r="V1284" t="str">
            <v>BIAOQIAN1</v>
          </cell>
          <cell r="W1284" t="str">
            <v/>
          </cell>
          <cell r="X1284" t="str">
            <v>CP-108-A</v>
          </cell>
          <cell r="Y1284" t="str">
            <v/>
          </cell>
          <cell r="Z1284" t="str">
            <v>1901</v>
          </cell>
          <cell r="AA1284" t="str">
            <v>1100143219</v>
          </cell>
          <cell r="AB1284">
            <v>92500</v>
          </cell>
          <cell r="AC1284" t="str">
            <v/>
          </cell>
          <cell r="AD1284">
            <v>5</v>
          </cell>
          <cell r="AE1284" t="str">
            <v>G-100001932-250311-0260</v>
          </cell>
        </row>
        <row r="1285">
          <cell r="B1285" t="str">
            <v>7101048873</v>
          </cell>
          <cell r="C1285" t="str">
            <v>G2503-2792</v>
          </cell>
          <cell r="D1285" t="str">
            <v>000042944201014083</v>
          </cell>
          <cell r="E1285" t="str">
            <v>高温合金GH4738六角头螺栓</v>
          </cell>
          <cell r="F1285" t="str">
            <v>Q/DY1330-2013</v>
          </cell>
          <cell r="G1285" t="str">
            <v>M5×12</v>
          </cell>
          <cell r="H1285" t="str">
            <v>σb≥1210MPa</v>
          </cell>
          <cell r="I1285" t="str">
            <v>Ct·P</v>
          </cell>
          <cell r="J1285" t="str">
            <v>GH4738</v>
          </cell>
          <cell r="K1285">
            <v>929</v>
          </cell>
          <cell r="L1285">
            <v>46001</v>
          </cell>
          <cell r="M1285" t="str">
            <v>4-检验完成</v>
          </cell>
        </row>
        <row r="1285">
          <cell r="O1285">
            <v>0</v>
          </cell>
          <cell r="P1285" t="str">
            <v>中国运载火箭技术研究院</v>
          </cell>
          <cell r="Q1285" t="str">
            <v>90</v>
          </cell>
          <cell r="R1285">
            <v>46002</v>
          </cell>
        </row>
        <row r="1285">
          <cell r="U1285" t="str">
            <v>010000802299</v>
          </cell>
          <cell r="V1285" t="str">
            <v>BIAOQIAN4</v>
          </cell>
          <cell r="W1285" t="str">
            <v/>
          </cell>
          <cell r="X1285" t="str">
            <v>CP-108-A</v>
          </cell>
          <cell r="Y1285" t="str">
            <v/>
          </cell>
          <cell r="Z1285" t="str">
            <v>1901</v>
          </cell>
          <cell r="AA1285" t="str">
            <v>1100143661</v>
          </cell>
          <cell r="AB1285">
            <v>1770</v>
          </cell>
          <cell r="AC1285" t="str">
            <v/>
          </cell>
          <cell r="AD1285">
            <v>136</v>
          </cell>
          <cell r="AE1285" t="str">
            <v>G-100001932-250317-0286</v>
          </cell>
        </row>
        <row r="1286">
          <cell r="B1286" t="str">
            <v>7101048017</v>
          </cell>
          <cell r="C1286" t="str">
            <v>G2503-1374</v>
          </cell>
          <cell r="D1286" t="str">
            <v>000042944999008132</v>
          </cell>
          <cell r="E1286" t="str">
            <v>钉套</v>
          </cell>
          <cell r="F1286" t="str">
            <v>QJ2996.2A(2)-2004</v>
          </cell>
          <cell r="G1286" t="str">
            <v>4</v>
          </cell>
          <cell r="H1286" t="str">
            <v/>
          </cell>
          <cell r="I1286" t="str">
            <v>蓝色阳极化+十六醇</v>
          </cell>
          <cell r="J1286" t="str">
            <v>TA1</v>
          </cell>
          <cell r="K1286">
            <v>4706</v>
          </cell>
          <cell r="L1286">
            <v>45999</v>
          </cell>
          <cell r="M1286" t="str">
            <v>4-检验完成</v>
          </cell>
        </row>
        <row r="1286">
          <cell r="O1286">
            <v>0</v>
          </cell>
          <cell r="P1286" t="str">
            <v>中国运载火箭技术研究院</v>
          </cell>
          <cell r="Q1286" t="str">
            <v>230</v>
          </cell>
          <cell r="R1286">
            <v>46001</v>
          </cell>
        </row>
        <row r="1286">
          <cell r="U1286" t="str">
            <v>010000796033</v>
          </cell>
          <cell r="V1286" t="str">
            <v>BIAOQIAN1</v>
          </cell>
          <cell r="W1286" t="str">
            <v/>
          </cell>
          <cell r="X1286" t="str">
            <v>CP-108-A</v>
          </cell>
          <cell r="Y1286" t="str">
            <v/>
          </cell>
          <cell r="Z1286" t="str">
            <v>1901</v>
          </cell>
          <cell r="AA1286" t="str">
            <v>1100143219</v>
          </cell>
          <cell r="AB1286">
            <v>92500</v>
          </cell>
          <cell r="AC1286" t="str">
            <v/>
          </cell>
          <cell r="AD1286">
            <v>5</v>
          </cell>
          <cell r="AE1286" t="str">
            <v>G-100001932-250311-0260</v>
          </cell>
        </row>
        <row r="1287">
          <cell r="B1287" t="str">
            <v>7101046549</v>
          </cell>
          <cell r="C1287" t="str">
            <v>GW2510-148</v>
          </cell>
          <cell r="D1287" t="str">
            <v>000042944041002017</v>
          </cell>
          <cell r="E1287" t="str">
            <v>内六角圆柱头螺钉</v>
          </cell>
          <cell r="F1287" t="str">
            <v>GB/T70.1-2008</v>
          </cell>
          <cell r="G1287" t="str">
            <v>M4×8</v>
          </cell>
          <cell r="H1287" t="str">
            <v>A2-70</v>
          </cell>
          <cell r="I1287" t="str">
            <v>ECP</v>
          </cell>
          <cell r="J1287" t="str">
            <v>ML1Cr18Ni9Ti</v>
          </cell>
          <cell r="K1287">
            <v>50</v>
          </cell>
          <cell r="L1287">
            <v>45995</v>
          </cell>
          <cell r="M1287" t="str">
            <v>4-检验完成</v>
          </cell>
        </row>
        <row r="1287">
          <cell r="O1287">
            <v>0</v>
          </cell>
          <cell r="P1287" t="str">
            <v>中国运载火箭技术研究院</v>
          </cell>
          <cell r="Q1287" t="str">
            <v>10</v>
          </cell>
          <cell r="R1287">
            <v>45999</v>
          </cell>
        </row>
        <row r="1287">
          <cell r="U1287" t="str">
            <v/>
          </cell>
          <cell r="V1287" t="str">
            <v>BIAOQIAN2</v>
          </cell>
          <cell r="W1287" t="str">
            <v/>
          </cell>
          <cell r="X1287" t="str">
            <v>XH-000</v>
          </cell>
          <cell r="Y1287" t="str">
            <v/>
          </cell>
          <cell r="Z1287" t="str">
            <v>1901</v>
          </cell>
          <cell r="AA1287" t="str">
            <v>1100153000</v>
          </cell>
          <cell r="AB1287">
            <v>50</v>
          </cell>
          <cell r="AC1287" t="str">
            <v/>
          </cell>
          <cell r="AD1287">
            <v>3.12</v>
          </cell>
          <cell r="AE1287" t="str">
            <v>G-100001932-250916-0998-1-H</v>
          </cell>
        </row>
        <row r="1288">
          <cell r="B1288" t="str">
            <v>7101044729</v>
          </cell>
          <cell r="C1288" t="str">
            <v>G2504-3505</v>
          </cell>
          <cell r="D1288" t="str">
            <v>000042944999008090</v>
          </cell>
          <cell r="E1288" t="str">
            <v>钉杆</v>
          </cell>
          <cell r="F1288" t="str">
            <v>QJ2996.2A(1)-2004</v>
          </cell>
          <cell r="G1288" t="str">
            <v>4×12</v>
          </cell>
          <cell r="H1288" t="str">
            <v/>
          </cell>
          <cell r="I1288" t="str">
            <v>蓝色阳极化</v>
          </cell>
          <cell r="J1288" t="str">
            <v>TC4</v>
          </cell>
          <cell r="K1288">
            <v>7290</v>
          </cell>
          <cell r="L1288">
            <v>45992</v>
          </cell>
          <cell r="M1288" t="str">
            <v>4-检验完成</v>
          </cell>
        </row>
        <row r="1288">
          <cell r="O1288">
            <v>0</v>
          </cell>
          <cell r="P1288" t="str">
            <v>中国运载火箭技术研究院</v>
          </cell>
          <cell r="Q1288" t="str">
            <v>40</v>
          </cell>
          <cell r="R1288">
            <v>45994</v>
          </cell>
        </row>
        <row r="1288">
          <cell r="U1288" t="str">
            <v>010000813828</v>
          </cell>
          <cell r="V1288" t="str">
            <v>BIAOQIAN4</v>
          </cell>
          <cell r="W1288" t="str">
            <v/>
          </cell>
          <cell r="X1288" t="str">
            <v>CP-108-A</v>
          </cell>
          <cell r="Y1288" t="str">
            <v/>
          </cell>
          <cell r="Z1288" t="str">
            <v>1901</v>
          </cell>
          <cell r="AA1288" t="str">
            <v>1100145339</v>
          </cell>
          <cell r="AB1288">
            <v>7290</v>
          </cell>
          <cell r="AC1288" t="str">
            <v/>
          </cell>
          <cell r="AD1288">
            <v>41.5</v>
          </cell>
          <cell r="AE1288" t="str">
            <v>G-100001932-250415-0411</v>
          </cell>
        </row>
        <row r="1289">
          <cell r="B1289" t="str">
            <v>7101044460</v>
          </cell>
          <cell r="C1289" t="str">
            <v>G2503-1375</v>
          </cell>
          <cell r="D1289" t="str">
            <v>000042944999008132</v>
          </cell>
          <cell r="E1289" t="str">
            <v>钉套</v>
          </cell>
          <cell r="F1289" t="str">
            <v>QJ2996.2A(2)-2004</v>
          </cell>
          <cell r="G1289" t="str">
            <v>4</v>
          </cell>
          <cell r="H1289" t="str">
            <v/>
          </cell>
          <cell r="I1289" t="str">
            <v>蓝色阳极化+十六醇</v>
          </cell>
          <cell r="J1289" t="str">
            <v>TA1</v>
          </cell>
          <cell r="K1289">
            <v>4665</v>
          </cell>
          <cell r="L1289">
            <v>45992</v>
          </cell>
          <cell r="M1289" t="str">
            <v>4-检验完成</v>
          </cell>
        </row>
        <row r="1289">
          <cell r="O1289">
            <v>0</v>
          </cell>
          <cell r="P1289" t="str">
            <v>中国运载火箭技术研究院</v>
          </cell>
          <cell r="Q1289" t="str">
            <v>230</v>
          </cell>
          <cell r="R1289">
            <v>45993</v>
          </cell>
        </row>
        <row r="1289">
          <cell r="U1289" t="str">
            <v>010000796034</v>
          </cell>
          <cell r="V1289" t="str">
            <v>BIAOQIAN4</v>
          </cell>
          <cell r="W1289" t="str">
            <v/>
          </cell>
          <cell r="X1289" t="str">
            <v>CP-108-A</v>
          </cell>
          <cell r="Y1289" t="str">
            <v/>
          </cell>
          <cell r="Z1289" t="str">
            <v>1901</v>
          </cell>
          <cell r="AA1289" t="str">
            <v>1100143219</v>
          </cell>
          <cell r="AB1289">
            <v>92500</v>
          </cell>
          <cell r="AC1289" t="str">
            <v/>
          </cell>
          <cell r="AD1289">
            <v>5</v>
          </cell>
          <cell r="AE1289" t="str">
            <v>G-100001932-250311-0260</v>
          </cell>
        </row>
        <row r="1290">
          <cell r="B1290" t="str">
            <v>7101037196</v>
          </cell>
          <cell r="C1290" t="str">
            <v>G2503-1368</v>
          </cell>
          <cell r="D1290" t="str">
            <v>000042944999008132</v>
          </cell>
          <cell r="E1290" t="str">
            <v>钉套</v>
          </cell>
          <cell r="F1290" t="str">
            <v>QJ2996.2A(2)-2004</v>
          </cell>
          <cell r="G1290" t="str">
            <v>4</v>
          </cell>
          <cell r="H1290" t="str">
            <v/>
          </cell>
          <cell r="I1290" t="str">
            <v>蓝色阳极化+十六醇</v>
          </cell>
          <cell r="J1290" t="str">
            <v>TA1</v>
          </cell>
          <cell r="K1290">
            <v>4686</v>
          </cell>
          <cell r="L1290">
            <v>45979</v>
          </cell>
          <cell r="M1290" t="str">
            <v>4-检验完成</v>
          </cell>
        </row>
        <row r="1290">
          <cell r="O1290">
            <v>0</v>
          </cell>
          <cell r="P1290" t="str">
            <v>中国运载火箭技术研究院</v>
          </cell>
          <cell r="Q1290" t="str">
            <v>230</v>
          </cell>
          <cell r="R1290">
            <v>45980</v>
          </cell>
        </row>
        <row r="1290">
          <cell r="U1290" t="str">
            <v>010000796027</v>
          </cell>
          <cell r="V1290" t="str">
            <v>BIAOQIAN1</v>
          </cell>
          <cell r="W1290" t="str">
            <v/>
          </cell>
          <cell r="X1290" t="str">
            <v>CP-108-A</v>
          </cell>
          <cell r="Y1290" t="str">
            <v/>
          </cell>
          <cell r="Z1290" t="str">
            <v>1901</v>
          </cell>
          <cell r="AA1290" t="str">
            <v>1100143219</v>
          </cell>
          <cell r="AB1290">
            <v>92500</v>
          </cell>
          <cell r="AC1290" t="str">
            <v/>
          </cell>
          <cell r="AD1290">
            <v>5</v>
          </cell>
          <cell r="AE1290" t="str">
            <v>G-100001932-250311-0260</v>
          </cell>
        </row>
        <row r="1291">
          <cell r="B1291" t="str">
            <v>7101030076</v>
          </cell>
          <cell r="C1291" t="str">
            <v>G2503-1369</v>
          </cell>
          <cell r="D1291" t="str">
            <v>000042944999008132</v>
          </cell>
          <cell r="E1291" t="str">
            <v>钉套</v>
          </cell>
          <cell r="F1291" t="str">
            <v>QJ2996.2A(2)-2004</v>
          </cell>
          <cell r="G1291" t="str">
            <v>4</v>
          </cell>
          <cell r="H1291" t="str">
            <v/>
          </cell>
          <cell r="I1291" t="str">
            <v>蓝色阳极化+十六醇</v>
          </cell>
          <cell r="J1291" t="str">
            <v>TA1</v>
          </cell>
          <cell r="K1291">
            <v>4656</v>
          </cell>
          <cell r="L1291">
            <v>45961</v>
          </cell>
          <cell r="M1291" t="str">
            <v>4-检验完成</v>
          </cell>
        </row>
        <row r="1291">
          <cell r="O1291">
            <v>0</v>
          </cell>
          <cell r="P1291" t="str">
            <v>中国运载火箭技术研究院</v>
          </cell>
          <cell r="Q1291" t="str">
            <v>230</v>
          </cell>
          <cell r="R1291">
            <v>45964</v>
          </cell>
        </row>
        <row r="1291">
          <cell r="U1291" t="str">
            <v>010000796028</v>
          </cell>
          <cell r="V1291" t="str">
            <v>BIAOQIAN4</v>
          </cell>
          <cell r="W1291" t="str">
            <v/>
          </cell>
          <cell r="X1291" t="str">
            <v>CP-108-A</v>
          </cell>
          <cell r="Y1291" t="str">
            <v/>
          </cell>
          <cell r="Z1291" t="str">
            <v>1901</v>
          </cell>
          <cell r="AA1291" t="str">
            <v>1100143219</v>
          </cell>
          <cell r="AB1291">
            <v>92500</v>
          </cell>
          <cell r="AC1291" t="str">
            <v/>
          </cell>
          <cell r="AD1291">
            <v>5</v>
          </cell>
          <cell r="AE1291" t="str">
            <v>G-100001932-250311-0260</v>
          </cell>
        </row>
        <row r="1292">
          <cell r="B1292" t="str">
            <v>7101029954</v>
          </cell>
          <cell r="C1292" t="str">
            <v>G2503-1367</v>
          </cell>
          <cell r="D1292" t="str">
            <v>000042944999008132</v>
          </cell>
          <cell r="E1292" t="str">
            <v>钉套</v>
          </cell>
          <cell r="F1292" t="str">
            <v>QJ2996.2A(2)-2004</v>
          </cell>
          <cell r="G1292" t="str">
            <v>4</v>
          </cell>
          <cell r="H1292" t="str">
            <v/>
          </cell>
          <cell r="I1292" t="str">
            <v>蓝色阳极化+十六醇</v>
          </cell>
          <cell r="J1292" t="str">
            <v>TA1</v>
          </cell>
          <cell r="K1292">
            <v>4480</v>
          </cell>
          <cell r="L1292">
            <v>45961</v>
          </cell>
          <cell r="M1292" t="str">
            <v>4-检验完成</v>
          </cell>
        </row>
        <row r="1292">
          <cell r="O1292">
            <v>0</v>
          </cell>
          <cell r="P1292" t="str">
            <v>中国运载火箭技术研究院</v>
          </cell>
          <cell r="Q1292" t="str">
            <v>230</v>
          </cell>
          <cell r="R1292">
            <v>45961</v>
          </cell>
        </row>
        <row r="1292">
          <cell r="U1292" t="str">
            <v>010000796026</v>
          </cell>
          <cell r="V1292" t="str">
            <v>BIAOQIAN4</v>
          </cell>
          <cell r="W1292" t="str">
            <v/>
          </cell>
          <cell r="X1292" t="str">
            <v>CP-108-A</v>
          </cell>
          <cell r="Y1292" t="str">
            <v/>
          </cell>
          <cell r="Z1292" t="str">
            <v>1901</v>
          </cell>
          <cell r="AA1292" t="str">
            <v>1100143219</v>
          </cell>
          <cell r="AB1292">
            <v>92500</v>
          </cell>
          <cell r="AC1292" t="str">
            <v/>
          </cell>
          <cell r="AD1292">
            <v>5</v>
          </cell>
          <cell r="AE1292" t="str">
            <v>G-100001932-250311-0260</v>
          </cell>
        </row>
        <row r="1293">
          <cell r="B1293" t="str">
            <v>7101027126</v>
          </cell>
          <cell r="C1293" t="str">
            <v>G2503-1365</v>
          </cell>
          <cell r="D1293" t="str">
            <v>000042944999008132</v>
          </cell>
          <cell r="E1293" t="str">
            <v>钉套</v>
          </cell>
          <cell r="F1293" t="str">
            <v>QJ2996.2A(2)-2004</v>
          </cell>
          <cell r="G1293" t="str">
            <v>4</v>
          </cell>
          <cell r="H1293" t="str">
            <v/>
          </cell>
          <cell r="I1293" t="str">
            <v>蓝色阳极化+十六醇</v>
          </cell>
          <cell r="J1293" t="str">
            <v>TA1</v>
          </cell>
          <cell r="K1293">
            <v>4872</v>
          </cell>
          <cell r="L1293">
            <v>45955</v>
          </cell>
          <cell r="M1293" t="str">
            <v>4-检验完成</v>
          </cell>
        </row>
        <row r="1293">
          <cell r="O1293">
            <v>0</v>
          </cell>
          <cell r="P1293" t="str">
            <v>中国运载火箭技术研究院</v>
          </cell>
          <cell r="Q1293" t="str">
            <v>230</v>
          </cell>
          <cell r="R1293">
            <v>45959</v>
          </cell>
        </row>
        <row r="1293">
          <cell r="U1293" t="str">
            <v>010000796024</v>
          </cell>
          <cell r="V1293" t="str">
            <v>BIAOQIAN3</v>
          </cell>
          <cell r="W1293" t="str">
            <v/>
          </cell>
          <cell r="X1293" t="str">
            <v>CP-108-A</v>
          </cell>
          <cell r="Y1293" t="str">
            <v/>
          </cell>
          <cell r="Z1293" t="str">
            <v>1901</v>
          </cell>
          <cell r="AA1293" t="str">
            <v>1100143219</v>
          </cell>
          <cell r="AB1293">
            <v>92500</v>
          </cell>
          <cell r="AC1293" t="str">
            <v/>
          </cell>
          <cell r="AD1293">
            <v>5</v>
          </cell>
          <cell r="AE1293" t="str">
            <v>G-100001932-250311-0260</v>
          </cell>
        </row>
        <row r="1294">
          <cell r="B1294" t="str">
            <v>7101026945</v>
          </cell>
          <cell r="C1294" t="str">
            <v>G2503-1370</v>
          </cell>
          <cell r="D1294" t="str">
            <v>000042944999008132</v>
          </cell>
          <cell r="E1294" t="str">
            <v>钉套</v>
          </cell>
          <cell r="F1294" t="str">
            <v>QJ2996.2A(2)-2004</v>
          </cell>
          <cell r="G1294" t="str">
            <v>4</v>
          </cell>
          <cell r="H1294" t="str">
            <v/>
          </cell>
          <cell r="I1294" t="str">
            <v>蓝色阳极化+十六醇</v>
          </cell>
          <cell r="J1294" t="str">
            <v>TA1</v>
          </cell>
          <cell r="K1294">
            <v>4630</v>
          </cell>
          <cell r="L1294">
            <v>45954</v>
          </cell>
          <cell r="M1294" t="str">
            <v>4-检验完成</v>
          </cell>
        </row>
        <row r="1294">
          <cell r="O1294">
            <v>0</v>
          </cell>
          <cell r="P1294" t="str">
            <v>中国运载火箭技术研究院</v>
          </cell>
          <cell r="Q1294" t="str">
            <v>230</v>
          </cell>
          <cell r="R1294">
            <v>45955</v>
          </cell>
        </row>
        <row r="1294">
          <cell r="U1294" t="str">
            <v>010000796029</v>
          </cell>
          <cell r="V1294" t="str">
            <v>BIAOQIAN2</v>
          </cell>
          <cell r="W1294" t="str">
            <v/>
          </cell>
          <cell r="X1294" t="str">
            <v>CP-108-A</v>
          </cell>
          <cell r="Y1294" t="str">
            <v/>
          </cell>
          <cell r="Z1294" t="str">
            <v>1901</v>
          </cell>
          <cell r="AA1294" t="str">
            <v>1100143219</v>
          </cell>
          <cell r="AB1294">
            <v>92500</v>
          </cell>
          <cell r="AC1294" t="str">
            <v/>
          </cell>
          <cell r="AD1294">
            <v>5</v>
          </cell>
          <cell r="AE1294" t="str">
            <v>G-100001932-250311-0260</v>
          </cell>
        </row>
        <row r="1295">
          <cell r="B1295" t="str">
            <v>7101024848</v>
          </cell>
          <cell r="C1295" t="str">
            <v>G2503-1371</v>
          </cell>
          <cell r="D1295" t="str">
            <v>000042944999008132</v>
          </cell>
          <cell r="E1295" t="str">
            <v>钉套</v>
          </cell>
          <cell r="F1295" t="str">
            <v>QJ2996.2A(2)-2004</v>
          </cell>
          <cell r="G1295" t="str">
            <v>4</v>
          </cell>
          <cell r="H1295" t="str">
            <v/>
          </cell>
          <cell r="I1295" t="str">
            <v>蓝色阳极化+十六醇</v>
          </cell>
          <cell r="J1295" t="str">
            <v>TA1</v>
          </cell>
          <cell r="K1295">
            <v>4769</v>
          </cell>
          <cell r="L1295">
            <v>45951</v>
          </cell>
          <cell r="M1295" t="str">
            <v>4-检验完成</v>
          </cell>
        </row>
        <row r="1295">
          <cell r="O1295">
            <v>0</v>
          </cell>
          <cell r="P1295" t="str">
            <v>中国运载火箭技术研究院</v>
          </cell>
          <cell r="Q1295" t="str">
            <v>230</v>
          </cell>
          <cell r="R1295">
            <v>45952</v>
          </cell>
        </row>
        <row r="1295">
          <cell r="U1295" t="str">
            <v>010000796030</v>
          </cell>
          <cell r="V1295" t="str">
            <v>BIAOQIAN3</v>
          </cell>
          <cell r="W1295" t="str">
            <v/>
          </cell>
          <cell r="X1295" t="str">
            <v>CP-108-A</v>
          </cell>
          <cell r="Y1295" t="str">
            <v/>
          </cell>
          <cell r="Z1295" t="str">
            <v>1901</v>
          </cell>
          <cell r="AA1295" t="str">
            <v>1100143219</v>
          </cell>
          <cell r="AB1295">
            <v>92500</v>
          </cell>
          <cell r="AC1295" t="str">
            <v/>
          </cell>
          <cell r="AD1295">
            <v>5</v>
          </cell>
          <cell r="AE1295" t="str">
            <v>G-100001932-250311-0260</v>
          </cell>
        </row>
        <row r="1296">
          <cell r="B1296" t="str">
            <v>7101024256</v>
          </cell>
          <cell r="C1296" t="str">
            <v>G2503-1366</v>
          </cell>
          <cell r="D1296" t="str">
            <v>000042944999008132</v>
          </cell>
          <cell r="E1296" t="str">
            <v>钉套</v>
          </cell>
          <cell r="F1296" t="str">
            <v>QJ2996.2A(2)-2004</v>
          </cell>
          <cell r="G1296" t="str">
            <v>4</v>
          </cell>
          <cell r="H1296" t="str">
            <v/>
          </cell>
          <cell r="I1296" t="str">
            <v>蓝色阳极化+十六醇</v>
          </cell>
          <cell r="J1296" t="str">
            <v>TA1</v>
          </cell>
          <cell r="K1296">
            <v>4555</v>
          </cell>
          <cell r="L1296">
            <v>45950</v>
          </cell>
          <cell r="M1296" t="str">
            <v>4-检验完成</v>
          </cell>
        </row>
        <row r="1296">
          <cell r="O1296">
            <v>0</v>
          </cell>
          <cell r="P1296" t="str">
            <v>中国运载火箭技术研究院</v>
          </cell>
          <cell r="Q1296" t="str">
            <v>230</v>
          </cell>
          <cell r="R1296">
            <v>45952</v>
          </cell>
        </row>
        <row r="1296">
          <cell r="U1296" t="str">
            <v>010000796025</v>
          </cell>
          <cell r="V1296" t="str">
            <v>BIAOQIAN1</v>
          </cell>
          <cell r="W1296" t="str">
            <v/>
          </cell>
          <cell r="X1296" t="str">
            <v>CP-108-A</v>
          </cell>
          <cell r="Y1296" t="str">
            <v/>
          </cell>
          <cell r="Z1296" t="str">
            <v>1901</v>
          </cell>
          <cell r="AA1296" t="str">
            <v>1100143219</v>
          </cell>
          <cell r="AB1296">
            <v>92500</v>
          </cell>
          <cell r="AC1296" t="str">
            <v/>
          </cell>
          <cell r="AD1296">
            <v>5</v>
          </cell>
          <cell r="AE1296" t="str">
            <v>G-100001932-250311-0260</v>
          </cell>
        </row>
        <row r="1297">
          <cell r="B1297" t="str">
            <v>7101023161</v>
          </cell>
          <cell r="C1297" t="str">
            <v>G2503-1366</v>
          </cell>
          <cell r="D1297" t="str">
            <v>000042944999008132</v>
          </cell>
          <cell r="E1297" t="str">
            <v>钉套</v>
          </cell>
          <cell r="F1297" t="str">
            <v>QJ2996.2A(2)-2004</v>
          </cell>
          <cell r="G1297" t="str">
            <v>4</v>
          </cell>
          <cell r="H1297" t="str">
            <v/>
          </cell>
          <cell r="I1297" t="str">
            <v>蓝色阳极化+十六醇</v>
          </cell>
          <cell r="J1297" t="str">
            <v>TA1</v>
          </cell>
          <cell r="K1297">
            <v>91</v>
          </cell>
          <cell r="L1297">
            <v>45947</v>
          </cell>
          <cell r="M1297" t="str">
            <v>4-检验完成</v>
          </cell>
        </row>
        <row r="1297">
          <cell r="O1297">
            <v>0</v>
          </cell>
          <cell r="P1297" t="str">
            <v>中国运载火箭技术研究院</v>
          </cell>
          <cell r="Q1297" t="str">
            <v>60</v>
          </cell>
          <cell r="R1297">
            <v>45952</v>
          </cell>
        </row>
        <row r="1297">
          <cell r="U1297" t="str">
            <v>010000796025</v>
          </cell>
          <cell r="V1297" t="str">
            <v>BIAOQIAN1</v>
          </cell>
          <cell r="W1297" t="str">
            <v/>
          </cell>
          <cell r="X1297" t="str">
            <v>CP-108-A</v>
          </cell>
          <cell r="Y1297" t="str">
            <v/>
          </cell>
          <cell r="Z1297" t="str">
            <v>1901</v>
          </cell>
          <cell r="AA1297" t="str">
            <v>1100144081</v>
          </cell>
          <cell r="AB1297">
            <v>1775</v>
          </cell>
          <cell r="AC1297" t="str">
            <v/>
          </cell>
          <cell r="AD1297">
            <v>6</v>
          </cell>
          <cell r="AE1297" t="str">
            <v>G-100001932-250325-0323</v>
          </cell>
        </row>
        <row r="1298">
          <cell r="B1298" t="str">
            <v>7101010169</v>
          </cell>
          <cell r="C1298" t="str">
            <v>G2503-1384</v>
          </cell>
          <cell r="D1298" t="str">
            <v>000042944999008132</v>
          </cell>
          <cell r="E1298" t="str">
            <v>钉套</v>
          </cell>
          <cell r="F1298" t="str">
            <v>QJ2996.2A(2)-2004</v>
          </cell>
          <cell r="G1298" t="str">
            <v>4</v>
          </cell>
          <cell r="H1298" t="str">
            <v/>
          </cell>
          <cell r="I1298" t="str">
            <v>蓝色阳极化+十六醇</v>
          </cell>
          <cell r="J1298" t="str">
            <v>TA1</v>
          </cell>
          <cell r="K1298">
            <v>2340</v>
          </cell>
          <cell r="L1298">
            <v>45918</v>
          </cell>
          <cell r="M1298" t="str">
            <v>4-检验完成</v>
          </cell>
        </row>
        <row r="1298">
          <cell r="O1298">
            <v>0</v>
          </cell>
          <cell r="P1298" t="str">
            <v>中国运载火箭技术研究院</v>
          </cell>
          <cell r="Q1298" t="str">
            <v>230</v>
          </cell>
          <cell r="R1298">
            <v>45918</v>
          </cell>
        </row>
        <row r="1298">
          <cell r="U1298" t="str">
            <v>010000796044</v>
          </cell>
          <cell r="V1298" t="str">
            <v>PANQIFANG</v>
          </cell>
          <cell r="W1298" t="str">
            <v/>
          </cell>
          <cell r="X1298" t="str">
            <v>CP-108-A</v>
          </cell>
          <cell r="Y1298" t="str">
            <v/>
          </cell>
          <cell r="Z1298" t="str">
            <v>1901</v>
          </cell>
          <cell r="AA1298" t="str">
            <v>1100143219</v>
          </cell>
          <cell r="AB1298">
            <v>92500</v>
          </cell>
          <cell r="AC1298" t="str">
            <v/>
          </cell>
          <cell r="AD1298">
            <v>5</v>
          </cell>
          <cell r="AE1298" t="str">
            <v>G-100001932-250311-0260</v>
          </cell>
        </row>
        <row r="1299">
          <cell r="B1299" t="str">
            <v>7101003346</v>
          </cell>
          <cell r="C1299" t="str">
            <v>G2503-1383</v>
          </cell>
          <cell r="D1299" t="str">
            <v>000042944999008132</v>
          </cell>
          <cell r="E1299" t="str">
            <v>钉套</v>
          </cell>
          <cell r="F1299" t="str">
            <v>QJ2996.2A(2)-2004</v>
          </cell>
          <cell r="G1299" t="str">
            <v>4</v>
          </cell>
          <cell r="H1299" t="str">
            <v/>
          </cell>
          <cell r="I1299" t="str">
            <v>蓝色阳极化+十六醇</v>
          </cell>
          <cell r="J1299" t="str">
            <v>TA1</v>
          </cell>
          <cell r="K1299">
            <v>4575</v>
          </cell>
          <cell r="L1299">
            <v>45904</v>
          </cell>
          <cell r="M1299" t="str">
            <v>4-检验完成</v>
          </cell>
        </row>
        <row r="1299">
          <cell r="O1299">
            <v>0</v>
          </cell>
          <cell r="P1299" t="str">
            <v>中国运载火箭技术研究院</v>
          </cell>
          <cell r="Q1299" t="str">
            <v>230</v>
          </cell>
          <cell r="R1299">
            <v>45905</v>
          </cell>
        </row>
        <row r="1299">
          <cell r="U1299" t="str">
            <v>010000796043</v>
          </cell>
          <cell r="V1299" t="str">
            <v>PANQIFANG</v>
          </cell>
          <cell r="W1299" t="str">
            <v/>
          </cell>
          <cell r="X1299" t="str">
            <v>CP-108-A</v>
          </cell>
          <cell r="Y1299" t="str">
            <v/>
          </cell>
          <cell r="Z1299" t="str">
            <v>1901</v>
          </cell>
          <cell r="AA1299" t="str">
            <v>1100143219</v>
          </cell>
          <cell r="AB1299">
            <v>92500</v>
          </cell>
          <cell r="AC1299" t="str">
            <v/>
          </cell>
          <cell r="AD1299">
            <v>5</v>
          </cell>
          <cell r="AE1299" t="str">
            <v>G-100001932-250311-0260</v>
          </cell>
        </row>
        <row r="1300">
          <cell r="B1300" t="str">
            <v>7101002708</v>
          </cell>
          <cell r="C1300" t="str">
            <v>G2503-1613</v>
          </cell>
          <cell r="D1300" t="str">
            <v>000042944999008171</v>
          </cell>
          <cell r="E1300" t="str">
            <v>钉套</v>
          </cell>
          <cell r="F1300" t="str">
            <v>QJ2996.3A(2)-2004</v>
          </cell>
          <cell r="G1300" t="str">
            <v>5</v>
          </cell>
          <cell r="H1300" t="str">
            <v/>
          </cell>
          <cell r="I1300" t="str">
            <v>蓝色阳极化+十六醇</v>
          </cell>
          <cell r="J1300" t="str">
            <v>TA1</v>
          </cell>
          <cell r="K1300">
            <v>1600</v>
          </cell>
          <cell r="L1300">
            <v>45903</v>
          </cell>
          <cell r="M1300" t="str">
            <v>4-检验完成</v>
          </cell>
        </row>
        <row r="1300">
          <cell r="O1300">
            <v>0</v>
          </cell>
          <cell r="P1300" t="str">
            <v>中国运载火箭技术研究院</v>
          </cell>
          <cell r="Q1300" t="str">
            <v>100</v>
          </cell>
          <cell r="R1300">
            <v>45904</v>
          </cell>
        </row>
        <row r="1300">
          <cell r="U1300" t="str">
            <v>010000797328</v>
          </cell>
          <cell r="V1300" t="str">
            <v>PANQIFANG</v>
          </cell>
          <cell r="W1300" t="str">
            <v/>
          </cell>
          <cell r="X1300" t="str">
            <v>CP-108-A</v>
          </cell>
          <cell r="Y1300" t="str">
            <v/>
          </cell>
          <cell r="Z1300" t="str">
            <v>1901</v>
          </cell>
          <cell r="AA1300" t="str">
            <v>1100143219</v>
          </cell>
          <cell r="AB1300">
            <v>1610</v>
          </cell>
          <cell r="AC1300" t="str">
            <v/>
          </cell>
          <cell r="AD1300">
            <v>5</v>
          </cell>
          <cell r="AE1300" t="str">
            <v>G-100001932-250311-0260</v>
          </cell>
        </row>
        <row r="1301">
          <cell r="B1301" t="str">
            <v>7100959885</v>
          </cell>
          <cell r="C1301" t="str">
            <v>G2503-2322</v>
          </cell>
          <cell r="D1301" t="str">
            <v>000042944201148629</v>
          </cell>
          <cell r="E1301" t="str">
            <v>高温合金GH4738六角头螺栓</v>
          </cell>
          <cell r="F1301" t="str">
            <v>Q/DY1330-2013</v>
          </cell>
          <cell r="G1301" t="str">
            <v>M4×10</v>
          </cell>
          <cell r="H1301" t="str">
            <v>σb≥1210MPa,τb≥720MPa</v>
          </cell>
          <cell r="I1301" t="str">
            <v>Ct·P</v>
          </cell>
          <cell r="J1301" t="str">
            <v>GH4738</v>
          </cell>
          <cell r="K1301">
            <v>526</v>
          </cell>
          <cell r="L1301">
            <v>45814</v>
          </cell>
          <cell r="M1301" t="str">
            <v>4-检验完成</v>
          </cell>
        </row>
        <row r="1301">
          <cell r="O1301">
            <v>0</v>
          </cell>
          <cell r="P1301" t="str">
            <v>中国运载火箭技术研究院</v>
          </cell>
          <cell r="Q1301" t="str">
            <v>60</v>
          </cell>
          <cell r="R1301">
            <v>45817</v>
          </cell>
        </row>
        <row r="1301">
          <cell r="U1301" t="str">
            <v>010000799868</v>
          </cell>
          <cell r="V1301" t="str">
            <v>PANQIFANG</v>
          </cell>
          <cell r="W1301" t="str">
            <v/>
          </cell>
          <cell r="X1301" t="str">
            <v>CP-108-A</v>
          </cell>
          <cell r="Y1301" t="str">
            <v/>
          </cell>
          <cell r="Z1301" t="str">
            <v>1901</v>
          </cell>
          <cell r="AA1301" t="str">
            <v>1100143661</v>
          </cell>
          <cell r="AB1301">
            <v>1290</v>
          </cell>
          <cell r="AC1301" t="str">
            <v/>
          </cell>
          <cell r="AD1301">
            <v>128</v>
          </cell>
          <cell r="AE1301" t="str">
            <v>G-100001932-250317-0286</v>
          </cell>
        </row>
        <row r="1302">
          <cell r="B1302" t="str">
            <v>7100959884</v>
          </cell>
          <cell r="C1302" t="str">
            <v>G2503-2322</v>
          </cell>
          <cell r="D1302" t="str">
            <v>000042944201148629</v>
          </cell>
          <cell r="E1302" t="str">
            <v>高温合金GH4738六角头螺栓</v>
          </cell>
          <cell r="F1302" t="str">
            <v>Q/DY1330-2013</v>
          </cell>
          <cell r="G1302" t="str">
            <v>M4×10</v>
          </cell>
          <cell r="H1302" t="str">
            <v>σb≥1210MPa,τb≥720MPa</v>
          </cell>
          <cell r="I1302" t="str">
            <v>Ct·P</v>
          </cell>
          <cell r="J1302" t="str">
            <v>GH4738</v>
          </cell>
          <cell r="K1302">
            <v>710</v>
          </cell>
          <cell r="L1302">
            <v>45814</v>
          </cell>
          <cell r="M1302" t="str">
            <v>4-检验完成</v>
          </cell>
        </row>
        <row r="1302">
          <cell r="O1302">
            <v>0</v>
          </cell>
          <cell r="P1302" t="str">
            <v>中国运载火箭技术研究院</v>
          </cell>
          <cell r="Q1302" t="str">
            <v>60</v>
          </cell>
          <cell r="R1302">
            <v>45814</v>
          </cell>
        </row>
        <row r="1302">
          <cell r="U1302" t="str">
            <v>010000799868</v>
          </cell>
          <cell r="V1302" t="str">
            <v>PANQIFANG</v>
          </cell>
          <cell r="W1302" t="str">
            <v/>
          </cell>
          <cell r="X1302" t="str">
            <v>CP-108-A</v>
          </cell>
          <cell r="Y1302" t="str">
            <v/>
          </cell>
          <cell r="Z1302" t="str">
            <v>1901</v>
          </cell>
          <cell r="AA1302" t="str">
            <v>1100143661</v>
          </cell>
          <cell r="AB1302">
            <v>1290</v>
          </cell>
          <cell r="AC1302" t="str">
            <v/>
          </cell>
          <cell r="AD1302">
            <v>128</v>
          </cell>
          <cell r="AE1302" t="str">
            <v>G-100001932-250317-0286</v>
          </cell>
        </row>
        <row r="1303">
          <cell r="B1303" t="str">
            <v>7100958284</v>
          </cell>
          <cell r="C1303" t="str">
            <v>G2503-2186</v>
          </cell>
          <cell r="D1303" t="str">
            <v>000042944201014084</v>
          </cell>
          <cell r="E1303" t="str">
            <v>高温合金GH4738六角头螺栓</v>
          </cell>
          <cell r="F1303" t="str">
            <v>Q/DY1330-2013</v>
          </cell>
          <cell r="G1303" t="str">
            <v>M5×16</v>
          </cell>
          <cell r="H1303" t="str">
            <v>σb≥1210MPa,τb≥720MPa</v>
          </cell>
          <cell r="I1303" t="str">
            <v>Ct·P</v>
          </cell>
          <cell r="J1303" t="str">
            <v>GH4738</v>
          </cell>
          <cell r="K1303">
            <v>1770</v>
          </cell>
          <cell r="L1303">
            <v>45810</v>
          </cell>
          <cell r="M1303" t="str">
            <v>4-检验完成</v>
          </cell>
        </row>
        <row r="1303">
          <cell r="O1303">
            <v>0</v>
          </cell>
          <cell r="P1303" t="str">
            <v>中国运载火箭技术研究院</v>
          </cell>
          <cell r="Q1303" t="str">
            <v>110</v>
          </cell>
          <cell r="R1303">
            <v>45813</v>
          </cell>
        </row>
        <row r="1303">
          <cell r="U1303" t="str">
            <v>010000799513</v>
          </cell>
          <cell r="V1303" t="str">
            <v>PANQIFANG</v>
          </cell>
          <cell r="W1303" t="str">
            <v/>
          </cell>
          <cell r="X1303" t="str">
            <v>CP-108-A</v>
          </cell>
          <cell r="Y1303" t="str">
            <v/>
          </cell>
          <cell r="Z1303" t="str">
            <v>1901</v>
          </cell>
          <cell r="AA1303" t="str">
            <v>1100143661</v>
          </cell>
          <cell r="AB1303">
            <v>1770</v>
          </cell>
          <cell r="AC1303" t="str">
            <v/>
          </cell>
          <cell r="AD1303">
            <v>136</v>
          </cell>
          <cell r="AE1303" t="str">
            <v>G-100001932-250317-0286</v>
          </cell>
        </row>
        <row r="1304">
          <cell r="B1304" t="str">
            <v>7100952246</v>
          </cell>
          <cell r="C1304" t="str">
            <v>G2503-2038</v>
          </cell>
          <cell r="D1304" t="str">
            <v>000042944201148630</v>
          </cell>
          <cell r="E1304" t="str">
            <v>高温合金GH4738六角头螺栓</v>
          </cell>
          <cell r="F1304" t="str">
            <v>Q/DY1330-2013</v>
          </cell>
          <cell r="G1304" t="str">
            <v>M5×14</v>
          </cell>
          <cell r="H1304" t="str">
            <v>σb≥1210MPa,τb≥720MPa</v>
          </cell>
          <cell r="I1304" t="str">
            <v>Ct·P</v>
          </cell>
          <cell r="J1304" t="str">
            <v>GH4738</v>
          </cell>
          <cell r="K1304">
            <v>738</v>
          </cell>
          <cell r="L1304">
            <v>45798</v>
          </cell>
          <cell r="M1304" t="str">
            <v>4-检验完成</v>
          </cell>
        </row>
        <row r="1304">
          <cell r="O1304">
            <v>0</v>
          </cell>
          <cell r="P1304" t="str">
            <v>中国运载火箭技术研究院</v>
          </cell>
          <cell r="Q1304" t="str">
            <v>100</v>
          </cell>
          <cell r="R1304">
            <v>45799</v>
          </cell>
        </row>
        <row r="1304">
          <cell r="U1304" t="str">
            <v>010000799328</v>
          </cell>
          <cell r="V1304" t="str">
            <v>ANXINGYOU</v>
          </cell>
          <cell r="W1304" t="str">
            <v/>
          </cell>
          <cell r="X1304" t="str">
            <v>CP-108-A</v>
          </cell>
          <cell r="Y1304" t="str">
            <v/>
          </cell>
          <cell r="Z1304" t="str">
            <v>1901</v>
          </cell>
          <cell r="AA1304" t="str">
            <v>1100143661</v>
          </cell>
          <cell r="AB1304">
            <v>1770</v>
          </cell>
          <cell r="AC1304" t="str">
            <v/>
          </cell>
          <cell r="AD1304">
            <v>136</v>
          </cell>
          <cell r="AE1304" t="str">
            <v>G-100001932-250317-0286</v>
          </cell>
        </row>
        <row r="1305">
          <cell r="B1305" t="str">
            <v>7100952245</v>
          </cell>
          <cell r="C1305" t="str">
            <v>G2503-2038</v>
          </cell>
          <cell r="D1305" t="str">
            <v>000042944201148630</v>
          </cell>
          <cell r="E1305" t="str">
            <v>高温合金GH4738六角头螺栓</v>
          </cell>
          <cell r="F1305" t="str">
            <v>Q/DY1330-2013</v>
          </cell>
          <cell r="G1305" t="str">
            <v>M5×14</v>
          </cell>
          <cell r="H1305" t="str">
            <v>σb≥1210MPa,τb≥720MPa</v>
          </cell>
          <cell r="I1305" t="str">
            <v>Ct·P</v>
          </cell>
          <cell r="J1305" t="str">
            <v>GH4738</v>
          </cell>
          <cell r="K1305">
            <v>1000</v>
          </cell>
          <cell r="L1305">
            <v>45798</v>
          </cell>
          <cell r="M1305" t="str">
            <v>4-检验完成</v>
          </cell>
        </row>
        <row r="1305">
          <cell r="O1305">
            <v>0</v>
          </cell>
          <cell r="P1305" t="str">
            <v>中国运载火箭技术研究院</v>
          </cell>
          <cell r="Q1305" t="str">
            <v>100</v>
          </cell>
          <cell r="R1305">
            <v>45799</v>
          </cell>
        </row>
        <row r="1305">
          <cell r="U1305" t="str">
            <v>010000799328</v>
          </cell>
          <cell r="V1305" t="str">
            <v>ANXINGYOU</v>
          </cell>
          <cell r="W1305" t="str">
            <v/>
          </cell>
          <cell r="X1305" t="str">
            <v>CP-108-A</v>
          </cell>
          <cell r="Y1305" t="str">
            <v/>
          </cell>
          <cell r="Z1305" t="str">
            <v>1901</v>
          </cell>
          <cell r="AA1305" t="str">
            <v>1100143661</v>
          </cell>
          <cell r="AB1305">
            <v>1770</v>
          </cell>
          <cell r="AC1305" t="str">
            <v/>
          </cell>
          <cell r="AD1305">
            <v>136</v>
          </cell>
          <cell r="AE1305" t="str">
            <v>G-100001932-250317-0286</v>
          </cell>
        </row>
        <row r="1306">
          <cell r="B1306" t="str">
            <v>7100951770</v>
          </cell>
          <cell r="C1306" t="str">
            <v>G2503-2187</v>
          </cell>
          <cell r="D1306" t="str">
            <v>000042944201014085</v>
          </cell>
          <cell r="E1306" t="str">
            <v>高温合金GH4738六角头螺栓</v>
          </cell>
          <cell r="F1306" t="str">
            <v>Q/DY1330-2013</v>
          </cell>
          <cell r="G1306" t="str">
            <v>M5×18</v>
          </cell>
          <cell r="H1306" t="str">
            <v>σb≥1210MPa,τb≥720MPa</v>
          </cell>
          <cell r="I1306" t="str">
            <v>Ct·P</v>
          </cell>
          <cell r="J1306" t="str">
            <v>GH4738</v>
          </cell>
          <cell r="K1306">
            <v>810</v>
          </cell>
          <cell r="L1306">
            <v>45797</v>
          </cell>
          <cell r="M1306" t="str">
            <v>4-检验完成</v>
          </cell>
        </row>
        <row r="1306">
          <cell r="O1306">
            <v>0</v>
          </cell>
          <cell r="P1306" t="str">
            <v>中国运载火箭技术研究院</v>
          </cell>
          <cell r="Q1306" t="str">
            <v>120</v>
          </cell>
          <cell r="R1306">
            <v>45798</v>
          </cell>
        </row>
        <row r="1306">
          <cell r="U1306" t="str">
            <v>010000799515</v>
          </cell>
          <cell r="V1306" t="str">
            <v>PANQIFANG</v>
          </cell>
          <cell r="W1306" t="str">
            <v/>
          </cell>
          <cell r="X1306" t="str">
            <v>CP-108-A</v>
          </cell>
          <cell r="Y1306" t="str">
            <v/>
          </cell>
          <cell r="Z1306" t="str">
            <v>1901</v>
          </cell>
          <cell r="AA1306" t="str">
            <v>1100143661</v>
          </cell>
          <cell r="AB1306">
            <v>810</v>
          </cell>
          <cell r="AC1306" t="str">
            <v/>
          </cell>
          <cell r="AD1306">
            <v>176</v>
          </cell>
          <cell r="AE1306" t="str">
            <v>G-100001932-250317-0286</v>
          </cell>
        </row>
        <row r="1307">
          <cell r="B1307" t="str">
            <v>7100950885</v>
          </cell>
          <cell r="C1307" t="str">
            <v>G2503-1303</v>
          </cell>
          <cell r="D1307" t="str">
            <v>000042944999008159</v>
          </cell>
          <cell r="E1307" t="str">
            <v>钉杆</v>
          </cell>
          <cell r="F1307" t="str">
            <v>QJ2996.3A(1)-2004</v>
          </cell>
          <cell r="G1307" t="str">
            <v>5×16</v>
          </cell>
          <cell r="H1307" t="str">
            <v/>
          </cell>
          <cell r="I1307" t="str">
            <v>蓝色阳极化</v>
          </cell>
          <cell r="J1307" t="str">
            <v>TC4</v>
          </cell>
          <cell r="K1307">
            <v>1610</v>
          </cell>
          <cell r="L1307">
            <v>45796</v>
          </cell>
          <cell r="M1307" t="str">
            <v>4-检验完成</v>
          </cell>
        </row>
        <row r="1307">
          <cell r="O1307">
            <v>0</v>
          </cell>
          <cell r="P1307" t="str">
            <v>中国运载火箭技术研究院</v>
          </cell>
          <cell r="Q1307" t="str">
            <v>80</v>
          </cell>
          <cell r="R1307">
            <v>45798</v>
          </cell>
        </row>
        <row r="1307">
          <cell r="U1307" t="str">
            <v>010000796017</v>
          </cell>
          <cell r="V1307" t="str">
            <v>QIAOXUPENG</v>
          </cell>
          <cell r="W1307" t="str">
            <v/>
          </cell>
          <cell r="X1307" t="str">
            <v>CP-108-A</v>
          </cell>
          <cell r="Y1307" t="str">
            <v/>
          </cell>
          <cell r="Z1307" t="str">
            <v>1901</v>
          </cell>
          <cell r="AA1307" t="str">
            <v>1100143219</v>
          </cell>
          <cell r="AB1307">
            <v>1610</v>
          </cell>
          <cell r="AC1307" t="str">
            <v/>
          </cell>
          <cell r="AD1307">
            <v>42</v>
          </cell>
          <cell r="AE1307" t="str">
            <v>G-100001932-250311-0260</v>
          </cell>
        </row>
        <row r="1308">
          <cell r="B1308" t="str">
            <v>7100950703</v>
          </cell>
          <cell r="C1308" t="str">
            <v>G2503-2207</v>
          </cell>
          <cell r="D1308" t="str">
            <v>000042944201014080</v>
          </cell>
          <cell r="E1308" t="str">
            <v>高温合金GH4738六角头螺栓</v>
          </cell>
          <cell r="F1308" t="str">
            <v>Q/DY1330-2013</v>
          </cell>
          <cell r="G1308" t="str">
            <v>M4×14</v>
          </cell>
          <cell r="H1308" t="str">
            <v>σb≥1210MPa</v>
          </cell>
          <cell r="I1308" t="str">
            <v>Ct·P</v>
          </cell>
          <cell r="J1308" t="str">
            <v>GH738</v>
          </cell>
          <cell r="K1308">
            <v>361</v>
          </cell>
          <cell r="L1308">
            <v>45796</v>
          </cell>
          <cell r="M1308" t="str">
            <v>4-检验完成</v>
          </cell>
        </row>
        <row r="1308">
          <cell r="O1308">
            <v>0</v>
          </cell>
          <cell r="P1308" t="str">
            <v>中国运载火箭技术研究院</v>
          </cell>
          <cell r="Q1308" t="str">
            <v>80</v>
          </cell>
          <cell r="R1308">
            <v>45797</v>
          </cell>
        </row>
        <row r="1308">
          <cell r="U1308" t="str">
            <v>010000799552</v>
          </cell>
          <cell r="V1308" t="str">
            <v>QIAOXUPENG</v>
          </cell>
          <cell r="W1308" t="str">
            <v/>
          </cell>
          <cell r="X1308" t="str">
            <v>CP-108-A</v>
          </cell>
          <cell r="Y1308" t="str">
            <v/>
          </cell>
          <cell r="Z1308" t="str">
            <v>1901</v>
          </cell>
          <cell r="AA1308" t="str">
            <v>1100143661</v>
          </cell>
          <cell r="AB1308">
            <v>1290</v>
          </cell>
          <cell r="AC1308" t="str">
            <v/>
          </cell>
          <cell r="AD1308">
            <v>128</v>
          </cell>
          <cell r="AE1308" t="str">
            <v>G-100001932-250317-0286</v>
          </cell>
        </row>
        <row r="1309">
          <cell r="B1309" t="str">
            <v>7100943512</v>
          </cell>
          <cell r="C1309" t="str">
            <v>G2503-1394</v>
          </cell>
          <cell r="D1309" t="str">
            <v>000042944999008088</v>
          </cell>
          <cell r="E1309" t="str">
            <v>钉杆</v>
          </cell>
          <cell r="F1309" t="str">
            <v>QJ2996.2A(1)-2004</v>
          </cell>
          <cell r="G1309" t="str">
            <v>4×10</v>
          </cell>
          <cell r="H1309" t="str">
            <v/>
          </cell>
          <cell r="I1309" t="str">
            <v>蓝色阳极化</v>
          </cell>
          <cell r="J1309" t="str">
            <v>TC4</v>
          </cell>
          <cell r="K1309">
            <v>5025</v>
          </cell>
          <cell r="L1309">
            <v>45782</v>
          </cell>
          <cell r="M1309" t="str">
            <v>4-检验完成</v>
          </cell>
        </row>
        <row r="1309">
          <cell r="O1309">
            <v>0</v>
          </cell>
          <cell r="P1309" t="str">
            <v>中国运载火箭技术研究院</v>
          </cell>
          <cell r="Q1309" t="str">
            <v>110</v>
          </cell>
          <cell r="R1309">
            <v>45785</v>
          </cell>
        </row>
        <row r="1309">
          <cell r="U1309" t="str">
            <v>010000796321</v>
          </cell>
          <cell r="V1309" t="str">
            <v>PANQIFANG</v>
          </cell>
          <cell r="W1309" t="str">
            <v/>
          </cell>
          <cell r="X1309" t="str">
            <v>CP-108-A</v>
          </cell>
          <cell r="Y1309" t="str">
            <v/>
          </cell>
          <cell r="Z1309" t="str">
            <v>1901</v>
          </cell>
          <cell r="AA1309" t="str">
            <v>1100143219</v>
          </cell>
          <cell r="AB1309">
            <v>20010</v>
          </cell>
          <cell r="AC1309" t="str">
            <v/>
          </cell>
          <cell r="AD1309">
            <v>41.5</v>
          </cell>
          <cell r="AE1309" t="str">
            <v>G-100001932-250311-0260</v>
          </cell>
        </row>
        <row r="1310">
          <cell r="B1310" t="str">
            <v>7101103990</v>
          </cell>
          <cell r="C1310" t="str">
            <v>G2603-1238</v>
          </cell>
          <cell r="D1310" t="str">
            <v>000042944288072878</v>
          </cell>
          <cell r="E1310" t="str">
            <v>自锁螺母</v>
          </cell>
          <cell r="F1310" t="str">
            <v>1B5GAL106</v>
          </cell>
          <cell r="G1310" t="str">
            <v>-</v>
          </cell>
          <cell r="H1310" t="str">
            <v/>
          </cell>
          <cell r="I1310" t="str">
            <v/>
          </cell>
          <cell r="J1310" t="str">
            <v>组件</v>
          </cell>
          <cell r="K1310">
            <v>70</v>
          </cell>
          <cell r="L1310">
            <v>46132</v>
          </cell>
          <cell r="M1310" t="str">
            <v>3-配货完成</v>
          </cell>
        </row>
        <row r="1310">
          <cell r="O1310">
            <v>0</v>
          </cell>
          <cell r="P1310" t="str">
            <v>哈尔滨东安实业发展有限公司</v>
          </cell>
          <cell r="Q1310" t="str">
            <v>30</v>
          </cell>
        </row>
        <row r="1310">
          <cell r="U1310" t="str">
            <v>010000926591</v>
          </cell>
          <cell r="V1310" t="str">
            <v>BIAOQIAN2</v>
          </cell>
          <cell r="W1310" t="str">
            <v/>
          </cell>
          <cell r="X1310" t="str">
            <v>CP-108-A</v>
          </cell>
          <cell r="Y1310" t="str">
            <v/>
          </cell>
          <cell r="Z1310" t="str">
            <v>1906</v>
          </cell>
          <cell r="AA1310" t="str">
            <v>1100161508</v>
          </cell>
          <cell r="AB1310">
            <v>80</v>
          </cell>
          <cell r="AC1310" t="str">
            <v/>
          </cell>
          <cell r="AD1310">
            <v>43</v>
          </cell>
          <cell r="AE1310" t="str">
            <v>G-100016975-260309-0012</v>
          </cell>
        </row>
        <row r="1311">
          <cell r="B1311" t="str">
            <v>7101103990</v>
          </cell>
          <cell r="C1311" t="str">
            <v>G2603-1238</v>
          </cell>
          <cell r="D1311" t="str">
            <v>000042944288072878</v>
          </cell>
          <cell r="E1311" t="str">
            <v>自锁螺母</v>
          </cell>
          <cell r="F1311" t="str">
            <v>1B5GAL106</v>
          </cell>
          <cell r="G1311" t="str">
            <v>-</v>
          </cell>
          <cell r="H1311" t="str">
            <v/>
          </cell>
          <cell r="I1311" t="str">
            <v/>
          </cell>
          <cell r="J1311" t="str">
            <v>组件</v>
          </cell>
          <cell r="K1311">
            <v>103</v>
          </cell>
          <cell r="L1311">
            <v>46132</v>
          </cell>
          <cell r="M1311" t="str">
            <v>3-配货完成</v>
          </cell>
        </row>
        <row r="1311">
          <cell r="O1311">
            <v>0</v>
          </cell>
          <cell r="P1311" t="str">
            <v>哈尔滨东安实业发展有限公司</v>
          </cell>
          <cell r="Q1311" t="str">
            <v>60</v>
          </cell>
        </row>
        <row r="1311">
          <cell r="U1311" t="str">
            <v>010000926591</v>
          </cell>
          <cell r="V1311" t="str">
            <v>BIAOQIAN2</v>
          </cell>
          <cell r="W1311" t="str">
            <v/>
          </cell>
          <cell r="X1311" t="str">
            <v>CP-108-A</v>
          </cell>
          <cell r="Y1311" t="str">
            <v/>
          </cell>
          <cell r="Z1311" t="str">
            <v>1906</v>
          </cell>
          <cell r="AA1311" t="str">
            <v>1100161508</v>
          </cell>
          <cell r="AB1311">
            <v>573</v>
          </cell>
          <cell r="AC1311" t="str">
            <v/>
          </cell>
          <cell r="AD1311">
            <v>43</v>
          </cell>
          <cell r="AE1311" t="str">
            <v>G-100016975-260309-0012</v>
          </cell>
        </row>
        <row r="1312">
          <cell r="B1312" t="str">
            <v>7101103816</v>
          </cell>
          <cell r="C1312" t="str">
            <v>G2601-0213</v>
          </cell>
          <cell r="D1312" t="str">
            <v>000042944239130394</v>
          </cell>
          <cell r="E1312" t="str">
            <v>CDP螺栓</v>
          </cell>
          <cell r="F1312" t="str">
            <v>7253C2A029P00</v>
          </cell>
          <cell r="G1312" t="str">
            <v>-</v>
          </cell>
          <cell r="H1312" t="str">
            <v>HRC≥44</v>
          </cell>
          <cell r="I1312" t="str">
            <v/>
          </cell>
          <cell r="J1312" t="str">
            <v>GH6159</v>
          </cell>
          <cell r="K1312">
            <v>48</v>
          </cell>
          <cell r="L1312">
            <v>46131</v>
          </cell>
          <cell r="M1312" t="str">
            <v>2-调货完成</v>
          </cell>
        </row>
        <row r="1312">
          <cell r="O1312">
            <v>0</v>
          </cell>
          <cell r="P1312" t="str">
            <v>哈尔滨东安实业发展有限公司</v>
          </cell>
          <cell r="Q1312" t="str">
            <v>20</v>
          </cell>
        </row>
        <row r="1312">
          <cell r="U1312" t="str">
            <v>010000900099</v>
          </cell>
          <cell r="V1312" t="str">
            <v/>
          </cell>
          <cell r="W1312" t="str">
            <v/>
          </cell>
          <cell r="X1312" t="str">
            <v>CP-1-1-2-7</v>
          </cell>
          <cell r="Y1312" t="str">
            <v/>
          </cell>
          <cell r="Z1312" t="str">
            <v>1906</v>
          </cell>
          <cell r="AA1312" t="str">
            <v>1100163768</v>
          </cell>
          <cell r="AB1312">
            <v>312</v>
          </cell>
          <cell r="AC1312" t="str">
            <v/>
          </cell>
          <cell r="AD1312">
            <v>353.51</v>
          </cell>
          <cell r="AE1312" t="str">
            <v>G-100016975-260416-0025</v>
          </cell>
        </row>
        <row r="1313">
          <cell r="B1313" t="str">
            <v>7101103816</v>
          </cell>
          <cell r="C1313" t="str">
            <v>G2601-0244</v>
          </cell>
          <cell r="D1313" t="str">
            <v>000042944239130394</v>
          </cell>
          <cell r="E1313" t="str">
            <v>CDP螺栓</v>
          </cell>
          <cell r="F1313" t="str">
            <v>7253C2A029P00</v>
          </cell>
          <cell r="G1313" t="str">
            <v>-</v>
          </cell>
          <cell r="H1313" t="str">
            <v>HRC≥44</v>
          </cell>
          <cell r="I1313" t="str">
            <v/>
          </cell>
          <cell r="J1313" t="str">
            <v>GH6159</v>
          </cell>
          <cell r="K1313">
            <v>146</v>
          </cell>
          <cell r="L1313">
            <v>46131</v>
          </cell>
          <cell r="M1313" t="str">
            <v>2-调货完成</v>
          </cell>
        </row>
        <row r="1313">
          <cell r="O1313">
            <v>0</v>
          </cell>
          <cell r="P1313" t="str">
            <v>哈尔滨东安实业发展有限公司</v>
          </cell>
          <cell r="Q1313" t="str">
            <v>20</v>
          </cell>
        </row>
        <row r="1313">
          <cell r="U1313" t="str">
            <v>010000900633</v>
          </cell>
          <cell r="V1313" t="str">
            <v/>
          </cell>
          <cell r="W1313" t="str">
            <v/>
          </cell>
          <cell r="X1313" t="str">
            <v>CP-28-2-1-3</v>
          </cell>
          <cell r="Y1313" t="str">
            <v/>
          </cell>
          <cell r="Z1313" t="str">
            <v>1906</v>
          </cell>
          <cell r="AA1313" t="str">
            <v>1100163768</v>
          </cell>
          <cell r="AB1313">
            <v>312</v>
          </cell>
          <cell r="AC1313" t="str">
            <v/>
          </cell>
          <cell r="AD1313">
            <v>353.51</v>
          </cell>
          <cell r="AE1313" t="str">
            <v>G-100016975-260416-0025</v>
          </cell>
        </row>
        <row r="1314">
          <cell r="B1314" t="str">
            <v>7101102011</v>
          </cell>
          <cell r="C1314" t="str">
            <v>G2501-3332</v>
          </cell>
          <cell r="D1314" t="str">
            <v>000042944319115794</v>
          </cell>
          <cell r="E1314" t="str">
            <v>外套螺母</v>
          </cell>
          <cell r="F1314" t="str">
            <v>Q/S15.1118-2011</v>
          </cell>
          <cell r="G1314" t="str">
            <v>8</v>
          </cell>
          <cell r="H1314" t="str">
            <v>退火</v>
          </cell>
          <cell r="I1314" t="str">
            <v>阳极化2-5μm</v>
          </cell>
          <cell r="J1314" t="str">
            <v>TC6</v>
          </cell>
          <cell r="K1314">
            <v>30</v>
          </cell>
          <cell r="L1314">
            <v>46127</v>
          </cell>
          <cell r="M1314" t="str">
            <v>3-配货完成</v>
          </cell>
        </row>
        <row r="1314">
          <cell r="O1314">
            <v>0</v>
          </cell>
          <cell r="P1314" t="str">
            <v>哈尔滨东安实业发展有限公司</v>
          </cell>
          <cell r="Q1314" t="str">
            <v>10</v>
          </cell>
        </row>
        <row r="1314">
          <cell r="U1314" t="str">
            <v>010000779422</v>
          </cell>
          <cell r="V1314" t="str">
            <v>BIAOQIAN3</v>
          </cell>
          <cell r="W1314" t="str">
            <v/>
          </cell>
          <cell r="X1314" t="str">
            <v>CP-C1-2-1-7</v>
          </cell>
          <cell r="Y1314" t="str">
            <v/>
          </cell>
          <cell r="Z1314" t="str">
            <v>1906</v>
          </cell>
          <cell r="AA1314" t="str">
            <v>1100163211</v>
          </cell>
          <cell r="AB1314">
            <v>30</v>
          </cell>
          <cell r="AC1314" t="str">
            <v/>
          </cell>
          <cell r="AD1314">
            <v>50</v>
          </cell>
          <cell r="AE1314" t="str">
            <v>G-100016975-260409-0022</v>
          </cell>
        </row>
        <row r="1315">
          <cell r="B1315" t="str">
            <v>71011020111</v>
          </cell>
          <cell r="C1315" t="str">
            <v>G2501-3334</v>
          </cell>
          <cell r="D1315" t="str">
            <v>000042944440115791</v>
          </cell>
          <cell r="E1315" t="str">
            <v>挡圈</v>
          </cell>
          <cell r="F1315" t="str">
            <v>2Q/11S1206-2022</v>
          </cell>
          <cell r="G1315" t="str">
            <v>8</v>
          </cell>
          <cell r="H1315" t="str">
            <v>固溶时效</v>
          </cell>
          <cell r="I1315" t="str">
            <v/>
          </cell>
          <cell r="J1315" t="str">
            <v>GH4169</v>
          </cell>
          <cell r="K1315">
            <v>30</v>
          </cell>
          <cell r="L1315">
            <v>46127</v>
          </cell>
          <cell r="M1315" t="str">
            <v>3-配货完成</v>
          </cell>
        </row>
        <row r="1315">
          <cell r="O1315">
            <v>0</v>
          </cell>
          <cell r="P1315" t="str">
            <v>哈尔滨东安实业发展有限公司</v>
          </cell>
          <cell r="Q1315" t="str">
            <v>20</v>
          </cell>
        </row>
        <row r="1315">
          <cell r="U1315" t="str">
            <v>010000779425</v>
          </cell>
          <cell r="V1315" t="str">
            <v>BIAOQIAN3</v>
          </cell>
          <cell r="W1315" t="str">
            <v/>
          </cell>
          <cell r="X1315" t="str">
            <v>CP-C4-1-3-8</v>
          </cell>
          <cell r="Y1315" t="str">
            <v/>
          </cell>
          <cell r="Z1315" t="str">
            <v>1906</v>
          </cell>
          <cell r="AA1315" t="str">
            <v>1100163211</v>
          </cell>
          <cell r="AB1315">
            <v>30</v>
          </cell>
          <cell r="AC1315" t="str">
            <v/>
          </cell>
          <cell r="AD1315">
            <v>150</v>
          </cell>
          <cell r="AE1315" t="str">
            <v>G-100016975-260409-0022</v>
          </cell>
        </row>
        <row r="1316">
          <cell r="B1316" t="str">
            <v>71011020112</v>
          </cell>
          <cell r="C1316" t="str">
            <v>G2501-3333</v>
          </cell>
          <cell r="D1316" t="str">
            <v>000042944999115788</v>
          </cell>
          <cell r="E1316" t="str">
            <v>堵帽</v>
          </cell>
          <cell r="F1316" t="str">
            <v>1Q/11S1206-2022</v>
          </cell>
          <cell r="G1316" t="str">
            <v>8</v>
          </cell>
          <cell r="H1316" t="str">
            <v>固溶</v>
          </cell>
          <cell r="I1316" t="str">
            <v/>
          </cell>
          <cell r="J1316" t="str">
            <v>0Cr18Ni9</v>
          </cell>
          <cell r="K1316">
            <v>30</v>
          </cell>
          <cell r="L1316">
            <v>46127</v>
          </cell>
          <cell r="M1316" t="str">
            <v>3-配货完成</v>
          </cell>
        </row>
        <row r="1316">
          <cell r="O1316">
            <v>0</v>
          </cell>
          <cell r="P1316" t="str">
            <v>哈尔滨东安实业发展有限公司</v>
          </cell>
          <cell r="Q1316" t="str">
            <v>30</v>
          </cell>
        </row>
        <row r="1316">
          <cell r="U1316" t="str">
            <v>010000779423</v>
          </cell>
          <cell r="V1316" t="str">
            <v>BIAOQIAN3</v>
          </cell>
          <cell r="W1316" t="str">
            <v/>
          </cell>
          <cell r="X1316" t="str">
            <v>CP-C2-3-4-2</v>
          </cell>
          <cell r="Y1316" t="str">
            <v/>
          </cell>
          <cell r="Z1316" t="str">
            <v>1906</v>
          </cell>
          <cell r="AA1316" t="str">
            <v>1100163211</v>
          </cell>
          <cell r="AB1316">
            <v>30</v>
          </cell>
          <cell r="AC1316" t="str">
            <v/>
          </cell>
          <cell r="AD1316">
            <v>150</v>
          </cell>
          <cell r="AE1316" t="str">
            <v>G-100016975-260409-0022</v>
          </cell>
        </row>
        <row r="1317">
          <cell r="B1317" t="str">
            <v>7101097814</v>
          </cell>
          <cell r="C1317" t="str">
            <v>G2602-0743</v>
          </cell>
          <cell r="D1317" t="str">
            <v>000042944000046783</v>
          </cell>
          <cell r="E1317" t="str">
            <v>链条</v>
          </cell>
          <cell r="F1317" t="str">
            <v>HB2-62-1</v>
          </cell>
          <cell r="G1317" t="str">
            <v>L=100</v>
          </cell>
          <cell r="H1317" t="str">
            <v/>
          </cell>
          <cell r="I1317" t="str">
            <v>Ep·Cd·c2C</v>
          </cell>
          <cell r="J1317" t="str">
            <v>组件</v>
          </cell>
          <cell r="K1317">
            <v>19</v>
          </cell>
          <cell r="L1317">
            <v>46120</v>
          </cell>
          <cell r="M1317" t="str">
            <v>3-配货完成</v>
          </cell>
        </row>
        <row r="1317">
          <cell r="O1317">
            <v>0</v>
          </cell>
          <cell r="P1317" t="str">
            <v>哈尔滨东安实业发展有限公司</v>
          </cell>
          <cell r="Q1317" t="str">
            <v>50</v>
          </cell>
        </row>
        <row r="1317">
          <cell r="U1317" t="str">
            <v>010000913307</v>
          </cell>
          <cell r="V1317" t="str">
            <v>BIAOQIAN3</v>
          </cell>
          <cell r="W1317" t="str">
            <v/>
          </cell>
          <cell r="X1317" t="str">
            <v>CP-108-A</v>
          </cell>
          <cell r="Y1317" t="str">
            <v/>
          </cell>
          <cell r="Z1317" t="str">
            <v>1906</v>
          </cell>
          <cell r="AA1317" t="str">
            <v>1100161508</v>
          </cell>
          <cell r="AB1317">
            <v>50</v>
          </cell>
          <cell r="AC1317" t="str">
            <v/>
          </cell>
          <cell r="AD1317">
            <v>20</v>
          </cell>
          <cell r="AE1317" t="str">
            <v>G-100016975-260309-0012</v>
          </cell>
        </row>
        <row r="1318">
          <cell r="B1318" t="str">
            <v>7101092974</v>
          </cell>
          <cell r="C1318" t="str">
            <v>G2512-1684</v>
          </cell>
          <cell r="D1318" t="str">
            <v>000042944239133992</v>
          </cell>
          <cell r="E1318" t="str">
            <v>D头螺栓</v>
          </cell>
          <cell r="F1318" t="str">
            <v>S7506.019</v>
          </cell>
          <cell r="G1318" t="str">
            <v>-</v>
          </cell>
          <cell r="H1318" t="str">
            <v>36-46.5HRC</v>
          </cell>
          <cell r="I1318" t="str">
            <v/>
          </cell>
          <cell r="J1318" t="str">
            <v>GH4169</v>
          </cell>
          <cell r="K1318">
            <v>39</v>
          </cell>
          <cell r="L1318">
            <v>46108</v>
          </cell>
          <cell r="M1318" t="str">
            <v>3-配货完成</v>
          </cell>
        </row>
        <row r="1318">
          <cell r="O1318">
            <v>0</v>
          </cell>
          <cell r="P1318" t="str">
            <v>哈尔滨东安实业发展有限公司</v>
          </cell>
          <cell r="Q1318" t="str">
            <v>10</v>
          </cell>
        </row>
        <row r="1318">
          <cell r="U1318" t="str">
            <v>010000896848</v>
          </cell>
          <cell r="V1318" t="str">
            <v>BIAOQIAN2</v>
          </cell>
          <cell r="W1318" t="str">
            <v/>
          </cell>
          <cell r="X1318" t="str">
            <v>CP-60-3-2-17</v>
          </cell>
          <cell r="Y1318" t="str">
            <v/>
          </cell>
          <cell r="Z1318" t="str">
            <v>1906</v>
          </cell>
          <cell r="AA1318" t="str">
            <v>1100162396</v>
          </cell>
          <cell r="AB1318">
            <v>420</v>
          </cell>
          <cell r="AC1318" t="str">
            <v/>
          </cell>
          <cell r="AD1318">
            <v>96</v>
          </cell>
          <cell r="AE1318" t="str">
            <v>G-100016975-260325-0018</v>
          </cell>
        </row>
        <row r="1319">
          <cell r="B1319" t="str">
            <v>7101079326</v>
          </cell>
          <cell r="C1319" t="str">
            <v>G2507-1797</v>
          </cell>
          <cell r="D1319" t="str">
            <v>000042944319000359</v>
          </cell>
          <cell r="E1319" t="str">
            <v>抗剪型高锁螺母</v>
          </cell>
          <cell r="F1319" t="str">
            <v>GJB134.1-1986 M6 LY12-CS 红色阳极化</v>
          </cell>
          <cell r="G1319" t="str">
            <v>M6</v>
          </cell>
          <cell r="H1319" t="str">
            <v/>
          </cell>
          <cell r="I1319" t="str">
            <v>Et·A(s)·Cl(RD)+十六醇</v>
          </cell>
          <cell r="J1319" t="str">
            <v>LY12-CS</v>
          </cell>
          <cell r="K1319">
            <v>85</v>
          </cell>
          <cell r="L1319">
            <v>46078</v>
          </cell>
          <cell r="M1319" t="str">
            <v>3-配货完成</v>
          </cell>
        </row>
        <row r="1319">
          <cell r="O1319">
            <v>0</v>
          </cell>
          <cell r="P1319" t="str">
            <v>哈尔滨东安实业发展有限公司</v>
          </cell>
          <cell r="Q1319" t="str">
            <v>20</v>
          </cell>
        </row>
        <row r="1319">
          <cell r="U1319" t="str">
            <v>010000847896</v>
          </cell>
          <cell r="V1319" t="str">
            <v>BIAOQIAN4</v>
          </cell>
          <cell r="W1319" t="str">
            <v/>
          </cell>
          <cell r="X1319" t="str">
            <v>CP-108-A</v>
          </cell>
          <cell r="Y1319" t="str">
            <v/>
          </cell>
          <cell r="Z1319" t="str">
            <v>1906</v>
          </cell>
          <cell r="AA1319" t="str">
            <v>1100153644</v>
          </cell>
          <cell r="AB1319">
            <v>85</v>
          </cell>
          <cell r="AC1319" t="str">
            <v>GJ2507-01797</v>
          </cell>
          <cell r="AD1319">
            <v>39.2</v>
          </cell>
          <cell r="AE1319" t="str">
            <v>G-100016975-250925-0053</v>
          </cell>
        </row>
        <row r="1320">
          <cell r="B1320" t="str">
            <v>7101073898</v>
          </cell>
          <cell r="C1320" t="str">
            <v>G2312-0470</v>
          </cell>
          <cell r="D1320" t="str">
            <v>000042944999002605</v>
          </cell>
          <cell r="E1320" t="str">
            <v>带键锁紧螺桩</v>
          </cell>
          <cell r="F1320" t="str">
            <v>8S.DFD20.3.802</v>
          </cell>
          <cell r="G1320" t="str">
            <v>-</v>
          </cell>
          <cell r="H1320" t="str">
            <v/>
          </cell>
          <cell r="I1320" t="str">
            <v/>
          </cell>
          <cell r="J1320" t="str">
            <v>组件</v>
          </cell>
          <cell r="K1320">
            <v>50</v>
          </cell>
          <cell r="L1320">
            <v>46058</v>
          </cell>
          <cell r="M1320" t="str">
            <v>3-配货完成</v>
          </cell>
        </row>
        <row r="1320">
          <cell r="O1320">
            <v>0</v>
          </cell>
          <cell r="P1320" t="str">
            <v>哈尔滨东安实业发展有限公司</v>
          </cell>
          <cell r="Q1320" t="str">
            <v>10</v>
          </cell>
        </row>
        <row r="1320">
          <cell r="U1320" t="str">
            <v>010000657073</v>
          </cell>
          <cell r="V1320" t="str">
            <v>BIAOQIAN2</v>
          </cell>
          <cell r="W1320" t="str">
            <v/>
          </cell>
          <cell r="X1320" t="str">
            <v>CP-108-A/CP-C8-2-4-3</v>
          </cell>
          <cell r="Y1320" t="str">
            <v/>
          </cell>
          <cell r="Z1320" t="str">
            <v>1906</v>
          </cell>
          <cell r="AA1320" t="str">
            <v>1100160140</v>
          </cell>
          <cell r="AB1320">
            <v>50</v>
          </cell>
          <cell r="AC1320" t="str">
            <v>GJ2312-00470-S-1A</v>
          </cell>
          <cell r="AD1320">
            <v>197</v>
          </cell>
          <cell r="AE1320" t="str">
            <v>G-100016975-260204-0008XH</v>
          </cell>
        </row>
        <row r="1321">
          <cell r="B1321">
            <v>7101106011</v>
          </cell>
          <cell r="C1321" t="str">
            <v>G2510-0091</v>
          </cell>
          <cell r="D1321">
            <v>42944288000865</v>
          </cell>
          <cell r="E1321" t="str">
            <v>十二角压扁自锁螺母(最高工作温度650℃)</v>
          </cell>
          <cell r="F1321" t="str">
            <v>HB5636M6</v>
          </cell>
          <cell r="G1321" t="str">
            <v>M6</v>
          </cell>
          <cell r="H1321" t="str">
            <v>29-35HRC</v>
          </cell>
          <cell r="I1321" t="str">
            <v>Ep·Ag</v>
          </cell>
          <cell r="J1321" t="str">
            <v>GH2132</v>
          </cell>
          <cell r="K1321">
            <v>85</v>
          </cell>
          <cell r="L1321" t="str">
            <v>2026.04.23</v>
          </cell>
          <cell r="M1321" t="str">
            <v>3-配货完成</v>
          </cell>
        </row>
        <row r="1321">
          <cell r="P1321" t="str">
            <v>哈尔滨东安实业发展有限公司</v>
          </cell>
          <cell r="Q1321">
            <v>100</v>
          </cell>
        </row>
        <row r="1321">
          <cell r="U1321">
            <v>10000870681</v>
          </cell>
          <cell r="V1321" t="str">
            <v>BIAOQIAN3</v>
          </cell>
        </row>
        <row r="1321">
          <cell r="X1321" t="str">
            <v>CP-4-2-1-10</v>
          </cell>
        </row>
        <row r="1321">
          <cell r="Z1321">
            <v>1906</v>
          </cell>
          <cell r="AA1321">
            <v>1100161508</v>
          </cell>
          <cell r="AB1321">
            <v>500</v>
          </cell>
          <cell r="AC1321" t="str">
            <v>GJ2510-00091</v>
          </cell>
          <cell r="AD1321">
            <v>33</v>
          </cell>
          <cell r="AE1321" t="str">
            <v>G-100016975-260309-0012</v>
          </cell>
        </row>
        <row r="1322">
          <cell r="B1322">
            <v>7101106001</v>
          </cell>
          <cell r="C1322" t="str">
            <v>G2603-1090</v>
          </cell>
          <cell r="D1322">
            <v>42944320072898</v>
          </cell>
          <cell r="E1322" t="str">
            <v>铆钉</v>
          </cell>
          <cell r="F1322" t="str">
            <v>1B21217AD2406LE</v>
          </cell>
          <cell r="G1322" t="str">
            <v>-</v>
          </cell>
          <cell r="H1322" t="str">
            <v>τb≥220MPa(回火)</v>
          </cell>
          <cell r="I1322" t="str">
            <v>镀镉Ⅱ型3类</v>
          </cell>
          <cell r="J1322" t="str">
            <v>ML18</v>
          </cell>
          <cell r="K1322">
            <v>1120</v>
          </cell>
          <cell r="L1322" t="str">
            <v>2026.04.23</v>
          </cell>
          <cell r="M1322" t="str">
            <v>3-配货完成</v>
          </cell>
        </row>
        <row r="1322">
          <cell r="P1322" t="str">
            <v>哈尔滨东安实业发展有限公司</v>
          </cell>
          <cell r="Q1322">
            <v>20</v>
          </cell>
        </row>
        <row r="1322">
          <cell r="U1322">
            <v>10000925930</v>
          </cell>
          <cell r="V1322" t="str">
            <v>BIAOQIAN2</v>
          </cell>
        </row>
        <row r="1322">
          <cell r="X1322" t="str">
            <v>CP-108-A</v>
          </cell>
        </row>
        <row r="1322">
          <cell r="Z1322">
            <v>1906</v>
          </cell>
          <cell r="AA1322">
            <v>1100162183</v>
          </cell>
          <cell r="AB1322">
            <v>1120</v>
          </cell>
        </row>
        <row r="1322">
          <cell r="AD1322">
            <v>10</v>
          </cell>
          <cell r="AE1322" t="str">
            <v>G-100016975-260320-0017</v>
          </cell>
        </row>
        <row r="1323">
          <cell r="B1323">
            <v>7101106000</v>
          </cell>
          <cell r="C1323" t="str">
            <v>G2603-1090</v>
          </cell>
          <cell r="D1323">
            <v>42944320072898</v>
          </cell>
          <cell r="E1323" t="str">
            <v>铆钉</v>
          </cell>
          <cell r="F1323" t="str">
            <v>1B21217AD2406LE</v>
          </cell>
          <cell r="G1323" t="str">
            <v>-</v>
          </cell>
          <cell r="H1323" t="str">
            <v>τb≥220MPa(回火)</v>
          </cell>
          <cell r="I1323" t="str">
            <v>镀镉Ⅱ型3类</v>
          </cell>
          <cell r="J1323" t="str">
            <v>ML18</v>
          </cell>
          <cell r="K1323">
            <v>50</v>
          </cell>
          <cell r="L1323" t="str">
            <v>2026.04.23</v>
          </cell>
          <cell r="M1323" t="str">
            <v>3-配货完成</v>
          </cell>
        </row>
        <row r="1323">
          <cell r="P1323" t="str">
            <v>哈尔滨东安实业发展有限公司</v>
          </cell>
          <cell r="Q1323">
            <v>10</v>
          </cell>
        </row>
        <row r="1323">
          <cell r="U1323">
            <v>10000925930</v>
          </cell>
          <cell r="V1323" t="str">
            <v>BIAOQIAN2</v>
          </cell>
        </row>
        <row r="1323">
          <cell r="X1323" t="str">
            <v>CP-108-A</v>
          </cell>
        </row>
        <row r="1323">
          <cell r="Z1323">
            <v>1906</v>
          </cell>
          <cell r="AA1323">
            <v>1100160153</v>
          </cell>
          <cell r="AB1323">
            <v>50</v>
          </cell>
        </row>
        <row r="1323">
          <cell r="AD1323">
            <v>10</v>
          </cell>
          <cell r="AE1323" t="str">
            <v>G-100016975-260204-0007</v>
          </cell>
        </row>
        <row r="1324">
          <cell r="B1324">
            <v>7101105999</v>
          </cell>
          <cell r="C1324" t="str">
            <v>G2603-1090</v>
          </cell>
          <cell r="D1324">
            <v>42944320072898</v>
          </cell>
          <cell r="E1324" t="str">
            <v>铆钉</v>
          </cell>
          <cell r="F1324" t="str">
            <v>1B21217AD2406LE</v>
          </cell>
          <cell r="G1324" t="str">
            <v>-</v>
          </cell>
          <cell r="H1324" t="str">
            <v>τb≥220MPa(回火)</v>
          </cell>
          <cell r="I1324" t="str">
            <v>镀镉Ⅱ型3类</v>
          </cell>
          <cell r="J1324" t="str">
            <v>ML18</v>
          </cell>
          <cell r="K1324">
            <v>780</v>
          </cell>
          <cell r="L1324" t="str">
            <v>2026.04.23</v>
          </cell>
          <cell r="M1324" t="str">
            <v>3-配货完成</v>
          </cell>
        </row>
        <row r="1324">
          <cell r="P1324" t="str">
            <v>哈尔滨东安实业发展有限公司</v>
          </cell>
          <cell r="Q1324">
            <v>10</v>
          </cell>
        </row>
        <row r="1324">
          <cell r="U1324">
            <v>10000925930</v>
          </cell>
          <cell r="V1324" t="str">
            <v>BIAOQIAN2</v>
          </cell>
        </row>
        <row r="1324">
          <cell r="X1324" t="str">
            <v>CP-108-A</v>
          </cell>
        </row>
        <row r="1324">
          <cell r="Z1324">
            <v>1906</v>
          </cell>
          <cell r="AA1324">
            <v>1100161508</v>
          </cell>
          <cell r="AB1324">
            <v>780</v>
          </cell>
        </row>
        <row r="1324">
          <cell r="AD1324">
            <v>10</v>
          </cell>
          <cell r="AE1324" t="str">
            <v>G-100016975-260309-0012</v>
          </cell>
        </row>
        <row r="1325">
          <cell r="B1325" t="str">
            <v>7101108196</v>
          </cell>
          <cell r="C1325" t="str">
            <v>G2603-1301</v>
          </cell>
          <cell r="D1325" t="str">
            <v>000042944044097607</v>
          </cell>
          <cell r="E1325" t="str">
            <v>十字槽沉头螺钉</v>
          </cell>
          <cell r="F1325" t="str">
            <v>GB/T819.2-2016(CQHY)</v>
          </cell>
          <cell r="G1325" t="str">
            <v>M3×10</v>
          </cell>
          <cell r="H1325" t="str">
            <v>8.8</v>
          </cell>
          <cell r="I1325" t="str">
            <v>Ep·Zn-Ni·c2C</v>
          </cell>
          <cell r="J1325" t="str">
            <v>ML30CrMnSiA</v>
          </cell>
          <cell r="K1325">
            <v>1800</v>
          </cell>
          <cell r="L1325">
            <v>46137</v>
          </cell>
          <cell r="M1325" t="str">
            <v>0-初始未打印</v>
          </cell>
        </row>
        <row r="1325">
          <cell r="O1325">
            <v>0</v>
          </cell>
          <cell r="P1325" t="str">
            <v>重庆红宇精密工业集团有限公司</v>
          </cell>
          <cell r="Q1325" t="str">
            <v>30</v>
          </cell>
        </row>
        <row r="1325">
          <cell r="U1325" t="str">
            <v>010000927093</v>
          </cell>
          <cell r="V1325" t="str">
            <v/>
          </cell>
          <cell r="W1325" t="str">
            <v/>
          </cell>
          <cell r="X1325" t="str">
            <v>CP-7-3-1-15</v>
          </cell>
          <cell r="Y1325" t="str">
            <v/>
          </cell>
          <cell r="Z1325" t="str">
            <v>1902</v>
          </cell>
          <cell r="AA1325" t="str">
            <v>1100161675</v>
          </cell>
          <cell r="AB1325">
            <v>1800</v>
          </cell>
          <cell r="AC1325" t="str">
            <v/>
          </cell>
          <cell r="AD1325">
            <v>1.96</v>
          </cell>
          <cell r="AE1325" t="str">
            <v>G-100015451-260312-0004</v>
          </cell>
        </row>
        <row r="1326">
          <cell r="B1326" t="str">
            <v>7101108175</v>
          </cell>
          <cell r="C1326" t="str">
            <v>G02604-069</v>
          </cell>
          <cell r="D1326" t="str">
            <v>000042944402148933</v>
          </cell>
          <cell r="E1326" t="str">
            <v>轻型弹簧垫圈</v>
          </cell>
          <cell r="F1326" t="str">
            <v>GB859-1987</v>
          </cell>
          <cell r="G1326" t="str">
            <v>18</v>
          </cell>
          <cell r="H1326" t="str">
            <v>42-50HRC</v>
          </cell>
          <cell r="I1326" t="str">
            <v>Ep·Zn-Ni·c2C</v>
          </cell>
          <cell r="J1326" t="str">
            <v>65Mn</v>
          </cell>
          <cell r="K1326">
            <v>4067</v>
          </cell>
          <cell r="L1326">
            <v>46137</v>
          </cell>
          <cell r="M1326" t="str">
            <v>0-初始未打印</v>
          </cell>
        </row>
        <row r="1326">
          <cell r="O1326">
            <v>0</v>
          </cell>
          <cell r="P1326" t="str">
            <v>重庆红宇精密工业集团有限公司</v>
          </cell>
          <cell r="Q1326" t="str">
            <v>70</v>
          </cell>
        </row>
        <row r="1326">
          <cell r="U1326" t="str">
            <v>010000938108</v>
          </cell>
          <cell r="V1326" t="str">
            <v/>
          </cell>
          <cell r="W1326" t="str">
            <v/>
          </cell>
          <cell r="X1326" t="str">
            <v>CP-108-A</v>
          </cell>
          <cell r="Y1326" t="str">
            <v/>
          </cell>
          <cell r="Z1326" t="str">
            <v>1902</v>
          </cell>
          <cell r="AA1326" t="str">
            <v>1100161675</v>
          </cell>
          <cell r="AB1326">
            <v>4100</v>
          </cell>
          <cell r="AC1326" t="str">
            <v/>
          </cell>
          <cell r="AD1326">
            <v>1.92</v>
          </cell>
          <cell r="AE1326" t="str">
            <v>G-100015451-260312-0004</v>
          </cell>
        </row>
        <row r="1327">
          <cell r="B1327" t="str">
            <v>7101107738</v>
          </cell>
          <cell r="C1327" t="str">
            <v>G02604-121</v>
          </cell>
          <cell r="D1327" t="str">
            <v>000042944041002008</v>
          </cell>
          <cell r="E1327" t="str">
            <v>内六角圆柱头螺钉</v>
          </cell>
          <cell r="F1327" t="str">
            <v>GB/T70.1-2008</v>
          </cell>
          <cell r="G1327" t="str">
            <v>M4×16</v>
          </cell>
          <cell r="H1327" t="str">
            <v>A2-70</v>
          </cell>
          <cell r="I1327" t="str">
            <v>ECP</v>
          </cell>
          <cell r="J1327" t="str">
            <v>1Cr18Ni9Ti</v>
          </cell>
          <cell r="K1327">
            <v>500</v>
          </cell>
          <cell r="L1327">
            <v>46137</v>
          </cell>
          <cell r="M1327" t="str">
            <v>3-配货完成</v>
          </cell>
        </row>
        <row r="1327">
          <cell r="O1327">
            <v>0</v>
          </cell>
          <cell r="P1327" t="str">
            <v>重庆红宇精密工业集团有限公司</v>
          </cell>
          <cell r="Q1327" t="str">
            <v>10</v>
          </cell>
        </row>
        <row r="1327">
          <cell r="U1327" t="str">
            <v>010000941341</v>
          </cell>
          <cell r="V1327" t="str">
            <v>BIAOQIAN3</v>
          </cell>
          <cell r="W1327" t="str">
            <v/>
          </cell>
          <cell r="X1327" t="str">
            <v>CP-108-A</v>
          </cell>
          <cell r="Y1327" t="str">
            <v/>
          </cell>
          <cell r="Z1327" t="str">
            <v>1902</v>
          </cell>
          <cell r="AA1327" t="str">
            <v>1100139082</v>
          </cell>
          <cell r="AB1327">
            <v>500</v>
          </cell>
          <cell r="AC1327" t="str">
            <v/>
          </cell>
          <cell r="AD1327">
            <v>2.26</v>
          </cell>
          <cell r="AE1327" t="str">
            <v>G-100015451-241220-0050</v>
          </cell>
        </row>
        <row r="1328">
          <cell r="B1328" t="str">
            <v>7101107484</v>
          </cell>
          <cell r="C1328" t="str">
            <v>G02604-085</v>
          </cell>
          <cell r="D1328" t="str">
            <v>000042944044061515</v>
          </cell>
          <cell r="E1328" t="str">
            <v>十字槽沉头螺钉</v>
          </cell>
          <cell r="F1328" t="str">
            <v>GB/T819.2-2016</v>
          </cell>
          <cell r="G1328" t="str">
            <v>M3×8</v>
          </cell>
          <cell r="H1328" t="str">
            <v>A2-70</v>
          </cell>
          <cell r="I1328" t="str">
            <v>ECP</v>
          </cell>
          <cell r="J1328" t="str">
            <v>ML1Cr18Ni9Ti</v>
          </cell>
          <cell r="K1328">
            <v>638</v>
          </cell>
          <cell r="L1328">
            <v>46136</v>
          </cell>
          <cell r="M1328" t="str">
            <v>3-配货完成</v>
          </cell>
        </row>
        <row r="1328">
          <cell r="O1328">
            <v>0</v>
          </cell>
          <cell r="P1328" t="str">
            <v>重庆红宇精密工业集团有限公司</v>
          </cell>
          <cell r="Q1328" t="str">
            <v>10</v>
          </cell>
        </row>
        <row r="1328">
          <cell r="U1328" t="str">
            <v>010000938312</v>
          </cell>
          <cell r="V1328" t="str">
            <v>BIAOQIAN3</v>
          </cell>
          <cell r="W1328" t="str">
            <v/>
          </cell>
          <cell r="X1328" t="str">
            <v>CP-108-A</v>
          </cell>
          <cell r="Y1328" t="str">
            <v/>
          </cell>
          <cell r="Z1328" t="str">
            <v>1902</v>
          </cell>
          <cell r="AA1328" t="str">
            <v>1100159279</v>
          </cell>
          <cell r="AB1328">
            <v>1100</v>
          </cell>
          <cell r="AC1328" t="str">
            <v/>
          </cell>
          <cell r="AD1328">
            <v>1.2</v>
          </cell>
          <cell r="AE1328" t="str">
            <v>G-100015451-260120-0001</v>
          </cell>
        </row>
      </sheetData>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9.xml.rels><?xml version="1.0" encoding="UTF-8" standalone="yes"?>
<Relationships xmlns="http://schemas.openxmlformats.org/package/2006/relationships"><Relationship Id="rId1" Type="http://schemas.openxmlformats.org/officeDocument/2006/relationships/hyperlink" Target="TEL:0851-28693536" TargetMode="Externa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P4"/>
  <sheetViews>
    <sheetView workbookViewId="0">
      <selection activeCell="E28" sqref="E28"/>
    </sheetView>
  </sheetViews>
  <sheetFormatPr defaultColWidth="9" defaultRowHeight="13.5" outlineLevelRow="3"/>
  <cols>
    <col min="10" max="10" width="15" customWidth="1"/>
  </cols>
  <sheetData>
    <row r="1" s="479" customFormat="1" ht="50.1" customHeight="1" spans="1:15">
      <c r="A1" s="480" t="s">
        <v>0</v>
      </c>
      <c r="B1" s="481"/>
      <c r="C1" s="481"/>
      <c r="D1" s="481"/>
      <c r="E1" s="481"/>
      <c r="F1" s="481"/>
      <c r="G1" s="481"/>
      <c r="H1" s="481"/>
      <c r="I1" s="481"/>
      <c r="J1" s="481"/>
      <c r="K1" s="481"/>
      <c r="L1" s="488"/>
      <c r="M1" s="487"/>
      <c r="N1" s="489"/>
      <c r="O1" s="490"/>
    </row>
    <row r="2" s="479" customFormat="1" ht="50.1" customHeight="1" spans="1:15">
      <c r="A2" s="482" t="s">
        <v>1</v>
      </c>
      <c r="B2" s="483"/>
      <c r="C2" s="483"/>
      <c r="D2" s="483"/>
      <c r="E2" s="483"/>
      <c r="F2" s="483"/>
      <c r="G2" s="483"/>
      <c r="H2" s="483"/>
      <c r="I2" s="491"/>
      <c r="J2" s="492" t="s">
        <v>2</v>
      </c>
      <c r="K2" s="493">
        <v>46135</v>
      </c>
      <c r="L2" s="492"/>
      <c r="M2" s="487"/>
      <c r="N2" s="489"/>
      <c r="O2" s="490"/>
    </row>
    <row r="3" s="479" customFormat="1" ht="50.1" customHeight="1" spans="1:16">
      <c r="A3" s="484" t="s">
        <v>3</v>
      </c>
      <c r="B3" s="485" t="s">
        <v>4</v>
      </c>
      <c r="C3" s="485" t="s">
        <v>5</v>
      </c>
      <c r="D3" s="485" t="s">
        <v>6</v>
      </c>
      <c r="E3" s="485" t="s">
        <v>7</v>
      </c>
      <c r="F3" s="486" t="s">
        <v>8</v>
      </c>
      <c r="G3" s="485" t="s">
        <v>9</v>
      </c>
      <c r="H3" s="485" t="s">
        <v>10</v>
      </c>
      <c r="I3" s="494" t="s">
        <v>11</v>
      </c>
      <c r="J3" s="494" t="s">
        <v>12</v>
      </c>
      <c r="K3" s="494" t="s">
        <v>13</v>
      </c>
      <c r="L3" s="494" t="s">
        <v>14</v>
      </c>
      <c r="M3" s="487"/>
      <c r="N3" s="489"/>
      <c r="O3" s="490" t="e">
        <f>VLOOKUP(P3,[1]交付期日!D:X,21,FALSE)</f>
        <v>#N/A</v>
      </c>
      <c r="P3" s="479" t="str">
        <f>VLOOKUP(H3,[1]匹配!B:AF,31,FALSE)</f>
        <v>销售订单行</v>
      </c>
    </row>
    <row r="4" s="479" customFormat="1" ht="33" customHeight="1" spans="1:16">
      <c r="A4" s="479">
        <v>1</v>
      </c>
      <c r="B4" s="487"/>
      <c r="C4" s="487"/>
      <c r="D4" s="487" t="s">
        <v>15</v>
      </c>
      <c r="E4" s="487" t="s">
        <v>16</v>
      </c>
      <c r="F4" s="487">
        <v>26</v>
      </c>
      <c r="G4" s="487" t="s">
        <v>17</v>
      </c>
      <c r="H4" s="487" t="s">
        <v>18</v>
      </c>
      <c r="I4" s="487" t="s">
        <v>19</v>
      </c>
      <c r="J4" s="487" t="s">
        <v>20</v>
      </c>
      <c r="K4" s="487"/>
      <c r="L4" s="487"/>
      <c r="M4" s="487">
        <v>1084529</v>
      </c>
      <c r="N4" s="489"/>
      <c r="O4" s="490" t="e">
        <v>#N/A</v>
      </c>
      <c r="P4" s="479" t="s">
        <v>21</v>
      </c>
    </row>
  </sheetData>
  <mergeCells count="2">
    <mergeCell ref="A1:L1"/>
    <mergeCell ref="A2:I2"/>
  </mergeCells>
  <conditionalFormatting sqref="M4">
    <cfRule type="duplicateValues" dxfId="0" priority="2"/>
  </conditionalFormatting>
  <conditionalFormatting sqref="M1:M3">
    <cfRule type="duplicateValues" dxfId="0" priority="1"/>
  </conditionalFormatting>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T3"/>
  <sheetViews>
    <sheetView workbookViewId="0">
      <selection activeCell="E36" sqref="E36"/>
    </sheetView>
  </sheetViews>
  <sheetFormatPr defaultColWidth="9" defaultRowHeight="13.5" outlineLevelRow="2"/>
  <sheetData>
    <row r="1" s="64" customFormat="1" ht="50.1" customHeight="1" spans="1:18">
      <c r="A1" s="466" t="s">
        <v>22</v>
      </c>
      <c r="B1" s="466"/>
      <c r="C1" s="466"/>
      <c r="D1" s="466"/>
      <c r="E1" s="466"/>
      <c r="F1" s="466"/>
      <c r="G1" s="466"/>
      <c r="H1" s="466"/>
      <c r="I1" s="466"/>
      <c r="J1" s="466"/>
      <c r="K1" s="466"/>
      <c r="L1" s="466"/>
      <c r="M1" s="466"/>
      <c r="N1" s="466"/>
      <c r="O1" s="106"/>
      <c r="P1" s="106" t="e">
        <f>VLOOKUP(M1,[2]匹配!B:AF,31,FALSE)</f>
        <v>#N/A</v>
      </c>
      <c r="Q1" s="106"/>
      <c r="R1" s="478" t="e">
        <f>VLOOKUP(M1,[2]匹配!B:G,6,FALSE)</f>
        <v>#N/A</v>
      </c>
    </row>
    <row r="2" s="64" customFormat="1" ht="65.25" customHeight="1" spans="1:18">
      <c r="A2" s="5" t="s">
        <v>3</v>
      </c>
      <c r="B2" s="467" t="s">
        <v>23</v>
      </c>
      <c r="C2" s="468" t="s">
        <v>24</v>
      </c>
      <c r="D2" s="469" t="s">
        <v>25</v>
      </c>
      <c r="E2" s="468" t="s">
        <v>26</v>
      </c>
      <c r="F2" s="468" t="s">
        <v>9</v>
      </c>
      <c r="G2" s="467" t="s">
        <v>27</v>
      </c>
      <c r="H2" s="467" t="s">
        <v>27</v>
      </c>
      <c r="I2" s="468" t="s">
        <v>28</v>
      </c>
      <c r="J2" s="471" t="s">
        <v>29</v>
      </c>
      <c r="K2" s="472" t="s">
        <v>30</v>
      </c>
      <c r="L2" s="468" t="s">
        <v>31</v>
      </c>
      <c r="M2" s="473" t="s">
        <v>32</v>
      </c>
      <c r="N2" s="474" t="s">
        <v>33</v>
      </c>
      <c r="O2" s="106"/>
      <c r="P2" s="106" t="e">
        <f>VLOOKUP(M2,[2]匹配!B:AF,31,FALSE)</f>
        <v>#N/A</v>
      </c>
      <c r="Q2" s="106"/>
      <c r="R2" s="478" t="e">
        <f>VLOOKUP(M2,[2]匹配!B:G,6,FALSE)</f>
        <v>#N/A</v>
      </c>
    </row>
    <row r="3" s="64" customFormat="1" ht="35.25" customHeight="1" spans="1:20">
      <c r="A3" s="332">
        <v>1</v>
      </c>
      <c r="B3" s="40">
        <v>1</v>
      </c>
      <c r="C3" s="331" t="s">
        <v>34</v>
      </c>
      <c r="D3" s="470" t="s">
        <v>35</v>
      </c>
      <c r="E3" s="331"/>
      <c r="F3" s="40" t="s">
        <v>36</v>
      </c>
      <c r="G3" s="40">
        <v>46</v>
      </c>
      <c r="H3" s="40">
        <v>46</v>
      </c>
      <c r="I3" s="40" t="s">
        <v>37</v>
      </c>
      <c r="J3" s="475"/>
      <c r="K3" s="476" t="s">
        <v>38</v>
      </c>
      <c r="L3" s="331" t="s">
        <v>39</v>
      </c>
      <c r="M3" s="339" t="s">
        <v>40</v>
      </c>
      <c r="N3" s="477">
        <v>46183</v>
      </c>
      <c r="O3" s="106">
        <v>1105556</v>
      </c>
      <c r="P3" s="106" t="s">
        <v>41</v>
      </c>
      <c r="Q3" s="106"/>
      <c r="R3" s="478" t="s">
        <v>42</v>
      </c>
      <c r="S3" s="334" t="s">
        <v>43</v>
      </c>
      <c r="T3" s="334" t="s">
        <v>44</v>
      </c>
    </row>
  </sheetData>
  <mergeCells count="1">
    <mergeCell ref="A1:N1"/>
  </mergeCells>
  <conditionalFormatting sqref="M1">
    <cfRule type="duplicateValues" dxfId="0" priority="3"/>
  </conditionalFormatting>
  <conditionalFormatting sqref="O1">
    <cfRule type="duplicateValues" dxfId="0" priority="4"/>
  </conditionalFormatting>
  <conditionalFormatting sqref="M2">
    <cfRule type="duplicateValues" dxfId="0" priority="1"/>
  </conditionalFormatting>
  <conditionalFormatting sqref="O2">
    <cfRule type="duplicateValues" dxfId="0" priority="2"/>
  </conditionalFormatting>
  <conditionalFormatting sqref="M3">
    <cfRule type="duplicateValues" dxfId="0" priority="6"/>
  </conditionalFormatting>
  <conditionalFormatting sqref="O3">
    <cfRule type="duplicateValues" dxfId="0" priority="5"/>
  </conditionalFormatting>
  <pageMargins left="0.699305555555556" right="0.699305555555556" top="0.75" bottom="0.75" header="0.3" footer="0.3"/>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O5"/>
  <sheetViews>
    <sheetView workbookViewId="0">
      <selection activeCell="O21" sqref="O21"/>
    </sheetView>
  </sheetViews>
  <sheetFormatPr defaultColWidth="9" defaultRowHeight="13.5" outlineLevelRow="4"/>
  <sheetData>
    <row r="1" s="449" customFormat="1" ht="28.5" customHeight="1" spans="1:15">
      <c r="A1" s="450" t="s">
        <v>45</v>
      </c>
      <c r="B1" s="450"/>
      <c r="C1" s="450"/>
      <c r="D1" s="450"/>
      <c r="E1" s="450"/>
      <c r="F1" s="450"/>
      <c r="G1" s="450"/>
      <c r="H1" s="450"/>
      <c r="I1" s="450"/>
      <c r="J1" s="450"/>
      <c r="K1" s="450"/>
      <c r="L1" s="450"/>
      <c r="M1" s="450"/>
      <c r="N1" s="457"/>
      <c r="O1" s="458"/>
    </row>
    <row r="2" s="449" customFormat="1" ht="32.25" customHeight="1" spans="1:15">
      <c r="A2" s="451" t="s">
        <v>46</v>
      </c>
      <c r="B2" s="451"/>
      <c r="C2" s="451"/>
      <c r="D2" s="451"/>
      <c r="E2" s="451"/>
      <c r="F2" s="452" t="s">
        <v>47</v>
      </c>
      <c r="G2" s="452"/>
      <c r="H2" s="452"/>
      <c r="I2" s="452"/>
      <c r="J2" s="459"/>
      <c r="K2" s="451" t="s">
        <v>48</v>
      </c>
      <c r="L2" s="451"/>
      <c r="M2" s="460"/>
      <c r="N2" s="457"/>
      <c r="O2" s="458"/>
    </row>
    <row r="3" s="449" customFormat="1" ht="35.25" customHeight="1" spans="1:15">
      <c r="A3" s="38" t="s">
        <v>10</v>
      </c>
      <c r="B3" s="38" t="s">
        <v>49</v>
      </c>
      <c r="C3" s="38" t="s">
        <v>50</v>
      </c>
      <c r="D3" s="38" t="s">
        <v>51</v>
      </c>
      <c r="E3" s="38" t="s">
        <v>52</v>
      </c>
      <c r="F3" s="38" t="s">
        <v>53</v>
      </c>
      <c r="G3" s="38" t="s">
        <v>54</v>
      </c>
      <c r="H3" s="38" t="s">
        <v>55</v>
      </c>
      <c r="I3" s="39" t="s">
        <v>56</v>
      </c>
      <c r="J3" s="39" t="s">
        <v>57</v>
      </c>
      <c r="K3" s="461" t="s">
        <v>58</v>
      </c>
      <c r="L3" s="462" t="s">
        <v>59</v>
      </c>
      <c r="M3" s="463" t="s">
        <v>11</v>
      </c>
      <c r="N3" s="457"/>
      <c r="O3" s="458"/>
    </row>
    <row r="4" s="449" customFormat="1" ht="22.5" customHeight="1" spans="1:15">
      <c r="A4" s="453" t="s">
        <v>60</v>
      </c>
      <c r="B4" s="453" t="s">
        <v>61</v>
      </c>
      <c r="C4" s="454"/>
      <c r="D4" s="453" t="s">
        <v>62</v>
      </c>
      <c r="E4" s="453" t="s">
        <v>63</v>
      </c>
      <c r="F4" s="453" t="s">
        <v>64</v>
      </c>
      <c r="G4" s="453" t="s">
        <v>65</v>
      </c>
      <c r="H4" s="455" t="s">
        <v>66</v>
      </c>
      <c r="I4" s="453">
        <v>8</v>
      </c>
      <c r="J4" s="453">
        <v>9.6</v>
      </c>
      <c r="K4" s="464">
        <v>76.8</v>
      </c>
      <c r="L4" s="465" t="s">
        <v>67</v>
      </c>
      <c r="M4" s="449" t="s">
        <v>19</v>
      </c>
      <c r="N4" s="458">
        <v>945254</v>
      </c>
      <c r="O4" s="458"/>
    </row>
    <row r="5" s="449" customFormat="1" ht="33.6" customHeight="1" spans="1:15">
      <c r="A5" s="456" t="s">
        <v>68</v>
      </c>
      <c r="B5" s="456"/>
      <c r="C5" s="456"/>
      <c r="D5" s="456"/>
      <c r="E5" s="456"/>
      <c r="F5" s="456"/>
      <c r="G5" s="456"/>
      <c r="H5" s="456"/>
      <c r="I5" s="456"/>
      <c r="J5" s="456"/>
      <c r="K5" s="456"/>
      <c r="L5" s="456"/>
      <c r="M5" s="456"/>
      <c r="N5" s="458"/>
      <c r="O5" s="458"/>
    </row>
  </sheetData>
  <mergeCells count="5">
    <mergeCell ref="A1:M1"/>
    <mergeCell ref="A2:E2"/>
    <mergeCell ref="F2:I2"/>
    <mergeCell ref="K2:L2"/>
    <mergeCell ref="A5:M5"/>
  </mergeCells>
  <conditionalFormatting sqref="N1">
    <cfRule type="duplicateValues" dxfId="0" priority="3"/>
  </conditionalFormatting>
  <conditionalFormatting sqref="N3">
    <cfRule type="duplicateValues" dxfId="0" priority="2"/>
  </conditionalFormatting>
  <conditionalFormatting sqref="N4">
    <cfRule type="duplicateValues" dxfId="0" priority="7"/>
  </conditionalFormatting>
  <conditionalFormatting sqref="N5">
    <cfRule type="duplicateValues" dxfId="0" priority="1"/>
  </conditionalFormatting>
  <conditionalFormatting sqref="N1:N3">
    <cfRule type="duplicateValues" dxfId="0" priority="6"/>
    <cfRule type="duplicateValues" dxfId="0" priority="5"/>
  </conditionalFormatting>
  <conditionalFormatting sqref="N2:N3">
    <cfRule type="duplicateValues" dxfId="0" priority="4"/>
  </conditionalFormatting>
  <pageMargins left="0.699305555555556" right="0.699305555555556"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Q5"/>
  <sheetViews>
    <sheetView workbookViewId="0">
      <selection activeCell="P21" sqref="P21"/>
    </sheetView>
  </sheetViews>
  <sheetFormatPr defaultColWidth="9" defaultRowHeight="13.5" outlineLevelRow="4"/>
  <sheetData>
    <row r="1" s="442" customFormat="1" ht="35.1" customHeight="1" spans="1:17">
      <c r="A1" s="443" t="s">
        <v>69</v>
      </c>
      <c r="B1" s="443"/>
      <c r="C1" s="443"/>
      <c r="D1" s="443"/>
      <c r="E1" s="443"/>
      <c r="F1" s="443"/>
      <c r="G1" s="443"/>
      <c r="H1" s="443"/>
      <c r="I1" s="443"/>
      <c r="J1" s="443"/>
      <c r="K1" s="443"/>
      <c r="L1" s="443"/>
      <c r="M1" s="446" t="str">
        <f t="shared" ref="M1:M3" si="0">7100&amp;N1</f>
        <v>7100</v>
      </c>
      <c r="N1" s="447"/>
      <c r="O1" s="442" t="e">
        <f>VLOOKUP(M1,[3]匹配!B:F,5,FALSE)</f>
        <v>#N/A</v>
      </c>
      <c r="P1" s="442" t="e">
        <f>VLOOKUP(M1,[3]匹配!B:G,6,FALSE)</f>
        <v>#N/A</v>
      </c>
      <c r="Q1" s="442" t="e">
        <f>VLOOKUP(M1,[3]匹配!B:AF,31,FALSE)</f>
        <v>#N/A</v>
      </c>
    </row>
    <row r="2" s="442" customFormat="1" ht="39" customHeight="1" spans="1:17">
      <c r="A2" s="444" t="s">
        <v>70</v>
      </c>
      <c r="B2" s="444"/>
      <c r="C2" s="444"/>
      <c r="D2" s="444"/>
      <c r="E2" s="444"/>
      <c r="F2" s="444"/>
      <c r="G2" s="444"/>
      <c r="H2" s="444"/>
      <c r="I2" s="444"/>
      <c r="J2" s="444"/>
      <c r="K2" s="444"/>
      <c r="L2" s="444"/>
      <c r="M2" s="446" t="str">
        <f t="shared" si="0"/>
        <v>7100</v>
      </c>
      <c r="N2" s="447"/>
      <c r="O2" s="442" t="e">
        <f>VLOOKUP(M2,[3]匹配!B:F,5,FALSE)</f>
        <v>#N/A</v>
      </c>
      <c r="P2" s="442" t="e">
        <f>VLOOKUP(M2,[3]匹配!B:G,6,FALSE)</f>
        <v>#N/A</v>
      </c>
      <c r="Q2" s="442" t="e">
        <f>VLOOKUP(M2,[3]匹配!B:AF,31,FALSE)</f>
        <v>#N/A</v>
      </c>
    </row>
    <row r="3" s="442" customFormat="1" ht="20.25" customHeight="1" spans="1:17">
      <c r="A3" s="445" t="s">
        <v>3</v>
      </c>
      <c r="B3" s="445" t="s">
        <v>71</v>
      </c>
      <c r="C3" s="445" t="s">
        <v>72</v>
      </c>
      <c r="D3" s="445" t="s">
        <v>73</v>
      </c>
      <c r="E3" s="445" t="s">
        <v>74</v>
      </c>
      <c r="F3" s="445" t="s">
        <v>75</v>
      </c>
      <c r="G3" s="445" t="s">
        <v>9</v>
      </c>
      <c r="H3" s="344" t="s">
        <v>76</v>
      </c>
      <c r="I3" s="445" t="s">
        <v>54</v>
      </c>
      <c r="J3" s="445" t="s">
        <v>77</v>
      </c>
      <c r="K3" s="445" t="s">
        <v>11</v>
      </c>
      <c r="L3" s="445" t="s">
        <v>78</v>
      </c>
      <c r="M3" s="446" t="str">
        <f t="shared" si="0"/>
        <v>7100</v>
      </c>
      <c r="N3" s="447"/>
      <c r="O3" s="442" t="e">
        <f>VLOOKUP(M3,[3]匹配!B:F,5,FALSE)</f>
        <v>#N/A</v>
      </c>
      <c r="P3" s="442" t="e">
        <f>VLOOKUP(M3,[3]匹配!B:G,6,FALSE)</f>
        <v>#N/A</v>
      </c>
      <c r="Q3" s="442" t="e">
        <f>VLOOKUP(M3,[3]匹配!B:AF,31,FALSE)</f>
        <v>#N/A</v>
      </c>
    </row>
    <row r="4" ht="20.25" customHeight="1" spans="1:17">
      <c r="A4" s="25">
        <v>1</v>
      </c>
      <c r="B4" s="25"/>
      <c r="C4" s="25"/>
      <c r="D4" s="25">
        <v>41</v>
      </c>
      <c r="E4" s="25">
        <v>60</v>
      </c>
      <c r="F4" s="25">
        <v>2460</v>
      </c>
      <c r="G4" s="25" t="s">
        <v>79</v>
      </c>
      <c r="H4" s="352">
        <v>46137</v>
      </c>
      <c r="I4" s="448"/>
      <c r="J4" s="25" t="s">
        <v>80</v>
      </c>
      <c r="K4" s="25" t="s">
        <v>19</v>
      </c>
      <c r="L4" s="25" t="s">
        <v>81</v>
      </c>
      <c r="M4" s="446" t="s">
        <v>82</v>
      </c>
      <c r="N4" s="447">
        <v>1107676</v>
      </c>
      <c r="O4" s="442" t="s">
        <v>83</v>
      </c>
      <c r="P4" s="442" t="s">
        <v>84</v>
      </c>
      <c r="Q4" s="442" t="s">
        <v>85</v>
      </c>
    </row>
    <row r="5" s="442" customFormat="1" ht="19.5" customHeight="1" spans="1:17">
      <c r="A5" s="445" t="s">
        <v>86</v>
      </c>
      <c r="B5" s="25"/>
      <c r="C5" s="25"/>
      <c r="D5" s="25">
        <v>41</v>
      </c>
      <c r="E5" s="25">
        <v>60</v>
      </c>
      <c r="F5" s="25">
        <v>2460</v>
      </c>
      <c r="G5" s="25"/>
      <c r="H5" s="352"/>
      <c r="I5" s="25"/>
      <c r="J5" s="25"/>
      <c r="K5" s="25"/>
      <c r="L5" s="25"/>
      <c r="M5" s="446" t="s">
        <v>87</v>
      </c>
      <c r="N5" s="447"/>
      <c r="O5" s="442" t="e">
        <v>#N/A</v>
      </c>
      <c r="P5" s="442" t="e">
        <v>#N/A</v>
      </c>
      <c r="Q5" s="442" t="e">
        <v>#N/A</v>
      </c>
    </row>
  </sheetData>
  <mergeCells count="2">
    <mergeCell ref="A1:L1"/>
    <mergeCell ref="A2:L2"/>
  </mergeCells>
  <conditionalFormatting sqref="M1">
    <cfRule type="duplicateValues" dxfId="0" priority="3"/>
  </conditionalFormatting>
  <conditionalFormatting sqref="M2">
    <cfRule type="duplicateValues" dxfId="0" priority="4"/>
  </conditionalFormatting>
  <conditionalFormatting sqref="M3">
    <cfRule type="duplicateValues" dxfId="0" priority="2"/>
  </conditionalFormatting>
  <conditionalFormatting sqref="M4">
    <cfRule type="duplicateValues" dxfId="0" priority="5"/>
  </conditionalFormatting>
  <conditionalFormatting sqref="M5">
    <cfRule type="duplicateValues" dxfId="0" priority="1"/>
  </conditionalFormatting>
  <pageMargins left="0.699305555555556" right="0.699305555555556"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R3"/>
  <sheetViews>
    <sheetView workbookViewId="0">
      <selection activeCell="E17" sqref="E17"/>
    </sheetView>
  </sheetViews>
  <sheetFormatPr defaultColWidth="9" defaultRowHeight="13.5" outlineLevelRow="2"/>
  <sheetData>
    <row r="1" s="64" customFormat="1" ht="33" customHeight="1" spans="1:18">
      <c r="A1" s="64" t="e">
        <v>#N/A</v>
      </c>
      <c r="B1" s="427" t="s">
        <v>88</v>
      </c>
      <c r="C1" s="427"/>
      <c r="D1" s="427"/>
      <c r="E1" s="427"/>
      <c r="F1" s="427"/>
      <c r="G1" s="427"/>
      <c r="H1" s="427"/>
      <c r="I1" s="427"/>
      <c r="J1" s="427"/>
      <c r="K1" s="427"/>
      <c r="L1" s="427"/>
      <c r="M1" s="427"/>
      <c r="N1" s="436" t="s">
        <v>89</v>
      </c>
      <c r="O1" s="278"/>
      <c r="P1" s="278"/>
      <c r="Q1" s="1" t="e">
        <v>#N/A</v>
      </c>
      <c r="R1" s="126" t="e">
        <v>#N/A</v>
      </c>
    </row>
    <row r="2" s="64" customFormat="1" ht="37.5" customHeight="1" spans="1:18">
      <c r="A2" s="64" t="s">
        <v>90</v>
      </c>
      <c r="B2" s="428" t="s">
        <v>11</v>
      </c>
      <c r="C2" s="429" t="s">
        <v>91</v>
      </c>
      <c r="D2" s="430" t="s">
        <v>92</v>
      </c>
      <c r="E2" s="430" t="s">
        <v>5</v>
      </c>
      <c r="F2" s="430" t="s">
        <v>51</v>
      </c>
      <c r="G2" s="431" t="s">
        <v>93</v>
      </c>
      <c r="H2" s="431" t="s">
        <v>9</v>
      </c>
      <c r="I2" s="431" t="s">
        <v>10</v>
      </c>
      <c r="J2" s="437" t="s">
        <v>94</v>
      </c>
      <c r="K2" s="431" t="s">
        <v>95</v>
      </c>
      <c r="L2" s="438" t="s">
        <v>96</v>
      </c>
      <c r="M2" s="431" t="s">
        <v>31</v>
      </c>
      <c r="N2" s="436" t="s">
        <v>89</v>
      </c>
      <c r="O2" s="278"/>
      <c r="P2" s="278"/>
      <c r="Q2" s="1" t="s">
        <v>97</v>
      </c>
      <c r="R2" s="126" t="s">
        <v>98</v>
      </c>
    </row>
    <row r="3" s="64" customFormat="1" ht="23.25" customHeight="1" spans="1:18">
      <c r="A3" s="64" t="s">
        <v>99</v>
      </c>
      <c r="B3" s="432" t="s">
        <v>100</v>
      </c>
      <c r="C3" s="433">
        <v>46139</v>
      </c>
      <c r="D3" s="434"/>
      <c r="E3" s="434"/>
      <c r="F3" s="434" t="s">
        <v>101</v>
      </c>
      <c r="G3" s="435">
        <v>31</v>
      </c>
      <c r="H3" s="435" t="s">
        <v>102</v>
      </c>
      <c r="I3" s="439" t="s">
        <v>103</v>
      </c>
      <c r="J3" s="440"/>
      <c r="K3" s="256"/>
      <c r="L3" s="441" t="s">
        <v>104</v>
      </c>
      <c r="M3" s="256"/>
      <c r="N3" s="439" t="s">
        <v>103</v>
      </c>
      <c r="O3" s="278">
        <v>1108137</v>
      </c>
      <c r="P3" s="278"/>
      <c r="Q3" s="1" t="s">
        <v>105</v>
      </c>
      <c r="R3" s="126" t="e">
        <v>#N/A</v>
      </c>
    </row>
  </sheetData>
  <mergeCells count="1">
    <mergeCell ref="B1:M1"/>
  </mergeCells>
  <conditionalFormatting sqref="I1">
    <cfRule type="duplicateValues" dxfId="0" priority="2"/>
  </conditionalFormatting>
  <conditionalFormatting sqref="I2">
    <cfRule type="duplicateValues" dxfId="0" priority="1"/>
  </conditionalFormatting>
  <conditionalFormatting sqref="I3">
    <cfRule type="duplicateValues" dxfId="0" priority="7"/>
  </conditionalFormatting>
  <conditionalFormatting sqref="N3">
    <cfRule type="duplicateValues" dxfId="0" priority="9"/>
    <cfRule type="duplicateValues" dxfId="0" priority="8"/>
  </conditionalFormatting>
  <conditionalFormatting sqref="O3">
    <cfRule type="duplicateValues" dxfId="0" priority="6"/>
  </conditionalFormatting>
  <conditionalFormatting sqref="N1:N2">
    <cfRule type="duplicateValues" dxfId="0" priority="5"/>
    <cfRule type="duplicateValues" dxfId="0" priority="4"/>
  </conditionalFormatting>
  <conditionalFormatting sqref="O1:O2">
    <cfRule type="duplicateValues" dxfId="0" priority="3"/>
  </conditionalFormatting>
  <pageMargins left="0.699305555555556" right="0.699305555555556"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S24"/>
  <sheetViews>
    <sheetView tabSelected="1" workbookViewId="0">
      <selection activeCell="C6" sqref="C6"/>
    </sheetView>
  </sheetViews>
  <sheetFormatPr defaultColWidth="9" defaultRowHeight="13.5"/>
  <cols>
    <col min="2" max="2" width="18.625" customWidth="1"/>
    <col min="3" max="3" width="12.5" customWidth="1"/>
    <col min="4" max="4" width="17.875" customWidth="1"/>
    <col min="5" max="5" width="24.375" customWidth="1"/>
  </cols>
  <sheetData>
    <row r="1" s="64" customFormat="1" ht="27" customHeight="1" spans="1:6">
      <c r="A1" s="392" t="s">
        <v>106</v>
      </c>
      <c r="B1" s="393"/>
      <c r="C1" s="394" t="s">
        <v>107</v>
      </c>
      <c r="D1" s="395"/>
      <c r="E1" s="395"/>
      <c r="F1" s="395"/>
    </row>
    <row r="2" s="64" customFormat="1" ht="53.25" customHeight="1" spans="1:6">
      <c r="A2" s="392" t="s">
        <v>108</v>
      </c>
      <c r="B2" s="392" t="s">
        <v>109</v>
      </c>
      <c r="C2" s="392" t="s">
        <v>110</v>
      </c>
      <c r="D2" s="392" t="s">
        <v>111</v>
      </c>
      <c r="E2" s="392" t="s">
        <v>112</v>
      </c>
      <c r="F2" s="393"/>
    </row>
    <row r="3" s="64" customFormat="1" ht="39.75" spans="1:6">
      <c r="A3" s="392" t="s">
        <v>113</v>
      </c>
      <c r="B3" s="393"/>
      <c r="C3" s="392" t="s">
        <v>114</v>
      </c>
      <c r="D3" s="392" t="s">
        <v>115</v>
      </c>
      <c r="E3" s="392" t="s">
        <v>116</v>
      </c>
      <c r="F3" s="392"/>
    </row>
    <row r="4" s="64" customFormat="1" ht="27" customHeight="1" spans="1:6">
      <c r="A4" s="392" t="s">
        <v>91</v>
      </c>
      <c r="B4" s="393" t="s">
        <v>117</v>
      </c>
      <c r="C4" s="392" t="s">
        <v>118</v>
      </c>
      <c r="D4" s="393"/>
      <c r="E4" s="392" t="s">
        <v>119</v>
      </c>
      <c r="F4" s="393" t="s">
        <v>120</v>
      </c>
    </row>
    <row r="5" s="64" customFormat="1" ht="27" customHeight="1" spans="1:6">
      <c r="A5" s="392" t="s">
        <v>121</v>
      </c>
      <c r="B5" s="392"/>
      <c r="C5" s="392" t="s">
        <v>122</v>
      </c>
      <c r="D5" s="393"/>
      <c r="E5" s="392" t="s">
        <v>123</v>
      </c>
      <c r="F5" s="393"/>
    </row>
    <row r="6" s="64" customFormat="1" ht="27" customHeight="1" spans="1:6">
      <c r="A6" s="392" t="s">
        <v>124</v>
      </c>
      <c r="B6" s="392" t="s">
        <v>125</v>
      </c>
      <c r="C6" s="392" t="s">
        <v>122</v>
      </c>
      <c r="D6" s="393"/>
      <c r="E6" s="392" t="s">
        <v>126</v>
      </c>
      <c r="F6" s="392"/>
    </row>
    <row r="7" s="64" customFormat="1" ht="27" customHeight="1" spans="1:6">
      <c r="A7" s="392" t="s">
        <v>127</v>
      </c>
      <c r="B7" s="392" t="s">
        <v>128</v>
      </c>
      <c r="C7" s="392" t="s">
        <v>122</v>
      </c>
      <c r="D7" s="393"/>
      <c r="E7" s="395"/>
      <c r="F7" s="395"/>
    </row>
    <row r="8" s="64" customFormat="1"/>
    <row r="9" s="64" customFormat="1"/>
    <row r="10" s="64" customFormat="1"/>
    <row r="11" s="64" customFormat="1" ht="25.5" customHeight="1" spans="1:12">
      <c r="A11" s="396">
        <v>1</v>
      </c>
      <c r="B11" s="397" t="s">
        <v>11</v>
      </c>
      <c r="C11" s="397" t="s">
        <v>129</v>
      </c>
      <c r="D11" s="397" t="s">
        <v>130</v>
      </c>
      <c r="E11" s="398" t="s">
        <v>131</v>
      </c>
      <c r="F11" s="397" t="s">
        <v>26</v>
      </c>
      <c r="G11" s="397" t="s">
        <v>132</v>
      </c>
      <c r="H11" s="397" t="s">
        <v>133</v>
      </c>
      <c r="I11" s="397" t="s">
        <v>134</v>
      </c>
      <c r="J11" s="397" t="s">
        <v>135</v>
      </c>
      <c r="K11" s="397" t="s">
        <v>136</v>
      </c>
      <c r="L11" s="413" t="s">
        <v>137</v>
      </c>
    </row>
    <row r="12" s="64" customFormat="1" ht="25.5" customHeight="1" spans="1:12">
      <c r="A12" s="396"/>
      <c r="B12" s="398">
        <v>1</v>
      </c>
      <c r="C12" s="397" t="s">
        <v>128</v>
      </c>
      <c r="D12" s="398"/>
      <c r="E12" s="398"/>
      <c r="F12" s="398"/>
      <c r="G12" s="397"/>
      <c r="H12" s="398" t="s">
        <v>138</v>
      </c>
      <c r="I12" s="398" t="s">
        <v>138</v>
      </c>
      <c r="J12" s="397" t="s">
        <v>139</v>
      </c>
      <c r="K12" s="397" t="s">
        <v>140</v>
      </c>
      <c r="L12" s="414"/>
    </row>
    <row r="13" s="64" customFormat="1" ht="25.5" customHeight="1" spans="1:12">
      <c r="A13" s="396"/>
      <c r="B13" s="398"/>
      <c r="C13" s="397" t="s">
        <v>141</v>
      </c>
      <c r="D13" s="397" t="s">
        <v>142</v>
      </c>
      <c r="E13" s="397" t="s">
        <v>143</v>
      </c>
      <c r="F13" s="397" t="s">
        <v>144</v>
      </c>
      <c r="G13" s="397" t="s">
        <v>145</v>
      </c>
      <c r="H13" s="397" t="s">
        <v>146</v>
      </c>
      <c r="I13" s="397" t="s">
        <v>147</v>
      </c>
      <c r="J13" s="397" t="s">
        <v>148</v>
      </c>
      <c r="K13" s="397" t="s">
        <v>31</v>
      </c>
      <c r="L13" s="414"/>
    </row>
    <row r="14" s="64" customFormat="1" ht="25.5" customHeight="1" spans="1:12">
      <c r="A14" s="396"/>
      <c r="B14" s="398"/>
      <c r="C14" s="398"/>
      <c r="D14" s="398" t="s">
        <v>138</v>
      </c>
      <c r="E14" s="398">
        <v>1</v>
      </c>
      <c r="F14" s="397" t="s">
        <v>149</v>
      </c>
      <c r="G14" s="398" t="s">
        <v>138</v>
      </c>
      <c r="H14" s="398"/>
      <c r="I14" s="397" t="s">
        <v>150</v>
      </c>
      <c r="J14" s="397" t="s">
        <v>150</v>
      </c>
      <c r="K14" s="398" t="s">
        <v>151</v>
      </c>
      <c r="L14" s="414"/>
    </row>
    <row r="15" s="64" customFormat="1" ht="25.5" customHeight="1" spans="1:11">
      <c r="A15" s="399">
        <v>2</v>
      </c>
      <c r="B15" s="397" t="s">
        <v>11</v>
      </c>
      <c r="C15" s="397" t="s">
        <v>129</v>
      </c>
      <c r="D15" s="397" t="s">
        <v>130</v>
      </c>
      <c r="E15" s="398" t="s">
        <v>131</v>
      </c>
      <c r="F15" s="397" t="s">
        <v>26</v>
      </c>
      <c r="G15" s="397" t="s">
        <v>132</v>
      </c>
      <c r="H15" s="397" t="s">
        <v>133</v>
      </c>
      <c r="I15" s="397" t="s">
        <v>134</v>
      </c>
      <c r="J15" s="397" t="s">
        <v>135</v>
      </c>
      <c r="K15" s="397" t="s">
        <v>136</v>
      </c>
    </row>
    <row r="16" s="64" customFormat="1" ht="25.5" customHeight="1" spans="1:11">
      <c r="A16" s="399"/>
      <c r="B16" s="396">
        <v>1</v>
      </c>
      <c r="C16" s="397" t="s">
        <v>128</v>
      </c>
      <c r="D16" s="398"/>
      <c r="E16" s="398"/>
      <c r="F16" s="398"/>
      <c r="G16" s="397"/>
      <c r="H16" s="398" t="s">
        <v>138</v>
      </c>
      <c r="I16" s="398" t="s">
        <v>138</v>
      </c>
      <c r="J16" s="397" t="s">
        <v>139</v>
      </c>
      <c r="K16" s="397" t="s">
        <v>140</v>
      </c>
    </row>
    <row r="17" s="64" customFormat="1" ht="25.5" customHeight="1" spans="1:11">
      <c r="A17" s="399"/>
      <c r="B17" s="396"/>
      <c r="C17" s="400" t="s">
        <v>141</v>
      </c>
      <c r="D17" s="400" t="s">
        <v>142</v>
      </c>
      <c r="E17" s="400" t="s">
        <v>143</v>
      </c>
      <c r="F17" s="400" t="s">
        <v>144</v>
      </c>
      <c r="G17" s="400" t="s">
        <v>145</v>
      </c>
      <c r="H17" s="400" t="s">
        <v>146</v>
      </c>
      <c r="I17" s="400" t="s">
        <v>147</v>
      </c>
      <c r="J17" s="400" t="s">
        <v>148</v>
      </c>
      <c r="K17" s="400" t="s">
        <v>31</v>
      </c>
    </row>
    <row r="18" s="64" customFormat="1" ht="25.5" customHeight="1" spans="1:11">
      <c r="A18" s="399"/>
      <c r="B18" s="396"/>
      <c r="C18" s="398"/>
      <c r="D18" s="399" t="s">
        <v>138</v>
      </c>
      <c r="E18" s="400"/>
      <c r="F18" s="400" t="s">
        <v>149</v>
      </c>
      <c r="G18" s="399" t="s">
        <v>138</v>
      </c>
      <c r="H18" s="399"/>
      <c r="I18" s="400" t="s">
        <v>150</v>
      </c>
      <c r="J18" s="400" t="s">
        <v>150</v>
      </c>
      <c r="K18" s="399" t="s">
        <v>152</v>
      </c>
    </row>
    <row r="20" ht="14.25"/>
    <row r="21" s="390" customFormat="1" ht="36.75" customHeight="1" spans="1:16">
      <c r="A21" s="401" t="s">
        <v>153</v>
      </c>
      <c r="B21" s="401"/>
      <c r="C21" s="401"/>
      <c r="D21" s="401"/>
      <c r="E21" s="401"/>
      <c r="F21" s="401"/>
      <c r="G21" s="401"/>
      <c r="H21" s="401"/>
      <c r="I21" s="401"/>
      <c r="J21" s="401"/>
      <c r="K21" s="401"/>
      <c r="L21" s="401"/>
      <c r="M21" s="415" t="s">
        <v>154</v>
      </c>
      <c r="N21" s="416"/>
      <c r="P21" s="417"/>
    </row>
    <row r="22" s="390" customFormat="1" ht="28.5" customHeight="1" spans="1:16">
      <c r="A22" s="402" t="s">
        <v>11</v>
      </c>
      <c r="B22" s="403" t="s">
        <v>155</v>
      </c>
      <c r="C22" s="404" t="s">
        <v>9</v>
      </c>
      <c r="D22" s="405" t="s">
        <v>156</v>
      </c>
      <c r="E22" s="406" t="s">
        <v>157</v>
      </c>
      <c r="F22" s="404" t="s">
        <v>158</v>
      </c>
      <c r="G22" s="407" t="s">
        <v>159</v>
      </c>
      <c r="H22" s="404" t="s">
        <v>127</v>
      </c>
      <c r="I22" s="406" t="s">
        <v>160</v>
      </c>
      <c r="J22" s="406"/>
      <c r="K22" s="418" t="s">
        <v>31</v>
      </c>
      <c r="L22" s="419" t="s">
        <v>91</v>
      </c>
      <c r="M22" s="420"/>
      <c r="N22" s="421"/>
      <c r="P22" s="417"/>
    </row>
    <row r="23" s="391" customFormat="1" ht="19.15" customHeight="1" spans="1:19">
      <c r="A23" s="408" t="s">
        <v>19</v>
      </c>
      <c r="B23" s="409"/>
      <c r="C23" s="410" t="s">
        <v>161</v>
      </c>
      <c r="D23" s="410">
        <v>24</v>
      </c>
      <c r="E23" s="410"/>
      <c r="F23" s="410" t="s">
        <v>162</v>
      </c>
      <c r="G23" s="410"/>
      <c r="H23" s="411" t="s">
        <v>128</v>
      </c>
      <c r="I23" s="422"/>
      <c r="J23" s="410"/>
      <c r="K23" s="410"/>
      <c r="L23" s="423">
        <v>46140</v>
      </c>
      <c r="M23" s="391">
        <v>1108166</v>
      </c>
      <c r="O23" s="391" t="s">
        <v>15</v>
      </c>
      <c r="P23" s="391" t="s">
        <v>163</v>
      </c>
      <c r="Q23" s="426"/>
      <c r="R23" s="426"/>
      <c r="S23" s="426"/>
    </row>
    <row r="24" s="391" customFormat="1" ht="19.15" customHeight="1" spans="1:19">
      <c r="A24" s="410"/>
      <c r="C24" s="412" t="s">
        <v>164</v>
      </c>
      <c r="D24" s="412">
        <v>24</v>
      </c>
      <c r="E24" s="412"/>
      <c r="F24" s="412" t="s">
        <v>165</v>
      </c>
      <c r="G24" s="412"/>
      <c r="H24" s="411" t="s">
        <v>128</v>
      </c>
      <c r="I24" s="424"/>
      <c r="J24" s="412"/>
      <c r="K24" s="412"/>
      <c r="L24" s="425">
        <v>46140</v>
      </c>
      <c r="M24" s="391">
        <v>1108217</v>
      </c>
      <c r="O24" s="391" t="s">
        <v>15</v>
      </c>
      <c r="P24" s="391" t="s">
        <v>166</v>
      </c>
      <c r="Q24" s="426"/>
      <c r="R24" s="426"/>
      <c r="S24" s="426"/>
    </row>
  </sheetData>
  <mergeCells count="8">
    <mergeCell ref="D1:E1"/>
    <mergeCell ref="A21:L21"/>
    <mergeCell ref="A11:A14"/>
    <mergeCell ref="A15:A18"/>
    <mergeCell ref="A23:A24"/>
    <mergeCell ref="B12:B14"/>
    <mergeCell ref="B16:B18"/>
    <mergeCell ref="L11:L14"/>
  </mergeCells>
  <conditionalFormatting sqref="M21">
    <cfRule type="duplicateValues" dxfId="0" priority="3"/>
  </conditionalFormatting>
  <conditionalFormatting sqref="M23">
    <cfRule type="duplicateValues" dxfId="0" priority="6"/>
  </conditionalFormatting>
  <conditionalFormatting sqref="M24">
    <cfRule type="duplicateValues" dxfId="0" priority="5"/>
  </conditionalFormatting>
  <conditionalFormatting sqref="C21:C22">
    <cfRule type="containsText" dxfId="1" priority="2" operator="between" text="W">
      <formula>NOT(ISERROR(SEARCH("W",C21)))</formula>
    </cfRule>
  </conditionalFormatting>
  <conditionalFormatting sqref="F21:F22">
    <cfRule type="duplicateValues" dxfId="0" priority="1"/>
  </conditionalFormatting>
  <conditionalFormatting sqref="M21:M22">
    <cfRule type="duplicateValues" dxfId="0" priority="4"/>
  </conditionalFormatting>
  <pageMargins left="0.699305555555556" right="0.699305555555556"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U3"/>
  <sheetViews>
    <sheetView workbookViewId="0">
      <selection activeCell="F28" sqref="F28"/>
    </sheetView>
  </sheetViews>
  <sheetFormatPr defaultColWidth="9" defaultRowHeight="13.5" outlineLevelRow="2"/>
  <sheetData>
    <row r="1" ht="50.1" customHeight="1" spans="1:21">
      <c r="A1" s="378" t="s">
        <v>167</v>
      </c>
      <c r="B1" s="379"/>
      <c r="C1" s="379"/>
      <c r="D1" s="379"/>
      <c r="E1" s="379"/>
      <c r="F1" s="379"/>
      <c r="G1" s="379"/>
      <c r="H1" s="379"/>
      <c r="I1" s="379"/>
      <c r="J1" s="379"/>
      <c r="K1" s="379"/>
      <c r="L1" s="379"/>
      <c r="M1" s="379"/>
      <c r="N1" s="379"/>
      <c r="O1" s="387"/>
      <c r="P1" s="40"/>
      <c r="Q1" s="389" t="str">
        <f t="shared" ref="Q1:Q2" si="0">710&amp;R1</f>
        <v>710</v>
      </c>
      <c r="R1" s="106"/>
      <c r="S1" s="106" t="e">
        <f>VLOOKUP(Q1,[4]数据!B:AE,30,FALSE)</f>
        <v>#N/A</v>
      </c>
      <c r="T1" s="106" t="e">
        <f>VLOOKUP(Q1,[4]数据!B:F,5,FALSE)</f>
        <v>#N/A</v>
      </c>
      <c r="U1" s="106" t="e">
        <f>VLOOKUP(Q1,[4]数据!B:G,6,FALSE)</f>
        <v>#N/A</v>
      </c>
    </row>
    <row r="2" ht="50.1" customHeight="1" spans="1:21">
      <c r="A2" s="380" t="s">
        <v>3</v>
      </c>
      <c r="B2" s="381" t="s">
        <v>11</v>
      </c>
      <c r="C2" s="382" t="s">
        <v>168</v>
      </c>
      <c r="D2" s="328" t="s">
        <v>169</v>
      </c>
      <c r="E2" s="383" t="s">
        <v>170</v>
      </c>
      <c r="F2" s="383" t="s">
        <v>171</v>
      </c>
      <c r="G2" s="384" t="s">
        <v>172</v>
      </c>
      <c r="H2" s="383" t="s">
        <v>9</v>
      </c>
      <c r="I2" s="384" t="s">
        <v>173</v>
      </c>
      <c r="J2" s="328" t="s">
        <v>174</v>
      </c>
      <c r="K2" s="328" t="s">
        <v>8</v>
      </c>
      <c r="L2" s="328" t="s">
        <v>175</v>
      </c>
      <c r="M2" s="383" t="s">
        <v>176</v>
      </c>
      <c r="N2" s="383" t="s">
        <v>177</v>
      </c>
      <c r="O2" s="348" t="s">
        <v>178</v>
      </c>
      <c r="P2" s="40"/>
      <c r="Q2" s="389" t="str">
        <f t="shared" si="0"/>
        <v>710</v>
      </c>
      <c r="R2" s="106"/>
      <c r="S2" s="106" t="e">
        <f>VLOOKUP(Q2,[4]数据!B:AE,30,FALSE)</f>
        <v>#N/A</v>
      </c>
      <c r="T2" s="106" t="e">
        <f>VLOOKUP(Q2,[4]数据!B:F,5,FALSE)</f>
        <v>#N/A</v>
      </c>
      <c r="U2" s="106" t="e">
        <f>VLOOKUP(Q2,[4]数据!B:G,6,FALSE)</f>
        <v>#N/A</v>
      </c>
    </row>
    <row r="3" ht="22.5" customHeight="1" spans="1:21">
      <c r="A3" s="5">
        <v>1</v>
      </c>
      <c r="B3" s="385" t="s">
        <v>19</v>
      </c>
      <c r="C3" s="386">
        <v>46139</v>
      </c>
      <c r="D3" s="40"/>
      <c r="E3" s="40"/>
      <c r="F3" s="40" t="s">
        <v>179</v>
      </c>
      <c r="G3" s="40" t="s">
        <v>180</v>
      </c>
      <c r="H3" s="40" t="s">
        <v>181</v>
      </c>
      <c r="I3" s="40">
        <v>1.2</v>
      </c>
      <c r="J3" s="40">
        <v>50</v>
      </c>
      <c r="K3" s="388">
        <v>23</v>
      </c>
      <c r="L3" s="40">
        <v>107</v>
      </c>
      <c r="M3" s="40" t="s">
        <v>182</v>
      </c>
      <c r="N3" s="40"/>
      <c r="O3" s="40" t="s">
        <v>183</v>
      </c>
      <c r="P3" s="40"/>
      <c r="Q3" s="389" t="s">
        <v>184</v>
      </c>
      <c r="R3" s="106">
        <v>1108214</v>
      </c>
      <c r="S3" s="106" t="s">
        <v>185</v>
      </c>
      <c r="T3" s="106" t="s">
        <v>186</v>
      </c>
      <c r="U3" s="106" t="s">
        <v>187</v>
      </c>
    </row>
  </sheetData>
  <mergeCells count="1">
    <mergeCell ref="A1:O1"/>
  </mergeCells>
  <conditionalFormatting sqref="Q3">
    <cfRule type="duplicateValues" dxfId="0" priority="2"/>
  </conditionalFormatting>
  <conditionalFormatting sqref="Q1:Q2">
    <cfRule type="duplicateValues" dxfId="0" priority="1"/>
  </conditionalFormatting>
  <pageMargins left="0.699305555555556" right="0.699305555555556"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O3"/>
  <sheetViews>
    <sheetView workbookViewId="0">
      <selection activeCell="F32" sqref="F32"/>
    </sheetView>
  </sheetViews>
  <sheetFormatPr defaultColWidth="9" defaultRowHeight="13.5" outlineLevelRow="2"/>
  <cols>
    <col min="2" max="2" width="15.125" customWidth="1"/>
    <col min="3" max="3" width="15" customWidth="1"/>
    <col min="5" max="5" width="17.875" customWidth="1"/>
    <col min="6" max="6" width="12.875" customWidth="1"/>
    <col min="10" max="11" width="12.5" customWidth="1"/>
  </cols>
  <sheetData>
    <row r="1" s="1" customFormat="1" ht="50.1" customHeight="1" spans="1:14">
      <c r="A1" s="369" t="s">
        <v>188</v>
      </c>
      <c r="B1" s="370"/>
      <c r="C1" s="370"/>
      <c r="D1" s="370"/>
      <c r="E1" s="370"/>
      <c r="F1" s="370"/>
      <c r="G1" s="370"/>
      <c r="H1" s="370"/>
      <c r="I1" s="370"/>
      <c r="J1" s="370"/>
      <c r="K1" s="370"/>
      <c r="L1" s="5"/>
      <c r="M1" s="288" t="s">
        <v>189</v>
      </c>
      <c r="N1" s="1" t="e">
        <f>VLOOKUP(F1,[5]数据!B:G,6,FALSE)</f>
        <v>#N/A</v>
      </c>
    </row>
    <row r="2" s="1" customFormat="1" ht="50.1" customHeight="1" spans="1:14">
      <c r="A2" s="371" t="s">
        <v>3</v>
      </c>
      <c r="B2" s="372" t="s">
        <v>155</v>
      </c>
      <c r="C2" s="373" t="s">
        <v>9</v>
      </c>
      <c r="D2" s="374" t="s">
        <v>190</v>
      </c>
      <c r="E2" s="374" t="s">
        <v>191</v>
      </c>
      <c r="F2" s="375" t="s">
        <v>158</v>
      </c>
      <c r="G2" s="373" t="s">
        <v>31</v>
      </c>
      <c r="H2" s="376" t="s">
        <v>127</v>
      </c>
      <c r="I2" s="376" t="s">
        <v>160</v>
      </c>
      <c r="J2" s="376" t="s">
        <v>192</v>
      </c>
      <c r="K2" s="377" t="s">
        <v>193</v>
      </c>
      <c r="L2" s="5"/>
      <c r="M2" s="1" t="e">
        <f>VLOOKUP(F2,[5]数据!B:F,5,FALSE)</f>
        <v>#N/A</v>
      </c>
      <c r="N2" s="1" t="e">
        <f>VLOOKUP(F2,[5]数据!B:G,6,FALSE)</f>
        <v>#N/A</v>
      </c>
    </row>
    <row r="3" s="1" customFormat="1" ht="18.75" customHeight="1" spans="1:15">
      <c r="A3" s="5" t="s">
        <v>19</v>
      </c>
      <c r="B3" s="5"/>
      <c r="C3" s="5" t="s">
        <v>194</v>
      </c>
      <c r="D3" s="5">
        <v>171</v>
      </c>
      <c r="E3" s="5" t="s">
        <v>195</v>
      </c>
      <c r="F3" s="5" t="s">
        <v>196</v>
      </c>
      <c r="G3" s="5" t="s">
        <v>197</v>
      </c>
      <c r="H3" s="5" t="s">
        <v>198</v>
      </c>
      <c r="I3" s="5"/>
      <c r="J3" s="254">
        <v>45991</v>
      </c>
      <c r="K3" s="254">
        <v>46139</v>
      </c>
      <c r="L3" s="5">
        <v>1095411</v>
      </c>
      <c r="M3" s="1" t="s">
        <v>199</v>
      </c>
      <c r="O3" s="1" t="s">
        <v>200</v>
      </c>
    </row>
  </sheetData>
  <mergeCells count="1">
    <mergeCell ref="A1:K1"/>
  </mergeCells>
  <conditionalFormatting sqref="F1">
    <cfRule type="duplicateValues" dxfId="0" priority="3"/>
    <cfRule type="duplicateValues" dxfId="0" priority="1"/>
  </conditionalFormatting>
  <conditionalFormatting sqref="G1">
    <cfRule type="cellIs" dxfId="2" priority="4" stopIfTrue="1" operator="equal">
      <formula>"FALSH"</formula>
    </cfRule>
    <cfRule type="cellIs" dxfId="2" priority="2" stopIfTrue="1" operator="equal">
      <formula>"FALSH"</formula>
    </cfRule>
  </conditionalFormatting>
  <conditionalFormatting sqref="F2">
    <cfRule type="duplicateValues" dxfId="0" priority="5"/>
  </conditionalFormatting>
  <conditionalFormatting sqref="G2">
    <cfRule type="cellIs" dxfId="2" priority="6" stopIfTrue="1" operator="equal">
      <formula>"FALSH"</formula>
    </cfRule>
  </conditionalFormatting>
  <conditionalFormatting sqref="L3">
    <cfRule type="duplicateValues" dxfId="0" priority="8"/>
  </conditionalFormatting>
  <conditionalFormatting sqref="L1:L2">
    <cfRule type="duplicateValues" dxfId="0" priority="7"/>
  </conditionalFormatting>
  <pageMargins left="0.699305555555556" right="0.699305555555556"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P3"/>
  <sheetViews>
    <sheetView workbookViewId="0">
      <selection activeCell="J28" sqref="J28"/>
    </sheetView>
  </sheetViews>
  <sheetFormatPr defaultColWidth="9" defaultRowHeight="13.5" outlineLevelRow="2"/>
  <cols>
    <col min="3" max="3" width="15.875" customWidth="1"/>
    <col min="4" max="4" width="13.5" customWidth="1"/>
    <col min="11" max="11" width="13.875" customWidth="1"/>
  </cols>
  <sheetData>
    <row r="1" s="106" customFormat="1" ht="50.1" customHeight="1" spans="1:15">
      <c r="A1" s="366" t="s">
        <v>201</v>
      </c>
      <c r="B1" s="367"/>
      <c r="C1" s="367"/>
      <c r="D1" s="367"/>
      <c r="E1" s="367"/>
      <c r="F1" s="367"/>
      <c r="G1" s="367"/>
      <c r="H1" s="367"/>
      <c r="I1" s="367"/>
      <c r="J1" s="367"/>
      <c r="K1" s="367"/>
      <c r="L1" s="367"/>
      <c r="M1" s="367"/>
      <c r="N1" s="367"/>
      <c r="O1" s="368"/>
    </row>
    <row r="2" s="106" customFormat="1" ht="50.1" customHeight="1" spans="1:15">
      <c r="A2" s="348" t="s">
        <v>3</v>
      </c>
      <c r="B2" s="348" t="s">
        <v>4</v>
      </c>
      <c r="C2" s="348" t="s">
        <v>202</v>
      </c>
      <c r="D2" s="357" t="s">
        <v>50</v>
      </c>
      <c r="E2" s="357" t="s">
        <v>6</v>
      </c>
      <c r="F2" s="348" t="s">
        <v>7</v>
      </c>
      <c r="G2" s="348" t="s">
        <v>8</v>
      </c>
      <c r="H2" s="348" t="s">
        <v>9</v>
      </c>
      <c r="I2" s="348" t="s">
        <v>10</v>
      </c>
      <c r="J2" s="348" t="s">
        <v>203</v>
      </c>
      <c r="K2" s="348" t="s">
        <v>204</v>
      </c>
      <c r="L2" s="357" t="s">
        <v>205</v>
      </c>
      <c r="M2" s="357" t="s">
        <v>206</v>
      </c>
      <c r="N2" s="357" t="s">
        <v>11</v>
      </c>
      <c r="O2" s="357" t="s">
        <v>91</v>
      </c>
    </row>
    <row r="3" s="106" customFormat="1" ht="24.75" customHeight="1" spans="1:16">
      <c r="A3" s="40">
        <v>1</v>
      </c>
      <c r="B3" s="40"/>
      <c r="C3" s="40"/>
      <c r="D3" s="40"/>
      <c r="E3" s="40" t="s">
        <v>15</v>
      </c>
      <c r="F3" s="40" t="s">
        <v>207</v>
      </c>
      <c r="G3" s="40">
        <v>278</v>
      </c>
      <c r="H3" s="40" t="s">
        <v>208</v>
      </c>
      <c r="I3" s="40" t="s">
        <v>209</v>
      </c>
      <c r="J3" s="40" t="s">
        <v>210</v>
      </c>
      <c r="K3" s="40" t="s">
        <v>211</v>
      </c>
      <c r="L3" s="40" t="s">
        <v>212</v>
      </c>
      <c r="M3" s="40"/>
      <c r="N3" s="40" t="s">
        <v>213</v>
      </c>
      <c r="O3" s="31">
        <v>46139</v>
      </c>
      <c r="P3" s="106">
        <v>1106510</v>
      </c>
    </row>
  </sheetData>
  <mergeCells count="1">
    <mergeCell ref="A1:O1"/>
  </mergeCells>
  <conditionalFormatting sqref="P3">
    <cfRule type="duplicateValues" dxfId="0" priority="2"/>
  </conditionalFormatting>
  <conditionalFormatting sqref="P1:P2">
    <cfRule type="duplicateValues" dxfId="0" priority="1"/>
  </conditionalFormatting>
  <pageMargins left="0.699305555555556" right="0.699305555555556"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O3"/>
  <sheetViews>
    <sheetView workbookViewId="0">
      <selection activeCell="K31" sqref="K31"/>
    </sheetView>
  </sheetViews>
  <sheetFormatPr defaultColWidth="9" defaultRowHeight="13.5" outlineLevelRow="2"/>
  <sheetData>
    <row r="1" s="64" customFormat="1" ht="50.1" customHeight="1" spans="1:15">
      <c r="A1" s="65" t="s">
        <v>214</v>
      </c>
      <c r="B1" s="66"/>
      <c r="C1" s="66"/>
      <c r="D1" s="66"/>
      <c r="E1" s="66"/>
      <c r="F1" s="66"/>
      <c r="G1" s="66"/>
      <c r="H1" s="66"/>
      <c r="I1" s="66"/>
      <c r="J1" s="66"/>
      <c r="K1" s="66"/>
      <c r="L1" s="66"/>
      <c r="M1" s="71"/>
      <c r="N1" s="361" t="str">
        <f t="shared" ref="N1:N2" si="0">"710"&amp;O1</f>
        <v>710</v>
      </c>
      <c r="O1" s="362"/>
    </row>
    <row r="2" s="64" customFormat="1" ht="50.1" customHeight="1" spans="1:15">
      <c r="A2" s="360" t="s">
        <v>3</v>
      </c>
      <c r="B2" s="360" t="s">
        <v>4</v>
      </c>
      <c r="C2" s="360" t="s">
        <v>5</v>
      </c>
      <c r="D2" s="360" t="s">
        <v>6</v>
      </c>
      <c r="E2" s="360" t="s">
        <v>53</v>
      </c>
      <c r="F2" s="360" t="s">
        <v>54</v>
      </c>
      <c r="G2" s="360" t="s">
        <v>28</v>
      </c>
      <c r="H2" s="360" t="s">
        <v>8</v>
      </c>
      <c r="I2" s="360" t="s">
        <v>9</v>
      </c>
      <c r="J2" s="363" t="s">
        <v>215</v>
      </c>
      <c r="K2" s="360" t="s">
        <v>205</v>
      </c>
      <c r="L2" s="363" t="s">
        <v>11</v>
      </c>
      <c r="M2" s="364" t="s">
        <v>91</v>
      </c>
      <c r="N2" s="361" t="str">
        <f t="shared" si="0"/>
        <v>710</v>
      </c>
      <c r="O2" s="362"/>
    </row>
    <row r="3" s="64" customFormat="1" ht="22.5" customHeight="1" spans="1:15">
      <c r="A3" s="40">
        <v>1</v>
      </c>
      <c r="B3" s="40"/>
      <c r="C3" s="40"/>
      <c r="D3" s="40" t="s">
        <v>216</v>
      </c>
      <c r="E3" s="40" t="s">
        <v>217</v>
      </c>
      <c r="F3" s="40" t="s">
        <v>217</v>
      </c>
      <c r="G3" s="40" t="s">
        <v>218</v>
      </c>
      <c r="H3" s="40">
        <v>155</v>
      </c>
      <c r="I3" s="40" t="s">
        <v>219</v>
      </c>
      <c r="J3" s="40"/>
      <c r="K3" s="365"/>
      <c r="L3" s="40" t="s">
        <v>19</v>
      </c>
      <c r="M3" s="31">
        <v>46137</v>
      </c>
      <c r="N3" s="361" t="s">
        <v>220</v>
      </c>
      <c r="O3" s="362">
        <v>1106547</v>
      </c>
    </row>
  </sheetData>
  <mergeCells count="1">
    <mergeCell ref="A1:M1"/>
  </mergeCells>
  <conditionalFormatting sqref="N3">
    <cfRule type="duplicateValues" dxfId="0" priority="2"/>
  </conditionalFormatting>
  <conditionalFormatting sqref="N1:N2">
    <cfRule type="duplicateValues" dxfId="0" priority="1"/>
  </conditionalFormatting>
  <pageMargins left="0.699305555555556" right="0.699305555555556"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S4"/>
  <sheetViews>
    <sheetView workbookViewId="0">
      <selection activeCell="I28" sqref="I28"/>
    </sheetView>
  </sheetViews>
  <sheetFormatPr defaultColWidth="9" defaultRowHeight="13.5" outlineLevelRow="3"/>
  <sheetData>
    <row r="1" s="106" customFormat="1" ht="41.25" customHeight="1" spans="1:19">
      <c r="A1" s="342" t="s">
        <v>221</v>
      </c>
      <c r="B1" s="342"/>
      <c r="C1" s="342"/>
      <c r="D1" s="342"/>
      <c r="E1" s="342"/>
      <c r="F1" s="342"/>
      <c r="G1" s="342"/>
      <c r="H1" s="342"/>
      <c r="I1" s="342"/>
      <c r="J1" s="342"/>
      <c r="K1" s="342"/>
      <c r="L1" s="342"/>
      <c r="M1" s="342"/>
      <c r="N1" s="342"/>
      <c r="O1" s="277"/>
      <c r="P1" s="354"/>
      <c r="Q1" s="106" t="e">
        <v>#N/A</v>
      </c>
      <c r="R1" s="106" t="e">
        <v>#N/A</v>
      </c>
      <c r="S1" s="106" t="e">
        <v>#N/A</v>
      </c>
    </row>
    <row r="2" s="106" customFormat="1" ht="41.25" customHeight="1" spans="1:19">
      <c r="A2" s="343" t="s">
        <v>222</v>
      </c>
      <c r="B2" s="343"/>
      <c r="C2" s="344">
        <v>46126</v>
      </c>
      <c r="D2" s="345" t="s">
        <v>223</v>
      </c>
      <c r="E2" s="345"/>
      <c r="F2" s="345"/>
      <c r="G2" s="345"/>
      <c r="H2" s="345"/>
      <c r="I2" s="345"/>
      <c r="J2" s="345"/>
      <c r="K2" s="345"/>
      <c r="L2" s="355" t="s">
        <v>224</v>
      </c>
      <c r="M2" s="355"/>
      <c r="N2" s="355"/>
      <c r="O2" s="277"/>
      <c r="P2" s="354"/>
      <c r="Q2" s="106" t="e">
        <v>#N/A</v>
      </c>
      <c r="R2" s="106" t="e">
        <v>#N/A</v>
      </c>
      <c r="S2" s="106" t="e">
        <v>#N/A</v>
      </c>
    </row>
    <row r="3" s="106" customFormat="1" ht="41.25" customHeight="1" spans="1:19">
      <c r="A3" s="346" t="s">
        <v>11</v>
      </c>
      <c r="B3" s="347" t="s">
        <v>168</v>
      </c>
      <c r="C3" s="348" t="s">
        <v>169</v>
      </c>
      <c r="D3" s="346" t="s">
        <v>170</v>
      </c>
      <c r="E3" s="348" t="s">
        <v>51</v>
      </c>
      <c r="F3" s="349" t="s">
        <v>171</v>
      </c>
      <c r="G3" s="350" t="s">
        <v>174</v>
      </c>
      <c r="H3" s="351" t="s">
        <v>8</v>
      </c>
      <c r="I3" s="351" t="s">
        <v>157</v>
      </c>
      <c r="J3" s="356" t="s">
        <v>9</v>
      </c>
      <c r="K3" s="357" t="s">
        <v>175</v>
      </c>
      <c r="L3" s="22" t="s">
        <v>96</v>
      </c>
      <c r="M3" s="357" t="s">
        <v>10</v>
      </c>
      <c r="N3" s="358" t="s">
        <v>225</v>
      </c>
      <c r="O3" s="277"/>
      <c r="P3" s="354"/>
      <c r="Q3" s="106" t="s">
        <v>226</v>
      </c>
      <c r="R3" s="106" t="s">
        <v>50</v>
      </c>
      <c r="S3" s="106" t="s">
        <v>51</v>
      </c>
    </row>
    <row r="4" s="106" customFormat="1" ht="23.45" customHeight="1" spans="1:19">
      <c r="A4" s="40" t="s">
        <v>19</v>
      </c>
      <c r="B4" s="352">
        <v>46126</v>
      </c>
      <c r="C4" s="40"/>
      <c r="D4" s="12"/>
      <c r="E4" s="17" t="s">
        <v>15</v>
      </c>
      <c r="F4" s="17"/>
      <c r="G4" s="17">
        <v>1008</v>
      </c>
      <c r="H4" s="353">
        <v>898</v>
      </c>
      <c r="I4" s="353">
        <v>898</v>
      </c>
      <c r="J4" s="17" t="s">
        <v>227</v>
      </c>
      <c r="K4" s="17">
        <v>175</v>
      </c>
      <c r="L4" s="359" t="s">
        <v>228</v>
      </c>
      <c r="M4" s="12" t="s">
        <v>229</v>
      </c>
      <c r="N4" s="40" t="s">
        <v>230</v>
      </c>
      <c r="O4" s="277">
        <v>1101388</v>
      </c>
      <c r="P4" s="354"/>
      <c r="Q4" s="106" t="s">
        <v>231</v>
      </c>
      <c r="R4" s="106" t="s">
        <v>232</v>
      </c>
      <c r="S4" s="106" t="s">
        <v>15</v>
      </c>
    </row>
  </sheetData>
  <mergeCells count="4">
    <mergeCell ref="A1:N1"/>
    <mergeCell ref="A2:B2"/>
    <mergeCell ref="D2:K2"/>
    <mergeCell ref="L2:N2"/>
  </mergeCells>
  <conditionalFormatting sqref="O1">
    <cfRule type="duplicateValues" dxfId="0" priority="3"/>
  </conditionalFormatting>
  <conditionalFormatting sqref="O4">
    <cfRule type="duplicateValues" dxfId="0" priority="7"/>
    <cfRule type="duplicateValues" dxfId="0" priority="6"/>
    <cfRule type="duplicateValues" dxfId="0" priority="5"/>
  </conditionalFormatting>
  <conditionalFormatting sqref="O1:O3">
    <cfRule type="duplicateValues" dxfId="0" priority="4"/>
    <cfRule type="duplicateValues" dxfId="0" priority="1"/>
  </conditionalFormatting>
  <conditionalFormatting sqref="O2:O3">
    <cfRule type="duplicateValues" dxfId="0" priority="2"/>
  </conditionalFormatting>
  <pageMargins left="0.699305555555556" right="0.699305555555556"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P4"/>
  <sheetViews>
    <sheetView workbookViewId="0">
      <selection activeCell="O27" sqref="O27"/>
    </sheetView>
  </sheetViews>
  <sheetFormatPr defaultColWidth="9" defaultRowHeight="13.5" outlineLevelRow="3"/>
  <sheetData>
    <row r="1" s="64" customFormat="1" ht="50.1" customHeight="1" spans="1:16">
      <c r="A1" s="326" t="s">
        <v>233</v>
      </c>
      <c r="B1" s="326"/>
      <c r="C1" s="326"/>
      <c r="D1" s="326"/>
      <c r="E1" s="326"/>
      <c r="F1" s="326"/>
      <c r="G1" s="326"/>
      <c r="H1" s="326"/>
      <c r="I1" s="326"/>
      <c r="J1" s="326"/>
      <c r="K1" s="326"/>
      <c r="L1" s="326"/>
      <c r="M1" s="333"/>
      <c r="N1" s="334" t="e">
        <f>VLOOKUP(I1,[6]数据!B:AE,30,FALSE)</f>
        <v>#N/A</v>
      </c>
      <c r="O1" s="334" t="e">
        <f>VLOOKUP(I1,[6]数据!B:F,5,FALSE)</f>
        <v>#N/A</v>
      </c>
      <c r="P1" s="334" t="e">
        <f>VLOOKUP('[6]5720'!I1,[6]数据!B:G,6,FALSE)</f>
        <v>#N/A</v>
      </c>
    </row>
    <row r="2" s="64" customFormat="1" ht="50.1" customHeight="1" spans="1:16">
      <c r="A2" s="326"/>
      <c r="B2" s="326"/>
      <c r="C2" s="326"/>
      <c r="D2" s="326"/>
      <c r="E2" s="327"/>
      <c r="F2" s="326"/>
      <c r="G2" s="326"/>
      <c r="H2" s="326"/>
      <c r="I2" s="326"/>
      <c r="J2" s="326"/>
      <c r="K2" s="335" t="s">
        <v>234</v>
      </c>
      <c r="L2" s="336">
        <v>46139</v>
      </c>
      <c r="M2" s="333"/>
      <c r="N2" s="334" t="e">
        <f>VLOOKUP(I2,[6]数据!B:AE,30,FALSE)</f>
        <v>#N/A</v>
      </c>
      <c r="O2" s="334" t="e">
        <f>VLOOKUP(I2,[6]数据!B:F,5,FALSE)</f>
        <v>#N/A</v>
      </c>
      <c r="P2" s="334" t="e">
        <f>VLOOKUP('[6]5720'!I2,[6]数据!B:G,6,FALSE)</f>
        <v>#N/A</v>
      </c>
    </row>
    <row r="3" s="64" customFormat="1" ht="50.25" customHeight="1" spans="1:16">
      <c r="A3" s="328" t="s">
        <v>3</v>
      </c>
      <c r="B3" s="328" t="s">
        <v>235</v>
      </c>
      <c r="C3" s="328" t="s">
        <v>51</v>
      </c>
      <c r="D3" s="328" t="s">
        <v>54</v>
      </c>
      <c r="E3" s="329" t="s">
        <v>8</v>
      </c>
      <c r="F3" s="329" t="s">
        <v>74</v>
      </c>
      <c r="G3" s="329" t="s">
        <v>236</v>
      </c>
      <c r="H3" s="328" t="s">
        <v>9</v>
      </c>
      <c r="I3" s="337" t="s">
        <v>10</v>
      </c>
      <c r="J3" s="338" t="s">
        <v>11</v>
      </c>
      <c r="K3" s="337" t="s">
        <v>215</v>
      </c>
      <c r="L3" s="337"/>
      <c r="M3" s="333"/>
      <c r="N3" s="334" t="str">
        <f>VLOOKUP(I3,[6]数据!B:AE,30,FALSE)</f>
        <v>客户采购订单编号</v>
      </c>
      <c r="O3" s="334" t="str">
        <f>VLOOKUP(I3,[6]数据!B:F,5,FALSE)</f>
        <v>采用标准</v>
      </c>
      <c r="P3" s="334"/>
    </row>
    <row r="4" s="64" customFormat="1" ht="35.25" customHeight="1" spans="1:16">
      <c r="A4" s="330">
        <v>1</v>
      </c>
      <c r="B4" s="331"/>
      <c r="C4" s="331"/>
      <c r="D4" s="331" t="s">
        <v>237</v>
      </c>
      <c r="E4" s="332">
        <v>3630</v>
      </c>
      <c r="F4" s="331">
        <v>4</v>
      </c>
      <c r="G4" s="331">
        <v>14520</v>
      </c>
      <c r="H4" s="331" t="s">
        <v>238</v>
      </c>
      <c r="I4" s="339" t="s">
        <v>239</v>
      </c>
      <c r="J4" s="331" t="s">
        <v>19</v>
      </c>
      <c r="K4" s="340" t="s">
        <v>240</v>
      </c>
      <c r="L4" s="341"/>
      <c r="M4" s="333">
        <v>1108206</v>
      </c>
      <c r="N4" s="334" t="s">
        <v>241</v>
      </c>
      <c r="O4" s="334" t="s">
        <v>242</v>
      </c>
      <c r="P4" s="334"/>
    </row>
  </sheetData>
  <mergeCells count="3">
    <mergeCell ref="A1:L1"/>
    <mergeCell ref="K3:L3"/>
    <mergeCell ref="K4:L4"/>
  </mergeCells>
  <conditionalFormatting sqref="I1">
    <cfRule type="duplicateValues" dxfId="0" priority="1"/>
  </conditionalFormatting>
  <conditionalFormatting sqref="I4">
    <cfRule type="duplicateValues" dxfId="0" priority="3"/>
  </conditionalFormatting>
  <conditionalFormatting sqref="I2:I3">
    <cfRule type="duplicateValues" dxfId="0" priority="2"/>
  </conditionalFormatting>
  <pageMargins left="0.699305555555556" right="0.699305555555556"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T5"/>
  <sheetViews>
    <sheetView workbookViewId="0">
      <selection activeCell="M29" sqref="M29"/>
    </sheetView>
  </sheetViews>
  <sheetFormatPr defaultColWidth="9" defaultRowHeight="13.5" outlineLevelRow="4"/>
  <sheetData>
    <row r="1" ht="33.75" spans="1:20">
      <c r="A1" s="305" t="s">
        <v>22</v>
      </c>
      <c r="B1" s="305"/>
      <c r="C1" s="305"/>
      <c r="D1" s="305"/>
      <c r="E1" s="305"/>
      <c r="F1" s="305"/>
      <c r="G1" s="305"/>
      <c r="H1" s="305"/>
      <c r="I1" s="305"/>
      <c r="J1" s="305"/>
      <c r="K1" s="305"/>
      <c r="L1" s="305"/>
      <c r="M1" s="305"/>
      <c r="N1" s="305"/>
      <c r="O1" s="305"/>
      <c r="P1" s="305"/>
      <c r="Q1" s="305"/>
      <c r="R1" s="317"/>
      <c r="S1" s="244"/>
      <c r="T1" s="318"/>
    </row>
    <row r="2" ht="24" customHeight="1" spans="1:20">
      <c r="A2" s="306" t="s">
        <v>243</v>
      </c>
      <c r="B2" s="306"/>
      <c r="C2" s="306"/>
      <c r="D2" s="306"/>
      <c r="E2" s="306"/>
      <c r="F2" s="306"/>
      <c r="G2" s="306"/>
      <c r="H2" s="306"/>
      <c r="I2" s="306"/>
      <c r="J2" s="306"/>
      <c r="K2" s="306"/>
      <c r="L2" s="306"/>
      <c r="M2" s="306"/>
      <c r="N2" s="306"/>
      <c r="O2" s="306"/>
      <c r="P2" s="306"/>
      <c r="Q2" s="306"/>
      <c r="R2" s="317"/>
      <c r="S2" s="244"/>
      <c r="T2" s="318"/>
    </row>
    <row r="3" s="304" customFormat="1" ht="33.75" customHeight="1" spans="1:20">
      <c r="A3" s="307" t="s">
        <v>3</v>
      </c>
      <c r="B3" s="307" t="s">
        <v>4</v>
      </c>
      <c r="C3" s="308" t="s">
        <v>5</v>
      </c>
      <c r="D3" s="307" t="s">
        <v>51</v>
      </c>
      <c r="E3" s="307" t="s">
        <v>52</v>
      </c>
      <c r="F3" s="307" t="s">
        <v>53</v>
      </c>
      <c r="G3" s="307" t="s">
        <v>54</v>
      </c>
      <c r="H3" s="307" t="s">
        <v>244</v>
      </c>
      <c r="I3" s="307" t="s">
        <v>174</v>
      </c>
      <c r="J3" s="307" t="s">
        <v>8</v>
      </c>
      <c r="K3" s="307" t="s">
        <v>74</v>
      </c>
      <c r="L3" s="307" t="s">
        <v>245</v>
      </c>
      <c r="M3" s="314" t="s">
        <v>9</v>
      </c>
      <c r="N3" s="307" t="s">
        <v>246</v>
      </c>
      <c r="O3" s="315" t="s">
        <v>176</v>
      </c>
      <c r="P3" s="307" t="s">
        <v>11</v>
      </c>
      <c r="Q3" s="319" t="s">
        <v>31</v>
      </c>
      <c r="R3" s="320"/>
      <c r="S3" s="321" t="s">
        <v>91</v>
      </c>
      <c r="T3" s="322"/>
    </row>
    <row r="4" ht="25.5" customHeight="1" spans="1:20">
      <c r="A4" s="237">
        <v>1</v>
      </c>
      <c r="B4" s="309"/>
      <c r="C4" s="310"/>
      <c r="D4" s="311"/>
      <c r="E4" s="311" t="s">
        <v>247</v>
      </c>
      <c r="F4" s="311" t="s">
        <v>217</v>
      </c>
      <c r="G4" s="311" t="s">
        <v>248</v>
      </c>
      <c r="H4" s="311" t="s">
        <v>66</v>
      </c>
      <c r="I4" s="311">
        <v>50</v>
      </c>
      <c r="J4" s="311">
        <v>50</v>
      </c>
      <c r="K4" s="311">
        <v>3</v>
      </c>
      <c r="L4" s="311">
        <v>150</v>
      </c>
      <c r="M4" s="316" t="s">
        <v>249</v>
      </c>
      <c r="N4" s="311" t="s">
        <v>250</v>
      </c>
      <c r="O4" s="311" t="s">
        <v>251</v>
      </c>
      <c r="P4" s="311" t="s">
        <v>19</v>
      </c>
      <c r="Q4" s="323"/>
      <c r="R4" s="324" t="s">
        <v>252</v>
      </c>
      <c r="S4" s="244">
        <v>977681</v>
      </c>
      <c r="T4" s="318"/>
    </row>
    <row r="5" ht="33" customHeight="1" spans="1:20">
      <c r="A5" s="312" t="s">
        <v>253</v>
      </c>
      <c r="B5" s="313"/>
      <c r="C5" s="313"/>
      <c r="D5" s="313"/>
      <c r="E5" s="313"/>
      <c r="F5" s="313"/>
      <c r="G5" s="313"/>
      <c r="H5" s="313"/>
      <c r="I5" s="313"/>
      <c r="J5" s="313"/>
      <c r="K5" s="313"/>
      <c r="L5" s="313"/>
      <c r="M5" s="313"/>
      <c r="N5" s="313"/>
      <c r="O5" s="313"/>
      <c r="P5" s="313"/>
      <c r="Q5" s="325"/>
      <c r="R5" s="317"/>
      <c r="S5" s="244"/>
      <c r="T5" s="318"/>
    </row>
  </sheetData>
  <mergeCells count="3">
    <mergeCell ref="A1:Q1"/>
    <mergeCell ref="A2:Q2"/>
    <mergeCell ref="A5:Q5"/>
  </mergeCells>
  <pageMargins left="0.699305555555556" right="0.699305555555556"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P3"/>
  <sheetViews>
    <sheetView workbookViewId="0">
      <selection activeCell="M14" sqref="M14"/>
    </sheetView>
  </sheetViews>
  <sheetFormatPr defaultColWidth="9" defaultRowHeight="13.5" outlineLevelRow="2"/>
  <cols>
    <col min="13" max="13" width="15.375" customWidth="1"/>
  </cols>
  <sheetData>
    <row r="1" s="5" customFormat="1" ht="44.25" customHeight="1" spans="1:16">
      <c r="A1" s="20" t="s">
        <v>254</v>
      </c>
      <c r="B1" s="21"/>
      <c r="C1" s="21"/>
      <c r="D1" s="21"/>
      <c r="E1" s="21"/>
      <c r="F1" s="21"/>
      <c r="G1" s="21"/>
      <c r="H1" s="21"/>
      <c r="I1" s="21"/>
      <c r="J1" s="21"/>
      <c r="K1" s="21"/>
      <c r="L1" s="21"/>
      <c r="M1" s="27"/>
      <c r="N1" s="255"/>
      <c r="O1" s="301"/>
      <c r="P1" s="302" t="s">
        <v>255</v>
      </c>
    </row>
    <row r="2" s="5" customFormat="1" ht="29.25" customHeight="1" spans="1:15">
      <c r="A2" s="22" t="s">
        <v>3</v>
      </c>
      <c r="B2" s="22" t="s">
        <v>4</v>
      </c>
      <c r="C2" s="23" t="s">
        <v>5</v>
      </c>
      <c r="D2" s="23" t="s">
        <v>6</v>
      </c>
      <c r="E2" s="24" t="s">
        <v>7</v>
      </c>
      <c r="F2" s="24" t="s">
        <v>53</v>
      </c>
      <c r="G2" s="24" t="s">
        <v>54</v>
      </c>
      <c r="H2" s="276" t="s">
        <v>8</v>
      </c>
      <c r="I2" s="22" t="s">
        <v>9</v>
      </c>
      <c r="J2" s="22" t="s">
        <v>10</v>
      </c>
      <c r="K2" s="23" t="s">
        <v>11</v>
      </c>
      <c r="L2" s="23" t="s">
        <v>160</v>
      </c>
      <c r="M2" s="23" t="s">
        <v>91</v>
      </c>
      <c r="N2" s="303" t="s">
        <v>256</v>
      </c>
      <c r="O2" s="301"/>
    </row>
    <row r="3" s="5" customFormat="1" ht="26.25" customHeight="1" spans="1:15">
      <c r="A3" s="5">
        <v>1</v>
      </c>
      <c r="B3" s="40"/>
      <c r="C3" s="40"/>
      <c r="D3" s="40" t="s">
        <v>257</v>
      </c>
      <c r="E3" s="40" t="s">
        <v>258</v>
      </c>
      <c r="F3" s="40" t="s">
        <v>217</v>
      </c>
      <c r="G3" s="40" t="s">
        <v>217</v>
      </c>
      <c r="H3" s="40">
        <v>18</v>
      </c>
      <c r="I3" s="40" t="s">
        <v>259</v>
      </c>
      <c r="J3" s="40" t="s">
        <v>260</v>
      </c>
      <c r="K3" s="40" t="s">
        <v>19</v>
      </c>
      <c r="L3" s="40" t="s">
        <v>261</v>
      </c>
      <c r="M3" s="254">
        <v>46139</v>
      </c>
      <c r="N3" s="255"/>
      <c r="O3" s="301">
        <v>1106631</v>
      </c>
    </row>
  </sheetData>
  <mergeCells count="1">
    <mergeCell ref="A1:M1"/>
  </mergeCells>
  <conditionalFormatting sqref="O3">
    <cfRule type="duplicateValues" dxfId="0" priority="2"/>
  </conditionalFormatting>
  <conditionalFormatting sqref="O1:O2">
    <cfRule type="duplicateValues" dxfId="0" priority="1"/>
  </conditionalFormatting>
  <pageMargins left="0.699305555555556" right="0.699305555555556"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O3"/>
  <sheetViews>
    <sheetView workbookViewId="0">
      <selection activeCell="P28" sqref="P28"/>
    </sheetView>
  </sheetViews>
  <sheetFormatPr defaultColWidth="9" defaultRowHeight="13.5" outlineLevelRow="2"/>
  <cols>
    <col min="10" max="10" width="16" customWidth="1"/>
    <col min="12" max="12" width="20.875" customWidth="1"/>
  </cols>
  <sheetData>
    <row r="1" s="256" customFormat="1" ht="50.1" customHeight="1" spans="1:15">
      <c r="A1" s="298" t="s">
        <v>262</v>
      </c>
      <c r="B1" s="298"/>
      <c r="C1" s="298"/>
      <c r="D1" s="298"/>
      <c r="E1" s="298"/>
      <c r="F1" s="298"/>
      <c r="G1" s="298"/>
      <c r="H1" s="298"/>
      <c r="I1" s="298"/>
      <c r="J1" s="298"/>
      <c r="K1" s="298"/>
      <c r="L1" s="298"/>
      <c r="M1" s="298"/>
      <c r="O1" s="299" t="s">
        <v>263</v>
      </c>
    </row>
    <row r="2" s="256" customFormat="1" ht="50.1" customHeight="1" spans="1:13">
      <c r="A2" s="22" t="s">
        <v>3</v>
      </c>
      <c r="B2" s="22" t="s">
        <v>4</v>
      </c>
      <c r="C2" s="23" t="s">
        <v>5</v>
      </c>
      <c r="D2" s="23" t="s">
        <v>6</v>
      </c>
      <c r="E2" s="22" t="s">
        <v>7</v>
      </c>
      <c r="F2" s="22" t="s">
        <v>53</v>
      </c>
      <c r="G2" s="22" t="s">
        <v>54</v>
      </c>
      <c r="H2" s="22" t="s">
        <v>8</v>
      </c>
      <c r="I2" s="22" t="s">
        <v>9</v>
      </c>
      <c r="J2" s="22" t="s">
        <v>10</v>
      </c>
      <c r="K2" s="22" t="s">
        <v>11</v>
      </c>
      <c r="L2" s="23" t="s">
        <v>91</v>
      </c>
      <c r="M2" s="23" t="s">
        <v>31</v>
      </c>
    </row>
    <row r="3" s="256" customFormat="1" ht="22.5" customHeight="1" spans="1:13">
      <c r="A3" s="40">
        <v>1</v>
      </c>
      <c r="B3" s="40"/>
      <c r="C3" s="40"/>
      <c r="D3" s="40" t="s">
        <v>15</v>
      </c>
      <c r="E3" s="40" t="s">
        <v>264</v>
      </c>
      <c r="F3" s="40">
        <v>0</v>
      </c>
      <c r="G3" s="40" t="s">
        <v>265</v>
      </c>
      <c r="H3" s="40">
        <v>2</v>
      </c>
      <c r="I3" s="40" t="s">
        <v>266</v>
      </c>
      <c r="J3" s="5">
        <v>7101108803</v>
      </c>
      <c r="K3" s="5" t="s">
        <v>19</v>
      </c>
      <c r="L3" s="254">
        <v>46140</v>
      </c>
      <c r="M3" s="300"/>
    </row>
  </sheetData>
  <mergeCells count="1">
    <mergeCell ref="A1:M1"/>
  </mergeCells>
  <conditionalFormatting sqref="N1">
    <cfRule type="duplicateValues" dxfId="0" priority="4"/>
  </conditionalFormatting>
  <conditionalFormatting sqref="N2">
    <cfRule type="duplicateValues" dxfId="0" priority="3"/>
  </conditionalFormatting>
  <conditionalFormatting sqref="N3">
    <cfRule type="duplicateValues" dxfId="0" priority="7"/>
    <cfRule type="duplicateValues" dxfId="0" priority="6"/>
    <cfRule type="duplicateValues" dxfId="0" priority="8"/>
  </conditionalFormatting>
  <conditionalFormatting sqref="N1:N2">
    <cfRule type="duplicateValues" dxfId="0" priority="5"/>
    <cfRule type="duplicateValues" dxfId="0" priority="2"/>
    <cfRule type="duplicateValues" dxfId="0" priority="1"/>
  </conditionalFormatting>
  <pageMargins left="0.699305555555556" right="0.699305555555556"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3"/>
  <sheetViews>
    <sheetView workbookViewId="0">
      <selection activeCell="M31" sqref="M31"/>
    </sheetView>
  </sheetViews>
  <sheetFormatPr defaultColWidth="9" defaultRowHeight="13.5" outlineLevelRow="2"/>
  <cols>
    <col min="1" max="1" width="12.5" customWidth="1"/>
    <col min="2" max="2" width="13.25" customWidth="1"/>
    <col min="3" max="3" width="17.25" customWidth="1"/>
    <col min="5" max="5" width="16.375" customWidth="1"/>
  </cols>
  <sheetData>
    <row r="1" s="40" customFormat="1" ht="31.5" customHeight="1" spans="1:12">
      <c r="A1" s="289" t="s">
        <v>267</v>
      </c>
      <c r="B1" s="290"/>
      <c r="C1" s="290"/>
      <c r="D1" s="290"/>
      <c r="E1" s="290"/>
      <c r="F1" s="290"/>
      <c r="G1" s="290"/>
      <c r="H1" s="290"/>
      <c r="I1" s="290"/>
      <c r="J1" s="293"/>
      <c r="L1" s="294" t="s">
        <v>268</v>
      </c>
    </row>
    <row r="2" s="40" customFormat="1" ht="31.5" customHeight="1" spans="1:10">
      <c r="A2" s="291" t="s">
        <v>10</v>
      </c>
      <c r="B2" s="38" t="s">
        <v>49</v>
      </c>
      <c r="C2" s="38" t="s">
        <v>50</v>
      </c>
      <c r="D2" s="38" t="s">
        <v>51</v>
      </c>
      <c r="E2" s="38" t="s">
        <v>52</v>
      </c>
      <c r="F2" s="38" t="s">
        <v>54</v>
      </c>
      <c r="G2" s="38" t="s">
        <v>53</v>
      </c>
      <c r="H2" s="292" t="s">
        <v>56</v>
      </c>
      <c r="I2" s="38" t="s">
        <v>11</v>
      </c>
      <c r="J2" s="295" t="s">
        <v>193</v>
      </c>
    </row>
    <row r="3" s="40" customFormat="1" ht="20.25" customHeight="1" spans="1:12">
      <c r="A3" s="7">
        <v>7101108873</v>
      </c>
      <c r="B3" s="40" t="s">
        <v>269</v>
      </c>
      <c r="D3" s="40" t="s">
        <v>15</v>
      </c>
      <c r="E3" s="40" t="s">
        <v>270</v>
      </c>
      <c r="H3" s="40">
        <v>30</v>
      </c>
      <c r="I3" s="296">
        <v>421</v>
      </c>
      <c r="J3" s="31">
        <v>46138</v>
      </c>
      <c r="L3" s="297" t="s">
        <v>271</v>
      </c>
    </row>
  </sheetData>
  <mergeCells count="1">
    <mergeCell ref="A1:J1"/>
  </mergeCells>
  <conditionalFormatting sqref="K3">
    <cfRule type="duplicateValues" dxfId="0" priority="2"/>
  </conditionalFormatting>
  <conditionalFormatting sqref="K1:K2">
    <cfRule type="duplicateValues" dxfId="0" priority="1"/>
  </conditionalFormatting>
  <pageMargins left="0.699305555555556" right="0.699305555555556"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N3"/>
  <sheetViews>
    <sheetView workbookViewId="0">
      <selection activeCell="F16" sqref="F16"/>
    </sheetView>
  </sheetViews>
  <sheetFormatPr defaultColWidth="9" defaultRowHeight="13.5" outlineLevelRow="2"/>
  <cols>
    <col min="10" max="10" width="16.25" customWidth="1"/>
  </cols>
  <sheetData>
    <row r="1" s="281" customFormat="1" ht="47.25" customHeight="1" spans="1:12">
      <c r="A1" s="283" t="s">
        <v>272</v>
      </c>
      <c r="B1" s="284"/>
      <c r="C1" s="284"/>
      <c r="D1" s="284"/>
      <c r="E1" s="284"/>
      <c r="F1" s="284"/>
      <c r="G1" s="284"/>
      <c r="H1" s="284"/>
      <c r="I1" s="284"/>
      <c r="J1" s="284"/>
      <c r="K1" s="284"/>
      <c r="L1" s="286"/>
    </row>
    <row r="2" s="282" customFormat="1" ht="43.5" customHeight="1" spans="1:14">
      <c r="A2" s="285" t="s">
        <v>3</v>
      </c>
      <c r="B2" s="285" t="s">
        <v>273</v>
      </c>
      <c r="C2" s="285" t="s">
        <v>50</v>
      </c>
      <c r="D2" s="285" t="s">
        <v>51</v>
      </c>
      <c r="E2" s="285" t="s">
        <v>52</v>
      </c>
      <c r="F2" s="285" t="s">
        <v>53</v>
      </c>
      <c r="G2" s="285" t="s">
        <v>54</v>
      </c>
      <c r="H2" s="285" t="s">
        <v>49</v>
      </c>
      <c r="I2" s="287" t="s">
        <v>274</v>
      </c>
      <c r="J2" s="285" t="s">
        <v>10</v>
      </c>
      <c r="K2" s="285" t="s">
        <v>11</v>
      </c>
      <c r="L2" s="285" t="s">
        <v>91</v>
      </c>
      <c r="N2" s="288" t="s">
        <v>275</v>
      </c>
    </row>
    <row r="3" s="106" customFormat="1" ht="22.5" customHeight="1" spans="1:13">
      <c r="A3" s="40">
        <v>1</v>
      </c>
      <c r="B3" s="40"/>
      <c r="C3" s="40"/>
      <c r="D3" s="40" t="s">
        <v>15</v>
      </c>
      <c r="E3" s="40" t="s">
        <v>276</v>
      </c>
      <c r="F3" s="40" t="s">
        <v>277</v>
      </c>
      <c r="G3" s="40" t="s">
        <v>278</v>
      </c>
      <c r="H3" s="40" t="s">
        <v>279</v>
      </c>
      <c r="I3" s="12">
        <v>103</v>
      </c>
      <c r="J3" s="40" t="s">
        <v>280</v>
      </c>
      <c r="K3" s="40" t="s">
        <v>19</v>
      </c>
      <c r="L3" s="31">
        <v>46136</v>
      </c>
      <c r="M3" s="106">
        <v>1102910</v>
      </c>
    </row>
  </sheetData>
  <mergeCells count="1">
    <mergeCell ref="A1:L1"/>
  </mergeCells>
  <pageMargins left="0.699305555555556" right="0.699305555555556"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M3"/>
  <sheetViews>
    <sheetView workbookViewId="0">
      <selection activeCell="F15" sqref="F15"/>
    </sheetView>
  </sheetViews>
  <sheetFormatPr defaultColWidth="9" defaultRowHeight="13.5" outlineLevelRow="2"/>
  <sheetData>
    <row r="1" s="5" customFormat="1" ht="50.1" customHeight="1" spans="1:13">
      <c r="A1" s="47" t="s">
        <v>281</v>
      </c>
      <c r="B1" s="47"/>
      <c r="C1" s="47"/>
      <c r="D1" s="47"/>
      <c r="E1" s="47"/>
      <c r="F1" s="47"/>
      <c r="G1" s="47"/>
      <c r="H1" s="47"/>
      <c r="I1" s="47"/>
      <c r="J1" s="47"/>
      <c r="K1" s="47"/>
      <c r="L1" s="47"/>
      <c r="M1" s="40"/>
    </row>
    <row r="2" s="5" customFormat="1" ht="50.1" customHeight="1" spans="1:13">
      <c r="A2" s="22" t="s">
        <v>3</v>
      </c>
      <c r="B2" s="22" t="s">
        <v>4</v>
      </c>
      <c r="C2" s="23" t="s">
        <v>5</v>
      </c>
      <c r="D2" s="23" t="s">
        <v>6</v>
      </c>
      <c r="E2" s="24" t="s">
        <v>7</v>
      </c>
      <c r="F2" s="24" t="s">
        <v>53</v>
      </c>
      <c r="G2" s="24" t="s">
        <v>54</v>
      </c>
      <c r="H2" s="22" t="s">
        <v>8</v>
      </c>
      <c r="I2" s="22" t="s">
        <v>9</v>
      </c>
      <c r="J2" s="22" t="s">
        <v>10</v>
      </c>
      <c r="K2" s="23" t="s">
        <v>11</v>
      </c>
      <c r="L2" s="29" t="s">
        <v>91</v>
      </c>
      <c r="M2" s="40"/>
    </row>
    <row r="3" s="5" customFormat="1" ht="24.6" customHeight="1" spans="1:13">
      <c r="A3" s="40">
        <v>1</v>
      </c>
      <c r="B3" s="40"/>
      <c r="C3" s="40"/>
      <c r="D3" s="40" t="s">
        <v>282</v>
      </c>
      <c r="E3" s="40" t="s">
        <v>283</v>
      </c>
      <c r="F3" s="40" t="s">
        <v>217</v>
      </c>
      <c r="G3" s="40" t="s">
        <v>217</v>
      </c>
      <c r="H3" s="40">
        <v>35</v>
      </c>
      <c r="I3" s="40" t="s">
        <v>284</v>
      </c>
      <c r="J3" s="40" t="s">
        <v>285</v>
      </c>
      <c r="K3" s="40" t="s">
        <v>19</v>
      </c>
      <c r="L3" s="31">
        <v>46136</v>
      </c>
      <c r="M3" s="40">
        <v>1096972</v>
      </c>
    </row>
  </sheetData>
  <mergeCells count="1">
    <mergeCell ref="A1:L1"/>
  </mergeCells>
  <conditionalFormatting sqref="M3">
    <cfRule type="duplicateValues" dxfId="0" priority="2"/>
  </conditionalFormatting>
  <conditionalFormatting sqref="M1:M2">
    <cfRule type="duplicateValues" dxfId="0" priority="1"/>
  </conditionalFormatting>
  <pageMargins left="0.699305555555556" right="0.699305555555556"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P3"/>
  <sheetViews>
    <sheetView workbookViewId="0">
      <selection activeCell="E20" sqref="E20"/>
    </sheetView>
  </sheetViews>
  <sheetFormatPr defaultColWidth="9" defaultRowHeight="13.5" outlineLevelRow="2"/>
  <sheetData>
    <row r="1" s="64" customFormat="1" ht="50.1" customHeight="1" spans="1:16">
      <c r="A1" s="47" t="s">
        <v>286</v>
      </c>
      <c r="B1" s="47"/>
      <c r="C1" s="47"/>
      <c r="D1" s="47"/>
      <c r="E1" s="47"/>
      <c r="F1" s="47"/>
      <c r="G1" s="47"/>
      <c r="H1" s="47"/>
      <c r="I1" s="47"/>
      <c r="J1" s="47"/>
      <c r="K1" s="47"/>
      <c r="L1" s="47"/>
      <c r="M1" s="47"/>
      <c r="N1" s="47"/>
      <c r="O1" s="277"/>
      <c r="P1" s="278"/>
    </row>
    <row r="2" s="64" customFormat="1" ht="45" customHeight="1" spans="1:16">
      <c r="A2" s="22" t="s">
        <v>3</v>
      </c>
      <c r="B2" s="22" t="s">
        <v>4</v>
      </c>
      <c r="C2" s="23" t="s">
        <v>5</v>
      </c>
      <c r="D2" s="23" t="s">
        <v>6</v>
      </c>
      <c r="E2" s="24" t="s">
        <v>7</v>
      </c>
      <c r="F2" s="24" t="s">
        <v>53</v>
      </c>
      <c r="G2" s="24" t="s">
        <v>54</v>
      </c>
      <c r="H2" s="276" t="s">
        <v>8</v>
      </c>
      <c r="I2" s="22" t="s">
        <v>74</v>
      </c>
      <c r="J2" s="22" t="s">
        <v>9</v>
      </c>
      <c r="K2" s="22" t="s">
        <v>10</v>
      </c>
      <c r="L2" s="23" t="s">
        <v>11</v>
      </c>
      <c r="M2" s="23" t="s">
        <v>160</v>
      </c>
      <c r="N2" s="23" t="s">
        <v>91</v>
      </c>
      <c r="O2" s="277"/>
      <c r="P2" s="278"/>
    </row>
    <row r="3" s="64" customFormat="1" ht="63" customHeight="1" spans="1:16">
      <c r="A3" s="264">
        <v>1</v>
      </c>
      <c r="B3" s="271"/>
      <c r="C3" s="271"/>
      <c r="D3" s="271" t="s">
        <v>15</v>
      </c>
      <c r="E3" s="271" t="s">
        <v>287</v>
      </c>
      <c r="F3" s="271" t="s">
        <v>217</v>
      </c>
      <c r="G3" s="271" t="s">
        <v>217</v>
      </c>
      <c r="H3" s="271">
        <v>15</v>
      </c>
      <c r="I3" s="280">
        <v>60</v>
      </c>
      <c r="J3" s="271" t="s">
        <v>288</v>
      </c>
      <c r="K3" s="279" t="s">
        <v>289</v>
      </c>
      <c r="L3" s="264" t="s">
        <v>19</v>
      </c>
      <c r="M3" s="264" t="s">
        <v>290</v>
      </c>
      <c r="N3" s="265">
        <v>46139</v>
      </c>
      <c r="O3" s="277">
        <v>1104978</v>
      </c>
      <c r="P3" s="278"/>
    </row>
  </sheetData>
  <mergeCells count="1">
    <mergeCell ref="A1:N1"/>
  </mergeCells>
  <conditionalFormatting sqref="O1">
    <cfRule type="duplicateValues" dxfId="0" priority="1"/>
  </conditionalFormatting>
  <conditionalFormatting sqref="O2">
    <cfRule type="duplicateValues" dxfId="0" priority="2"/>
  </conditionalFormatting>
  <conditionalFormatting sqref="O3">
    <cfRule type="duplicateValues" dxfId="0" priority="3"/>
  </conditionalFormatting>
  <pageMargins left="0.699305555555556" right="0.699305555555556"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O3"/>
  <sheetViews>
    <sheetView workbookViewId="0">
      <selection activeCell="Q29" sqref="Q29"/>
    </sheetView>
  </sheetViews>
  <sheetFormatPr defaultColWidth="9" defaultRowHeight="13.5" outlineLevelRow="2"/>
  <sheetData>
    <row r="1" s="64" customFormat="1" ht="50.1" customHeight="1" spans="1:15">
      <c r="A1" s="47" t="s">
        <v>291</v>
      </c>
      <c r="B1" s="47"/>
      <c r="C1" s="47"/>
      <c r="D1" s="47"/>
      <c r="E1" s="47"/>
      <c r="F1" s="47"/>
      <c r="G1" s="47"/>
      <c r="H1" s="47"/>
      <c r="I1" s="47"/>
      <c r="J1" s="47"/>
      <c r="K1" s="47"/>
      <c r="L1" s="47"/>
      <c r="M1" s="47"/>
      <c r="N1" s="277"/>
      <c r="O1" s="278"/>
    </row>
    <row r="2" s="64" customFormat="1" ht="50.1" customHeight="1" spans="1:15">
      <c r="A2" s="22" t="s">
        <v>3</v>
      </c>
      <c r="B2" s="22" t="s">
        <v>4</v>
      </c>
      <c r="C2" s="23" t="s">
        <v>5</v>
      </c>
      <c r="D2" s="23" t="s">
        <v>6</v>
      </c>
      <c r="E2" s="24" t="s">
        <v>7</v>
      </c>
      <c r="F2" s="24" t="s">
        <v>53</v>
      </c>
      <c r="G2" s="24" t="s">
        <v>54</v>
      </c>
      <c r="H2" s="276" t="s">
        <v>8</v>
      </c>
      <c r="I2" s="22" t="s">
        <v>9</v>
      </c>
      <c r="J2" s="22" t="s">
        <v>10</v>
      </c>
      <c r="K2" s="23" t="s">
        <v>11</v>
      </c>
      <c r="L2" s="23" t="s">
        <v>160</v>
      </c>
      <c r="M2" s="23" t="s">
        <v>91</v>
      </c>
      <c r="N2" s="277"/>
      <c r="O2" s="278"/>
    </row>
    <row r="3" s="64" customFormat="1" ht="32.25" customHeight="1" spans="1:15">
      <c r="A3" s="264">
        <v>1</v>
      </c>
      <c r="B3" s="271"/>
      <c r="C3" s="271"/>
      <c r="D3" s="271" t="s">
        <v>15</v>
      </c>
      <c r="E3" s="271" t="s">
        <v>292</v>
      </c>
      <c r="F3" s="271" t="s">
        <v>293</v>
      </c>
      <c r="G3" s="271" t="s">
        <v>217</v>
      </c>
      <c r="H3" s="271">
        <v>50</v>
      </c>
      <c r="I3" s="271" t="s">
        <v>294</v>
      </c>
      <c r="J3" s="279" t="s">
        <v>295</v>
      </c>
      <c r="K3" s="264" t="s">
        <v>19</v>
      </c>
      <c r="L3" s="264" t="s">
        <v>296</v>
      </c>
      <c r="M3" s="265">
        <v>46137</v>
      </c>
      <c r="N3" s="277">
        <v>1106816</v>
      </c>
      <c r="O3" s="278"/>
    </row>
  </sheetData>
  <mergeCells count="1">
    <mergeCell ref="A1:M1"/>
  </mergeCells>
  <conditionalFormatting sqref="N3">
    <cfRule type="duplicateValues" dxfId="0" priority="2"/>
  </conditionalFormatting>
  <conditionalFormatting sqref="N1:N2">
    <cfRule type="duplicateValues" dxfId="0" priority="1"/>
  </conditionalFormatting>
  <pageMargins left="0.699305555555556" right="0.699305555555556"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P3"/>
  <sheetViews>
    <sheetView workbookViewId="0">
      <selection activeCell="E28" sqref="E28"/>
    </sheetView>
  </sheetViews>
  <sheetFormatPr defaultColWidth="9" defaultRowHeight="13.5" outlineLevelRow="2"/>
  <sheetData>
    <row r="1" s="237" customFormat="1" ht="39" customHeight="1" spans="1:15">
      <c r="A1" s="266" t="s">
        <v>297</v>
      </c>
      <c r="B1" s="267"/>
      <c r="C1" s="267"/>
      <c r="D1" s="267"/>
      <c r="E1" s="267"/>
      <c r="F1" s="267"/>
      <c r="G1" s="267"/>
      <c r="H1" s="267"/>
      <c r="I1" s="267"/>
      <c r="J1" s="267"/>
      <c r="K1" s="267"/>
      <c r="L1" s="267"/>
      <c r="M1" s="272"/>
      <c r="N1" s="273" t="s">
        <v>298</v>
      </c>
      <c r="O1" s="273"/>
    </row>
    <row r="2" s="237" customFormat="1" ht="36.75" customHeight="1" spans="1:15">
      <c r="A2" s="268" t="s">
        <v>3</v>
      </c>
      <c r="B2" s="268" t="s">
        <v>4</v>
      </c>
      <c r="C2" s="269" t="s">
        <v>5</v>
      </c>
      <c r="D2" s="269" t="s">
        <v>6</v>
      </c>
      <c r="E2" s="270" t="s">
        <v>7</v>
      </c>
      <c r="F2" s="270" t="s">
        <v>53</v>
      </c>
      <c r="G2" s="270" t="s">
        <v>54</v>
      </c>
      <c r="H2" s="268" t="s">
        <v>8</v>
      </c>
      <c r="I2" s="268" t="s">
        <v>9</v>
      </c>
      <c r="J2" s="268" t="s">
        <v>10</v>
      </c>
      <c r="K2" s="269" t="s">
        <v>11</v>
      </c>
      <c r="L2" s="269" t="s">
        <v>91</v>
      </c>
      <c r="M2" s="274" t="s">
        <v>31</v>
      </c>
      <c r="N2" s="275"/>
      <c r="O2" s="244"/>
    </row>
    <row r="3" s="237" customFormat="1" ht="22.15" customHeight="1" spans="1:16">
      <c r="A3" s="271">
        <v>1</v>
      </c>
      <c r="B3" s="271"/>
      <c r="C3" s="271"/>
      <c r="D3" s="271" t="s">
        <v>15</v>
      </c>
      <c r="E3" s="271" t="s">
        <v>299</v>
      </c>
      <c r="F3" s="271" t="s">
        <v>300</v>
      </c>
      <c r="G3" s="271" t="s">
        <v>301</v>
      </c>
      <c r="H3" s="271">
        <v>23</v>
      </c>
      <c r="I3" s="271" t="s">
        <v>302</v>
      </c>
      <c r="J3" s="237" t="s">
        <v>303</v>
      </c>
      <c r="K3" s="237" t="s">
        <v>304</v>
      </c>
      <c r="L3" s="240">
        <v>45906</v>
      </c>
      <c r="N3" s="237">
        <v>945190</v>
      </c>
      <c r="P3" s="237" t="s">
        <v>305</v>
      </c>
    </row>
  </sheetData>
  <mergeCells count="2">
    <mergeCell ref="A1:L1"/>
    <mergeCell ref="N1:O1"/>
  </mergeCells>
  <conditionalFormatting sqref="N1">
    <cfRule type="duplicateValues" dxfId="0" priority="2"/>
  </conditionalFormatting>
  <conditionalFormatting sqref="N2">
    <cfRule type="duplicateValues" dxfId="0" priority="1"/>
  </conditionalFormatting>
  <conditionalFormatting sqref="N1:N2">
    <cfRule type="duplicateValues" dxfId="0" priority="10"/>
    <cfRule type="duplicateValues" dxfId="0" priority="9"/>
    <cfRule type="duplicateValues" dxfId="0" priority="8"/>
    <cfRule type="duplicateValues" dxfId="0" priority="7"/>
    <cfRule type="duplicateValues" dxfId="0" priority="6"/>
    <cfRule type="duplicateValues" dxfId="0" priority="5"/>
    <cfRule type="duplicateValues" dxfId="0" priority="4"/>
    <cfRule type="duplicateValues" dxfId="0" priority="3"/>
  </conditionalFormatting>
  <dataValidations count="1">
    <dataValidation type="list" allowBlank="1" showInputMessage="1" showErrorMessage="1" sqref="M2">
      <formula1>"XX10,XX20,XX12B,XX12A,1810E,RD93,XX15,XX19"</formula1>
    </dataValidation>
  </dataValidations>
  <pageMargins left="0.699305555555556" right="0.699305555555556"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Q3"/>
  <sheetViews>
    <sheetView workbookViewId="0">
      <selection activeCell="D24" sqref="D24"/>
    </sheetView>
  </sheetViews>
  <sheetFormatPr defaultColWidth="9" defaultRowHeight="13.5" outlineLevelRow="2"/>
  <sheetData>
    <row r="1" s="256" customFormat="1" ht="50.1" customHeight="1" spans="1:17">
      <c r="A1" s="47" t="s">
        <v>306</v>
      </c>
      <c r="B1" s="47"/>
      <c r="C1" s="47"/>
      <c r="D1" s="47"/>
      <c r="E1" s="47"/>
      <c r="F1" s="47"/>
      <c r="G1" s="47"/>
      <c r="H1" s="47"/>
      <c r="I1" s="47"/>
      <c r="J1" s="47"/>
      <c r="K1" s="47"/>
      <c r="L1" s="47"/>
      <c r="M1" s="47"/>
      <c r="N1" s="47"/>
      <c r="O1" s="261"/>
      <c r="P1" s="262"/>
      <c r="Q1" s="262"/>
    </row>
    <row r="2" s="256" customFormat="1" ht="50.1" customHeight="1" spans="1:17">
      <c r="A2" s="257" t="s">
        <v>3</v>
      </c>
      <c r="B2" s="257" t="s">
        <v>4</v>
      </c>
      <c r="C2" s="258" t="s">
        <v>5</v>
      </c>
      <c r="D2" s="258" t="s">
        <v>6</v>
      </c>
      <c r="E2" s="257" t="s">
        <v>7</v>
      </c>
      <c r="F2" s="257" t="s">
        <v>53</v>
      </c>
      <c r="G2" s="257" t="s">
        <v>54</v>
      </c>
      <c r="H2" s="257" t="s">
        <v>8</v>
      </c>
      <c r="I2" s="257" t="s">
        <v>9</v>
      </c>
      <c r="J2" s="257" t="s">
        <v>10</v>
      </c>
      <c r="K2" s="257" t="s">
        <v>160</v>
      </c>
      <c r="L2" s="258" t="s">
        <v>11</v>
      </c>
      <c r="M2" s="258" t="s">
        <v>91</v>
      </c>
      <c r="N2" s="257" t="s">
        <v>31</v>
      </c>
      <c r="O2" s="261"/>
      <c r="P2" s="262"/>
      <c r="Q2" s="262"/>
    </row>
    <row r="3" s="256" customFormat="1" ht="24.75" customHeight="1" spans="1:17">
      <c r="A3" s="237">
        <v>1</v>
      </c>
      <c r="B3" s="259"/>
      <c r="C3" s="259"/>
      <c r="D3" s="260" t="s">
        <v>307</v>
      </c>
      <c r="E3" s="238" t="s">
        <v>308</v>
      </c>
      <c r="F3" s="259" t="s">
        <v>309</v>
      </c>
      <c r="G3" s="259" t="s">
        <v>310</v>
      </c>
      <c r="H3" s="238">
        <v>902</v>
      </c>
      <c r="I3" s="238" t="s">
        <v>311</v>
      </c>
      <c r="J3" s="263" t="s">
        <v>312</v>
      </c>
      <c r="K3" s="263"/>
      <c r="L3" s="264" t="s">
        <v>19</v>
      </c>
      <c r="M3" s="265">
        <v>46122</v>
      </c>
      <c r="N3" s="264" t="s">
        <v>313</v>
      </c>
      <c r="O3" s="261">
        <v>1095367</v>
      </c>
      <c r="P3" s="262"/>
      <c r="Q3" s="262"/>
    </row>
  </sheetData>
  <mergeCells count="1">
    <mergeCell ref="A1:N1"/>
  </mergeCells>
  <pageMargins left="0.699305555555556" right="0.699305555555556"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3"/>
  <sheetViews>
    <sheetView workbookViewId="0">
      <selection activeCell="L28" sqref="L28"/>
    </sheetView>
  </sheetViews>
  <sheetFormatPr defaultColWidth="9" defaultRowHeight="13.5" outlineLevelRow="2"/>
  <cols>
    <col min="1" max="2" width="12.375" customWidth="1"/>
    <col min="10" max="11" width="15.25" customWidth="1"/>
  </cols>
  <sheetData>
    <row r="1" s="1" customFormat="1" ht="39.95" customHeight="1" spans="1:11">
      <c r="A1" s="249" t="s">
        <v>314</v>
      </c>
      <c r="B1" s="249"/>
      <c r="C1" s="249"/>
      <c r="D1" s="249"/>
      <c r="E1" s="249"/>
      <c r="F1" s="249"/>
      <c r="G1" s="249"/>
      <c r="H1" s="249"/>
      <c r="I1" s="249"/>
      <c r="J1" s="249"/>
      <c r="K1" s="249"/>
    </row>
    <row r="2" s="1" customFormat="1" ht="39.95" customHeight="1" spans="1:11">
      <c r="A2" s="250" t="s">
        <v>10</v>
      </c>
      <c r="B2" s="251" t="s">
        <v>49</v>
      </c>
      <c r="C2" s="251" t="s">
        <v>50</v>
      </c>
      <c r="D2" s="251" t="s">
        <v>51</v>
      </c>
      <c r="E2" s="251" t="s">
        <v>52</v>
      </c>
      <c r="F2" s="251" t="s">
        <v>54</v>
      </c>
      <c r="G2" s="251" t="s">
        <v>53</v>
      </c>
      <c r="H2" s="252" t="s">
        <v>56</v>
      </c>
      <c r="I2" s="251" t="s">
        <v>11</v>
      </c>
      <c r="J2" s="253" t="s">
        <v>193</v>
      </c>
      <c r="K2" s="250" t="s">
        <v>176</v>
      </c>
    </row>
    <row r="3" s="1" customFormat="1" ht="27" customHeight="1" spans="1:12">
      <c r="A3" s="5" t="s">
        <v>315</v>
      </c>
      <c r="B3" s="5" t="s">
        <v>316</v>
      </c>
      <c r="C3" s="5"/>
      <c r="D3" s="5" t="s">
        <v>15</v>
      </c>
      <c r="E3" s="5" t="s">
        <v>283</v>
      </c>
      <c r="F3" s="5" t="s">
        <v>217</v>
      </c>
      <c r="G3" s="5" t="s">
        <v>217</v>
      </c>
      <c r="H3" s="5">
        <v>30</v>
      </c>
      <c r="I3" s="5" t="s">
        <v>19</v>
      </c>
      <c r="J3" s="254">
        <v>46122</v>
      </c>
      <c r="K3" s="255" t="s">
        <v>317</v>
      </c>
      <c r="L3" s="1">
        <v>1097860</v>
      </c>
    </row>
  </sheetData>
  <mergeCells count="1">
    <mergeCell ref="A1:K1"/>
  </mergeCells>
  <pageMargins left="0.699305555555556" right="0.699305555555556" top="0.75" bottom="0.75" header="0.3" footer="0.3"/>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O7"/>
  <sheetViews>
    <sheetView workbookViewId="0">
      <selection activeCell="J30" sqref="J30"/>
    </sheetView>
  </sheetViews>
  <sheetFormatPr defaultColWidth="9" defaultRowHeight="13.5" outlineLevelRow="6"/>
  <cols>
    <col min="2" max="2" width="20.25" customWidth="1"/>
    <col min="3" max="3" width="17.5" customWidth="1"/>
    <col min="5" max="5" width="15.375" customWidth="1"/>
    <col min="6" max="6" width="21.625" customWidth="1"/>
    <col min="10" max="10" width="19" customWidth="1"/>
  </cols>
  <sheetData>
    <row r="1" s="64" customFormat="1" ht="25.5" customHeight="1" spans="1:15">
      <c r="A1" s="223" t="s">
        <v>318</v>
      </c>
      <c r="B1" s="223"/>
      <c r="C1" s="223"/>
      <c r="D1" s="223"/>
      <c r="E1" s="223"/>
      <c r="F1" s="223"/>
      <c r="G1" s="223"/>
      <c r="H1" s="223"/>
      <c r="I1" s="223"/>
      <c r="J1" s="242" t="str">
        <f t="shared" ref="J1:J4" si="0">710&amp;K1</f>
        <v>710</v>
      </c>
      <c r="K1" s="243"/>
      <c r="L1" s="244"/>
      <c r="M1" s="237"/>
      <c r="N1" s="245" t="e">
        <f>VLOOKUP(J1,[7]匹配!B:G,6,FALSE)</f>
        <v>#N/A</v>
      </c>
      <c r="O1" s="246" t="e">
        <f>VLOOKUP(J1,[7]匹配!B:F,5,FALSE)</f>
        <v>#N/A</v>
      </c>
    </row>
    <row r="2" s="64" customFormat="1" ht="25.5" customHeight="1" spans="1:15">
      <c r="A2" s="224" t="s">
        <v>319</v>
      </c>
      <c r="B2" s="224"/>
      <c r="C2" s="224"/>
      <c r="D2" s="225" t="s">
        <v>320</v>
      </c>
      <c r="E2" s="226" t="s">
        <v>321</v>
      </c>
      <c r="F2" s="227" t="s">
        <v>322</v>
      </c>
      <c r="G2" s="228" t="s">
        <v>19</v>
      </c>
      <c r="H2" s="229"/>
      <c r="I2" s="229"/>
      <c r="J2" s="242" t="str">
        <f t="shared" si="0"/>
        <v>710</v>
      </c>
      <c r="K2" s="243"/>
      <c r="L2" s="244"/>
      <c r="M2" s="237"/>
      <c r="N2" s="245" t="e">
        <f>VLOOKUP(J2,[7]匹配!B:G,6,FALSE)</f>
        <v>#N/A</v>
      </c>
      <c r="O2" s="246" t="e">
        <f>VLOOKUP(J2,[7]匹配!B:F,5,FALSE)</f>
        <v>#N/A</v>
      </c>
    </row>
    <row r="3" s="64" customFormat="1" ht="25.5" customHeight="1" spans="1:15">
      <c r="A3" s="230" t="s">
        <v>323</v>
      </c>
      <c r="B3" s="231" t="s">
        <v>109</v>
      </c>
      <c r="C3" s="232" t="s">
        <v>121</v>
      </c>
      <c r="D3" s="231" t="s">
        <v>324</v>
      </c>
      <c r="E3" s="231" t="s">
        <v>325</v>
      </c>
      <c r="F3" s="233">
        <v>46135</v>
      </c>
      <c r="G3" s="231" t="s">
        <v>127</v>
      </c>
      <c r="H3" s="231" t="s">
        <v>326</v>
      </c>
      <c r="I3" s="231"/>
      <c r="J3" s="242" t="str">
        <f t="shared" si="0"/>
        <v>710</v>
      </c>
      <c r="K3" s="243"/>
      <c r="L3" s="244"/>
      <c r="M3" s="237"/>
      <c r="N3" s="245" t="e">
        <f>VLOOKUP(J3,[7]匹配!B:G,6,FALSE)</f>
        <v>#N/A</v>
      </c>
      <c r="O3" s="246" t="e">
        <f>VLOOKUP(J3,[7]匹配!B:F,5,FALSE)</f>
        <v>#N/A</v>
      </c>
    </row>
    <row r="4" s="64" customFormat="1" ht="25.5" customHeight="1" spans="1:15">
      <c r="A4" s="234" t="s">
        <v>3</v>
      </c>
      <c r="B4" s="234" t="s">
        <v>327</v>
      </c>
      <c r="C4" s="235" t="s">
        <v>328</v>
      </c>
      <c r="D4" s="234" t="s">
        <v>329</v>
      </c>
      <c r="E4" s="234" t="s">
        <v>330</v>
      </c>
      <c r="F4" s="236" t="s">
        <v>76</v>
      </c>
      <c r="G4" s="234" t="s">
        <v>93</v>
      </c>
      <c r="H4" s="234" t="s">
        <v>31</v>
      </c>
      <c r="I4" s="234" t="s">
        <v>11</v>
      </c>
      <c r="J4" s="242" t="str">
        <f t="shared" si="0"/>
        <v>710</v>
      </c>
      <c r="K4" s="243"/>
      <c r="L4" s="244"/>
      <c r="M4" s="237"/>
      <c r="N4" s="245" t="e">
        <f>VLOOKUP(J4,[7]匹配!B:G,6,FALSE)</f>
        <v>#N/A</v>
      </c>
      <c r="O4" s="246" t="e">
        <f>VLOOKUP(J4,[7]匹配!B:F,5,FALSE)</f>
        <v>#N/A</v>
      </c>
    </row>
    <row r="5" s="64" customFormat="1" ht="25.5" customHeight="1" spans="1:15">
      <c r="A5" s="237">
        <v>1</v>
      </c>
      <c r="B5" s="238" t="s">
        <v>331</v>
      </c>
      <c r="C5" s="239"/>
      <c r="D5" s="238"/>
      <c r="E5" s="238" t="s">
        <v>332</v>
      </c>
      <c r="F5" s="240">
        <v>46126</v>
      </c>
      <c r="G5" s="238">
        <v>50</v>
      </c>
      <c r="H5" s="237"/>
      <c r="I5" s="247" t="s">
        <v>19</v>
      </c>
      <c r="J5" s="242" t="s">
        <v>333</v>
      </c>
      <c r="K5" s="243" t="s">
        <v>334</v>
      </c>
      <c r="L5" s="244"/>
      <c r="M5" s="237"/>
      <c r="N5" s="245" t="s">
        <v>335</v>
      </c>
      <c r="O5" s="246" t="s">
        <v>336</v>
      </c>
    </row>
    <row r="6" s="64" customFormat="1" ht="25.5" customHeight="1" spans="1:15">
      <c r="A6" s="237">
        <v>2</v>
      </c>
      <c r="B6" s="238" t="s">
        <v>337</v>
      </c>
      <c r="C6" s="239"/>
      <c r="D6" s="238"/>
      <c r="E6" s="238" t="s">
        <v>338</v>
      </c>
      <c r="F6" s="240">
        <v>46128</v>
      </c>
      <c r="G6" s="238">
        <v>51</v>
      </c>
      <c r="H6" s="237"/>
      <c r="I6" s="248"/>
      <c r="J6" s="242" t="s">
        <v>339</v>
      </c>
      <c r="K6" s="243" t="s">
        <v>340</v>
      </c>
      <c r="L6" s="244"/>
      <c r="M6" s="237"/>
      <c r="N6" s="245" t="s">
        <v>341</v>
      </c>
      <c r="O6" s="246" t="s">
        <v>342</v>
      </c>
    </row>
    <row r="7" s="64" customFormat="1" ht="25.5" customHeight="1" spans="1:15">
      <c r="A7" s="241" t="s">
        <v>343</v>
      </c>
      <c r="B7" s="241"/>
      <c r="C7" s="241"/>
      <c r="D7" s="241"/>
      <c r="E7" s="241"/>
      <c r="F7" s="241"/>
      <c r="G7" s="241"/>
      <c r="H7" s="241"/>
      <c r="I7" s="241"/>
      <c r="J7" s="242" t="str">
        <f t="shared" ref="J7" si="1">L7&amp;K7</f>
        <v>7100</v>
      </c>
      <c r="K7" s="243"/>
      <c r="L7" s="244">
        <f t="shared" ref="L7" si="2">IF(K7&gt;999999,710,7100)</f>
        <v>7100</v>
      </c>
      <c r="M7" s="237"/>
      <c r="N7" s="245" t="e">
        <f>VLOOKUP(J7,[8]匹配!B:G,6,FALSE)</f>
        <v>#N/A</v>
      </c>
      <c r="O7" s="246" t="e">
        <f>VLOOKUP(J7,[8]匹配!B:F,5,FALSE)</f>
        <v>#N/A</v>
      </c>
    </row>
  </sheetData>
  <mergeCells count="4">
    <mergeCell ref="A1:I1"/>
    <mergeCell ref="A2:C2"/>
    <mergeCell ref="A7:I7"/>
    <mergeCell ref="I5:I6"/>
  </mergeCells>
  <conditionalFormatting sqref="J4">
    <cfRule type="duplicateValues" dxfId="0" priority="2"/>
  </conditionalFormatting>
  <conditionalFormatting sqref="J7">
    <cfRule type="duplicateValues" dxfId="0" priority="1"/>
  </conditionalFormatting>
  <conditionalFormatting sqref="J1:J3">
    <cfRule type="duplicateValues" dxfId="0" priority="3"/>
  </conditionalFormatting>
  <conditionalFormatting sqref="J5:J6">
    <cfRule type="duplicateValues" dxfId="0" priority="4"/>
  </conditionalFormatting>
  <pageMargins left="0.699305555555556" right="0.699305555555556" top="0.75" bottom="0.75" header="0.3" footer="0.3"/>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S15"/>
  <sheetViews>
    <sheetView workbookViewId="0">
      <selection activeCell="O27" sqref="O27"/>
    </sheetView>
  </sheetViews>
  <sheetFormatPr defaultColWidth="9" defaultRowHeight="13.5"/>
  <sheetData>
    <row r="1" ht="33.75" spans="1:19">
      <c r="A1" s="190" t="s">
        <v>344</v>
      </c>
      <c r="B1" s="190"/>
      <c r="C1" s="190"/>
      <c r="D1" s="190"/>
      <c r="E1" s="190"/>
      <c r="F1" s="190"/>
      <c r="G1" s="190"/>
      <c r="H1" s="190"/>
      <c r="I1" s="190"/>
      <c r="J1" s="190"/>
      <c r="K1" s="190"/>
      <c r="L1" s="190"/>
      <c r="M1" s="190"/>
      <c r="N1" s="190"/>
      <c r="O1" s="190"/>
      <c r="P1" s="190"/>
      <c r="Q1" s="190"/>
      <c r="R1" s="190"/>
      <c r="S1" s="190"/>
    </row>
    <row r="2" ht="25.5" spans="1:19">
      <c r="A2" s="191" t="s">
        <v>345</v>
      </c>
      <c r="B2" s="191"/>
      <c r="C2" s="191"/>
      <c r="D2" s="191"/>
      <c r="E2" s="191"/>
      <c r="F2" s="191"/>
      <c r="G2" s="191"/>
      <c r="H2" s="191"/>
      <c r="I2" s="191"/>
      <c r="J2" s="191"/>
      <c r="K2" s="191"/>
      <c r="L2" s="191"/>
      <c r="M2" s="191"/>
      <c r="N2" s="191"/>
      <c r="O2" s="191"/>
      <c r="P2" s="191"/>
      <c r="Q2" s="191"/>
      <c r="R2" s="191"/>
      <c r="S2" s="191"/>
    </row>
    <row r="3" ht="37.5" spans="1:19">
      <c r="A3" s="192" t="s">
        <v>346</v>
      </c>
      <c r="B3" s="192"/>
      <c r="C3" s="193" t="s">
        <v>109</v>
      </c>
      <c r="D3" s="194"/>
      <c r="E3" s="195" t="s">
        <v>347</v>
      </c>
      <c r="F3" s="195"/>
      <c r="G3" s="195"/>
      <c r="H3" s="195"/>
      <c r="I3" s="213" t="s">
        <v>348</v>
      </c>
      <c r="J3" s="214" t="s">
        <v>349</v>
      </c>
      <c r="K3" s="214"/>
      <c r="L3" s="214" t="s">
        <v>350</v>
      </c>
      <c r="M3" s="214"/>
      <c r="N3" s="214"/>
      <c r="O3" s="214" t="s">
        <v>351</v>
      </c>
      <c r="P3" s="214"/>
      <c r="Q3" s="214" t="s">
        <v>350</v>
      </c>
      <c r="R3" s="214"/>
      <c r="S3" s="214"/>
    </row>
    <row r="4" ht="22.5" spans="1:19">
      <c r="A4" s="196" t="s">
        <v>352</v>
      </c>
      <c r="B4" s="196"/>
      <c r="C4" s="196"/>
      <c r="D4" s="197" t="s">
        <v>353</v>
      </c>
      <c r="E4" s="197"/>
      <c r="F4" s="197"/>
      <c r="G4" s="197"/>
      <c r="H4" s="197"/>
      <c r="I4" s="197"/>
      <c r="J4" s="197"/>
      <c r="K4" s="197"/>
      <c r="L4" s="192" t="s">
        <v>354</v>
      </c>
      <c r="M4" s="192"/>
      <c r="N4" s="192"/>
      <c r="O4" s="215" t="s">
        <v>355</v>
      </c>
      <c r="P4" s="215"/>
      <c r="Q4" s="215"/>
      <c r="R4" s="215"/>
      <c r="S4" s="215"/>
    </row>
    <row r="5" ht="14.25" spans="1:19">
      <c r="A5" s="198" t="s">
        <v>356</v>
      </c>
      <c r="B5" s="198"/>
      <c r="C5" s="198"/>
      <c r="D5" s="192" t="s">
        <v>357</v>
      </c>
      <c r="E5" s="192"/>
      <c r="F5" s="192"/>
      <c r="G5" s="192"/>
      <c r="H5" s="192"/>
      <c r="I5" s="192"/>
      <c r="J5" s="192"/>
      <c r="K5" s="192"/>
      <c r="L5" s="192"/>
      <c r="M5" s="192"/>
      <c r="N5" s="192"/>
      <c r="O5" s="192"/>
      <c r="P5" s="192"/>
      <c r="Q5" s="192"/>
      <c r="R5" s="192"/>
      <c r="S5" s="192"/>
    </row>
    <row r="6" ht="14.25" spans="1:19">
      <c r="A6" s="198"/>
      <c r="B6" s="198"/>
      <c r="C6" s="198"/>
      <c r="D6" s="192" t="s">
        <v>358</v>
      </c>
      <c r="E6" s="192"/>
      <c r="F6" s="192"/>
      <c r="G6" s="192"/>
      <c r="H6" s="192"/>
      <c r="I6" s="192"/>
      <c r="J6" s="192"/>
      <c r="K6" s="192"/>
      <c r="L6" s="192"/>
      <c r="M6" s="192"/>
      <c r="N6" s="192"/>
      <c r="O6" s="192"/>
      <c r="P6" s="192"/>
      <c r="Q6" s="192"/>
      <c r="R6" s="192"/>
      <c r="S6" s="192"/>
    </row>
    <row r="7" ht="28.5" spans="1:19">
      <c r="A7" s="199" t="s">
        <v>3</v>
      </c>
      <c r="B7" s="200" t="s">
        <v>359</v>
      </c>
      <c r="C7" s="201"/>
      <c r="D7" s="202" t="s">
        <v>26</v>
      </c>
      <c r="E7" s="202"/>
      <c r="F7" s="202" t="s">
        <v>171</v>
      </c>
      <c r="G7" s="202" t="s">
        <v>93</v>
      </c>
      <c r="H7" s="202"/>
      <c r="I7" s="202" t="s">
        <v>360</v>
      </c>
      <c r="J7" s="202"/>
      <c r="K7" s="216" t="s">
        <v>361</v>
      </c>
      <c r="L7" s="216"/>
      <c r="M7" s="216" t="s">
        <v>362</v>
      </c>
      <c r="N7" s="216"/>
      <c r="O7" s="216"/>
      <c r="P7" s="216" t="s">
        <v>363</v>
      </c>
      <c r="Q7" s="216"/>
      <c r="R7" s="216" t="s">
        <v>364</v>
      </c>
      <c r="S7" s="216" t="s">
        <v>365</v>
      </c>
    </row>
    <row r="8" ht="71.25" spans="1:19">
      <c r="A8" s="203">
        <v>1</v>
      </c>
      <c r="B8" s="204" t="s">
        <v>366</v>
      </c>
      <c r="C8" s="204"/>
      <c r="D8" s="203"/>
      <c r="E8" s="203"/>
      <c r="F8" s="203" t="s">
        <v>367</v>
      </c>
      <c r="G8" s="203">
        <v>17</v>
      </c>
      <c r="H8" s="203"/>
      <c r="I8" s="217" t="s">
        <v>368</v>
      </c>
      <c r="J8" s="217"/>
      <c r="K8" s="203">
        <v>1</v>
      </c>
      <c r="L8" s="203"/>
      <c r="M8" s="200" t="s">
        <v>138</v>
      </c>
      <c r="N8" s="218"/>
      <c r="O8" s="201"/>
      <c r="P8" s="200" t="s">
        <v>138</v>
      </c>
      <c r="Q8" s="201"/>
      <c r="R8" s="216" t="s">
        <v>369</v>
      </c>
      <c r="S8" s="222">
        <v>2</v>
      </c>
    </row>
    <row r="9" ht="18.75" spans="1:19">
      <c r="A9" s="205" t="s">
        <v>370</v>
      </c>
      <c r="B9" s="206"/>
      <c r="C9" s="206"/>
      <c r="D9" s="206"/>
      <c r="E9" s="206"/>
      <c r="F9" s="206"/>
      <c r="G9" s="207"/>
      <c r="H9" s="208" t="s">
        <v>371</v>
      </c>
      <c r="I9" s="219"/>
      <c r="J9" s="219"/>
      <c r="K9" s="219"/>
      <c r="L9" s="219"/>
      <c r="M9" s="220"/>
      <c r="N9" s="208" t="s">
        <v>372</v>
      </c>
      <c r="O9" s="219"/>
      <c r="P9" s="219"/>
      <c r="Q9" s="219"/>
      <c r="R9" s="219"/>
      <c r="S9" s="220"/>
    </row>
    <row r="10" ht="18.75" spans="1:19">
      <c r="A10" s="209" t="s">
        <v>373</v>
      </c>
      <c r="B10" s="209"/>
      <c r="C10" s="209"/>
      <c r="D10" s="209"/>
      <c r="E10" s="209"/>
      <c r="F10" s="209"/>
      <c r="G10" s="209"/>
      <c r="H10" s="209" t="s">
        <v>374</v>
      </c>
      <c r="I10" s="209"/>
      <c r="J10" s="209"/>
      <c r="K10" s="209"/>
      <c r="L10" s="209"/>
      <c r="M10" s="209"/>
      <c r="N10" s="221" t="s">
        <v>234</v>
      </c>
      <c r="O10" s="221"/>
      <c r="P10" s="221"/>
      <c r="Q10" s="221"/>
      <c r="R10" s="221"/>
      <c r="S10" s="221"/>
    </row>
    <row r="11" spans="1:19">
      <c r="A11" s="210" t="s">
        <v>375</v>
      </c>
      <c r="B11" s="210"/>
      <c r="C11" s="210"/>
      <c r="D11" s="210"/>
      <c r="E11" s="210"/>
      <c r="F11" s="210"/>
      <c r="G11" s="210"/>
      <c r="H11" s="210"/>
      <c r="I11" s="210"/>
      <c r="J11" s="210"/>
      <c r="K11" s="210"/>
      <c r="L11" s="210"/>
      <c r="M11" s="210"/>
      <c r="N11" s="210"/>
      <c r="O11" s="210"/>
      <c r="P11" s="210"/>
      <c r="Q11" s="210"/>
      <c r="R11" s="210"/>
      <c r="S11" s="210"/>
    </row>
    <row r="12" spans="1:19">
      <c r="A12" s="210" t="s">
        <v>376</v>
      </c>
      <c r="B12" s="210"/>
      <c r="C12" s="210"/>
      <c r="D12" s="210"/>
      <c r="E12" s="210"/>
      <c r="F12" s="210"/>
      <c r="G12" s="210"/>
      <c r="H12" s="210"/>
      <c r="I12" s="210"/>
      <c r="J12" s="210"/>
      <c r="K12" s="210"/>
      <c r="L12" s="210"/>
      <c r="M12" s="210"/>
      <c r="N12" s="210"/>
      <c r="O12" s="210"/>
      <c r="P12" s="210"/>
      <c r="Q12" s="210"/>
      <c r="R12" s="210"/>
      <c r="S12" s="210"/>
    </row>
    <row r="13" spans="1:19">
      <c r="A13" s="211" t="s">
        <v>377</v>
      </c>
      <c r="B13" s="211"/>
      <c r="C13" s="211"/>
      <c r="D13" s="211"/>
      <c r="E13" s="211"/>
      <c r="F13" s="211"/>
      <c r="G13" s="211"/>
      <c r="H13" s="211"/>
      <c r="I13" s="211"/>
      <c r="J13" s="211"/>
      <c r="K13" s="211"/>
      <c r="L13" s="211"/>
      <c r="M13" s="211"/>
      <c r="N13" s="211"/>
      <c r="O13" s="211"/>
      <c r="P13" s="211"/>
      <c r="Q13" s="211"/>
      <c r="R13" s="211"/>
      <c r="S13" s="211"/>
    </row>
    <row r="14" spans="1:19">
      <c r="A14" s="210" t="s">
        <v>378</v>
      </c>
      <c r="B14" s="210"/>
      <c r="C14" s="210"/>
      <c r="D14" s="210"/>
      <c r="E14" s="210"/>
      <c r="F14" s="210"/>
      <c r="G14" s="210"/>
      <c r="H14" s="210"/>
      <c r="I14" s="210"/>
      <c r="J14" s="210"/>
      <c r="K14" s="210"/>
      <c r="L14" s="210"/>
      <c r="M14" s="210"/>
      <c r="N14" s="210"/>
      <c r="O14" s="210"/>
      <c r="P14" s="210"/>
      <c r="Q14" s="210"/>
      <c r="R14" s="210"/>
      <c r="S14" s="210"/>
    </row>
    <row r="15" spans="1:19">
      <c r="A15" s="212" t="s">
        <v>379</v>
      </c>
      <c r="B15" s="212"/>
      <c r="C15" s="212"/>
      <c r="D15" s="212"/>
      <c r="E15" s="212"/>
      <c r="F15" s="212"/>
      <c r="G15" s="212"/>
      <c r="H15" s="212"/>
      <c r="I15" s="212"/>
      <c r="J15" s="212"/>
      <c r="K15" s="212"/>
      <c r="L15" s="212"/>
      <c r="M15" s="212"/>
      <c r="N15" s="212"/>
      <c r="O15" s="212"/>
      <c r="P15" s="212"/>
      <c r="Q15" s="212"/>
      <c r="R15" s="212"/>
      <c r="S15" s="212"/>
    </row>
  </sheetData>
  <mergeCells count="41">
    <mergeCell ref="A1:S1"/>
    <mergeCell ref="A2:S2"/>
    <mergeCell ref="A3:B3"/>
    <mergeCell ref="C3:D3"/>
    <mergeCell ref="E3:H3"/>
    <mergeCell ref="J3:K3"/>
    <mergeCell ref="L3:N3"/>
    <mergeCell ref="O3:P3"/>
    <mergeCell ref="Q3:S3"/>
    <mergeCell ref="A4:C4"/>
    <mergeCell ref="D4:K4"/>
    <mergeCell ref="L4:N4"/>
    <mergeCell ref="O4:S4"/>
    <mergeCell ref="D5:S5"/>
    <mergeCell ref="D6:S6"/>
    <mergeCell ref="B7:C7"/>
    <mergeCell ref="D7:E7"/>
    <mergeCell ref="G7:H7"/>
    <mergeCell ref="I7:J7"/>
    <mergeCell ref="K7:L7"/>
    <mergeCell ref="M7:O7"/>
    <mergeCell ref="P7:Q7"/>
    <mergeCell ref="B8:C8"/>
    <mergeCell ref="D8:E8"/>
    <mergeCell ref="G8:H8"/>
    <mergeCell ref="I8:J8"/>
    <mergeCell ref="K8:L8"/>
    <mergeCell ref="M8:O8"/>
    <mergeCell ref="P8:Q8"/>
    <mergeCell ref="A9:G9"/>
    <mergeCell ref="H9:M9"/>
    <mergeCell ref="N9:S9"/>
    <mergeCell ref="A10:G10"/>
    <mergeCell ref="H10:M10"/>
    <mergeCell ref="N10:S10"/>
    <mergeCell ref="A11:S11"/>
    <mergeCell ref="A12:S12"/>
    <mergeCell ref="A13:S13"/>
    <mergeCell ref="A14:S14"/>
    <mergeCell ref="A15:S15"/>
    <mergeCell ref="A5:C6"/>
  </mergeCells>
  <pageMargins left="0.699305555555556" right="0.699305555555556" top="0.75" bottom="0.75" header="0.3" footer="0.3"/>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11"/>
  <sheetViews>
    <sheetView workbookViewId="0">
      <selection activeCell="M25" sqref="M25"/>
    </sheetView>
  </sheetViews>
  <sheetFormatPr defaultColWidth="9" defaultRowHeight="13.5"/>
  <sheetData>
    <row r="1" s="157" customFormat="1" ht="16.5" spans="1:27">
      <c r="A1" s="161" t="s">
        <v>380</v>
      </c>
      <c r="B1" s="162" t="s">
        <v>381</v>
      </c>
      <c r="C1" s="163"/>
      <c r="D1" s="163"/>
      <c r="E1" s="163"/>
      <c r="F1" s="163"/>
      <c r="G1" s="163"/>
      <c r="H1" s="163"/>
      <c r="I1" s="165" t="s">
        <v>382</v>
      </c>
      <c r="J1" s="177"/>
      <c r="K1" s="165"/>
      <c r="L1" s="178"/>
      <c r="M1" s="165"/>
      <c r="N1" s="165"/>
      <c r="O1" s="165"/>
      <c r="P1" s="165"/>
      <c r="Q1" s="165"/>
      <c r="R1" s="165"/>
      <c r="S1" s="165"/>
      <c r="T1" s="165"/>
      <c r="U1" s="165"/>
      <c r="V1" s="164"/>
      <c r="W1" s="164"/>
      <c r="X1" s="164"/>
      <c r="Y1" s="164"/>
      <c r="Z1" s="164"/>
      <c r="AA1" s="164"/>
    </row>
    <row r="2" s="157" customFormat="1" ht="16.5" spans="1:27">
      <c r="A2" s="161" t="s">
        <v>383</v>
      </c>
      <c r="B2" s="161"/>
      <c r="C2" s="161"/>
      <c r="D2" s="164" t="s">
        <v>384</v>
      </c>
      <c r="E2" s="165"/>
      <c r="F2" s="165"/>
      <c r="G2" s="165"/>
      <c r="H2" s="165"/>
      <c r="I2" s="165" t="s">
        <v>385</v>
      </c>
      <c r="J2" s="177"/>
      <c r="K2" s="165"/>
      <c r="L2" s="179" t="s">
        <v>109</v>
      </c>
      <c r="M2" s="165"/>
      <c r="N2" s="165"/>
      <c r="O2" s="165"/>
      <c r="P2" s="165"/>
      <c r="Q2" s="165"/>
      <c r="R2" s="165"/>
      <c r="S2" s="165"/>
      <c r="T2" s="165"/>
      <c r="U2" s="165"/>
      <c r="V2" s="164"/>
      <c r="W2" s="164"/>
      <c r="X2" s="164"/>
      <c r="Y2" s="164"/>
      <c r="Z2" s="164"/>
      <c r="AA2" s="164"/>
    </row>
    <row r="3" s="157" customFormat="1" ht="16.5" spans="1:27">
      <c r="A3" s="161" t="s">
        <v>386</v>
      </c>
      <c r="B3" s="161"/>
      <c r="C3" s="161"/>
      <c r="D3" s="165"/>
      <c r="E3" s="165"/>
      <c r="F3" s="165"/>
      <c r="G3" s="165"/>
      <c r="H3" s="165"/>
      <c r="I3" s="165" t="s">
        <v>387</v>
      </c>
      <c r="J3" s="177"/>
      <c r="K3" s="165"/>
      <c r="L3" s="178"/>
      <c r="M3" s="165"/>
      <c r="N3" s="165"/>
      <c r="O3" s="165"/>
      <c r="P3" s="165"/>
      <c r="Q3" s="165"/>
      <c r="R3" s="165"/>
      <c r="S3" s="165"/>
      <c r="T3" s="165"/>
      <c r="U3" s="165"/>
      <c r="V3" s="164"/>
      <c r="W3" s="164"/>
      <c r="X3" s="164"/>
      <c r="Y3" s="164"/>
      <c r="Z3" s="164"/>
      <c r="AA3" s="164"/>
    </row>
    <row r="4" s="157" customFormat="1" ht="16.5" spans="1:27">
      <c r="A4" s="161" t="s">
        <v>388</v>
      </c>
      <c r="B4" s="161"/>
      <c r="C4" s="161"/>
      <c r="D4" s="165" t="s">
        <v>389</v>
      </c>
      <c r="E4" s="165"/>
      <c r="F4" s="165"/>
      <c r="G4" s="165"/>
      <c r="H4" s="165"/>
      <c r="I4" s="165" t="s">
        <v>390</v>
      </c>
      <c r="J4" s="177"/>
      <c r="K4" s="165"/>
      <c r="L4" s="178"/>
      <c r="M4" s="165"/>
      <c r="N4" s="165"/>
      <c r="O4" s="165"/>
      <c r="P4" s="165"/>
      <c r="Q4" s="165"/>
      <c r="R4" s="165"/>
      <c r="S4" s="165"/>
      <c r="T4" s="165"/>
      <c r="U4" s="165"/>
      <c r="V4" s="164"/>
      <c r="W4" s="164"/>
      <c r="X4" s="164"/>
      <c r="Y4" s="164"/>
      <c r="Z4" s="164"/>
      <c r="AA4" s="164"/>
    </row>
    <row r="5" s="157" customFormat="1" ht="16.5" spans="1:27">
      <c r="A5" s="161" t="s">
        <v>391</v>
      </c>
      <c r="B5" s="161"/>
      <c r="C5" s="161"/>
      <c r="D5" s="165" t="s">
        <v>392</v>
      </c>
      <c r="E5" s="165"/>
      <c r="F5" s="165"/>
      <c r="G5" s="165" t="s">
        <v>393</v>
      </c>
      <c r="H5" s="165"/>
      <c r="I5" s="165"/>
      <c r="J5" s="177" t="s">
        <v>394</v>
      </c>
      <c r="K5" s="165"/>
      <c r="L5" s="178"/>
      <c r="M5" s="165"/>
      <c r="N5" s="165"/>
      <c r="O5" s="165"/>
      <c r="P5" s="165" t="s">
        <v>395</v>
      </c>
      <c r="Q5" s="165"/>
      <c r="R5" s="165"/>
      <c r="S5" s="165"/>
      <c r="T5" s="165"/>
      <c r="U5" s="165"/>
      <c r="V5" s="164"/>
      <c r="W5" s="164"/>
      <c r="X5" s="164"/>
      <c r="Y5" s="164"/>
      <c r="Z5" s="164"/>
      <c r="AA5" s="164"/>
    </row>
    <row r="6" s="158" customFormat="1" ht="18" spans="1:27">
      <c r="A6" s="166" t="s">
        <v>396</v>
      </c>
      <c r="B6" s="167" t="s">
        <v>397</v>
      </c>
      <c r="C6" s="167" t="s">
        <v>398</v>
      </c>
      <c r="D6" s="168" t="s">
        <v>399</v>
      </c>
      <c r="E6" s="169" t="s">
        <v>400</v>
      </c>
      <c r="F6" s="169" t="s">
        <v>401</v>
      </c>
      <c r="G6" s="168" t="s">
        <v>8</v>
      </c>
      <c r="H6" s="169" t="s">
        <v>402</v>
      </c>
      <c r="I6" s="169" t="s">
        <v>403</v>
      </c>
      <c r="J6" s="180" t="s">
        <v>11</v>
      </c>
      <c r="K6" s="168" t="s">
        <v>404</v>
      </c>
      <c r="L6" s="181" t="s">
        <v>405</v>
      </c>
      <c r="M6" s="182" t="s">
        <v>406</v>
      </c>
      <c r="N6" s="168" t="s">
        <v>76</v>
      </c>
      <c r="O6" s="169" t="s">
        <v>407</v>
      </c>
      <c r="P6" s="169" t="s">
        <v>408</v>
      </c>
      <c r="Q6" s="168" t="s">
        <v>174</v>
      </c>
      <c r="R6" s="168" t="s">
        <v>409</v>
      </c>
      <c r="S6" s="168" t="s">
        <v>410</v>
      </c>
      <c r="T6" s="168" t="s">
        <v>411</v>
      </c>
      <c r="U6" s="169" t="s">
        <v>412</v>
      </c>
      <c r="V6" s="188" t="s">
        <v>25</v>
      </c>
      <c r="W6" s="188" t="s">
        <v>413</v>
      </c>
      <c r="X6" s="188" t="s">
        <v>414</v>
      </c>
      <c r="Y6" s="188" t="s">
        <v>90</v>
      </c>
      <c r="Z6" s="188"/>
      <c r="AA6" s="188"/>
    </row>
    <row r="7" s="159" customFormat="1" ht="47.25" customHeight="1" spans="1:27">
      <c r="A7" s="170">
        <v>1</v>
      </c>
      <c r="B7" s="171"/>
      <c r="C7" s="171"/>
      <c r="D7" s="171"/>
      <c r="E7" s="171" t="s">
        <v>415</v>
      </c>
      <c r="F7" s="171"/>
      <c r="G7" s="171">
        <v>2267</v>
      </c>
      <c r="H7" s="171"/>
      <c r="I7" s="171" t="s">
        <v>416</v>
      </c>
      <c r="J7" s="171" t="s">
        <v>417</v>
      </c>
      <c r="K7" s="171"/>
      <c r="L7" s="171">
        <v>13</v>
      </c>
      <c r="M7" s="171"/>
      <c r="N7" s="183"/>
      <c r="O7" s="171"/>
      <c r="P7" s="171"/>
      <c r="Q7" s="171"/>
      <c r="R7" s="171"/>
      <c r="S7" s="171"/>
      <c r="T7" s="171">
        <v>3100</v>
      </c>
      <c r="U7" s="171"/>
      <c r="V7" s="159" t="s">
        <v>418</v>
      </c>
      <c r="W7" s="159" t="s">
        <v>419</v>
      </c>
      <c r="X7" s="159" t="s">
        <v>420</v>
      </c>
      <c r="Z7" s="159">
        <v>1082237</v>
      </c>
      <c r="AA7" s="159" t="s">
        <v>421</v>
      </c>
    </row>
    <row r="8" s="160" customFormat="1" ht="16.5" spans="1:27">
      <c r="A8" s="172" t="s">
        <v>422</v>
      </c>
      <c r="B8" s="172"/>
      <c r="C8" s="172"/>
      <c r="D8" s="173"/>
      <c r="E8" s="173"/>
      <c r="F8" s="173"/>
      <c r="G8" s="173"/>
      <c r="H8" s="173"/>
      <c r="I8" s="173"/>
      <c r="J8" s="184" t="s">
        <v>423</v>
      </c>
      <c r="K8" s="173"/>
      <c r="L8" s="185"/>
      <c r="M8" s="173"/>
      <c r="N8" s="173"/>
      <c r="O8" s="173"/>
      <c r="P8" s="173"/>
      <c r="Q8" s="173"/>
      <c r="R8" s="173"/>
      <c r="S8" s="173"/>
      <c r="T8" s="173"/>
      <c r="U8" s="173"/>
      <c r="V8" s="189"/>
      <c r="W8" s="189"/>
      <c r="X8" s="189"/>
      <c r="Y8" s="189"/>
      <c r="Z8" s="189"/>
      <c r="AA8" s="189"/>
    </row>
    <row r="9" s="160" customFormat="1" ht="16.5" spans="1:27">
      <c r="A9" s="174" t="s">
        <v>424</v>
      </c>
      <c r="B9" s="174"/>
      <c r="C9" s="174"/>
      <c r="D9" s="175"/>
      <c r="E9" s="175"/>
      <c r="F9" s="175"/>
      <c r="G9" s="175"/>
      <c r="H9" s="175"/>
      <c r="I9" s="175"/>
      <c r="J9" s="186" t="s">
        <v>425</v>
      </c>
      <c r="K9" s="175"/>
      <c r="L9" s="187"/>
      <c r="M9" s="175"/>
      <c r="N9" s="175"/>
      <c r="O9" s="175"/>
      <c r="P9" s="175"/>
      <c r="Q9" s="175"/>
      <c r="R9" s="175"/>
      <c r="S9" s="175"/>
      <c r="T9" s="175"/>
      <c r="U9" s="175"/>
      <c r="V9" s="189"/>
      <c r="W9" s="189"/>
      <c r="X9" s="189"/>
      <c r="Y9" s="189"/>
      <c r="Z9" s="189"/>
      <c r="AA9" s="189"/>
    </row>
    <row r="10" s="160" customFormat="1" ht="16.5" spans="1:27">
      <c r="A10" s="176" t="s">
        <v>426</v>
      </c>
      <c r="B10" s="172"/>
      <c r="C10" s="172"/>
      <c r="D10" s="173"/>
      <c r="E10" s="173"/>
      <c r="F10" s="173"/>
      <c r="G10" s="173"/>
      <c r="H10" s="173"/>
      <c r="I10" s="173"/>
      <c r="J10" s="184" t="s">
        <v>423</v>
      </c>
      <c r="K10" s="173"/>
      <c r="L10" s="185"/>
      <c r="M10" s="173"/>
      <c r="N10" s="173"/>
      <c r="O10" s="173"/>
      <c r="P10" s="173"/>
      <c r="Q10" s="173"/>
      <c r="R10" s="173"/>
      <c r="S10" s="173"/>
      <c r="T10" s="173"/>
      <c r="U10" s="173"/>
      <c r="V10" s="189"/>
      <c r="W10" s="189"/>
      <c r="X10" s="189"/>
      <c r="Y10" s="189"/>
      <c r="Z10" s="189"/>
      <c r="AA10" s="189"/>
    </row>
    <row r="11" s="160" customFormat="1" ht="16.5" spans="1:27">
      <c r="A11" s="174" t="s">
        <v>424</v>
      </c>
      <c r="B11" s="174"/>
      <c r="C11" s="174"/>
      <c r="D11" s="175"/>
      <c r="E11" s="175"/>
      <c r="F11" s="175"/>
      <c r="G11" s="175"/>
      <c r="H11" s="175"/>
      <c r="I11" s="175"/>
      <c r="J11" s="186" t="s">
        <v>425</v>
      </c>
      <c r="K11" s="175"/>
      <c r="L11" s="187"/>
      <c r="M11" s="175"/>
      <c r="N11" s="175"/>
      <c r="O11" s="175"/>
      <c r="P11" s="175"/>
      <c r="Q11" s="175"/>
      <c r="R11" s="175"/>
      <c r="S11" s="175"/>
      <c r="T11" s="175"/>
      <c r="U11" s="175"/>
      <c r="V11" s="189"/>
      <c r="W11" s="189"/>
      <c r="X11" s="189"/>
      <c r="Y11" s="189"/>
      <c r="Z11" s="189"/>
      <c r="AA11" s="189"/>
    </row>
  </sheetData>
  <mergeCells count="5">
    <mergeCell ref="B1:H1"/>
    <mergeCell ref="A8:C8"/>
    <mergeCell ref="A9:C9"/>
    <mergeCell ref="A10:C10"/>
    <mergeCell ref="A11:C11"/>
  </mergeCells>
  <conditionalFormatting sqref="E1">
    <cfRule type="containsText" dxfId="1" priority="7" operator="between" text="W">
      <formula>NOT(ISERROR(SEARCH("W",E1)))</formula>
    </cfRule>
    <cfRule type="duplicateValues" dxfId="0" priority="6"/>
    <cfRule type="duplicateValues" dxfId="0" priority="5"/>
    <cfRule type="duplicateValues" dxfId="0" priority="4"/>
    <cfRule type="duplicateValues" dxfId="0" priority="8"/>
  </conditionalFormatting>
  <conditionalFormatting sqref="E7">
    <cfRule type="duplicateValues" dxfId="0" priority="32"/>
    <cfRule type="duplicateValues" dxfId="0" priority="30"/>
  </conditionalFormatting>
  <conditionalFormatting sqref="Z7">
    <cfRule type="duplicateValues" dxfId="0" priority="31"/>
  </conditionalFormatting>
  <conditionalFormatting sqref="E1:E11">
    <cfRule type="duplicateValues" dxfId="0" priority="3"/>
    <cfRule type="duplicateValues" dxfId="0" priority="1"/>
  </conditionalFormatting>
  <conditionalFormatting sqref="E2:E6">
    <cfRule type="containsText" dxfId="3" priority="27" operator="between" text="W">
      <formula>NOT(ISERROR(SEARCH("W",E2)))</formula>
    </cfRule>
    <cfRule type="containsText" dxfId="1" priority="26" operator="between" text="W">
      <formula>NOT(ISERROR(SEARCH("W",E2)))</formula>
    </cfRule>
    <cfRule type="duplicateValues" dxfId="0" priority="24"/>
    <cfRule type="duplicateValues" dxfId="0" priority="23"/>
    <cfRule type="duplicateValues" dxfId="0" priority="22"/>
    <cfRule type="duplicateValues" dxfId="0" priority="29"/>
  </conditionalFormatting>
  <conditionalFormatting sqref="E8:E9">
    <cfRule type="containsText" dxfId="3" priority="20" operator="between" text="W">
      <formula>NOT(ISERROR(SEARCH("W",E8)))</formula>
    </cfRule>
    <cfRule type="containsText" dxfId="1" priority="19" operator="between" text="W">
      <formula>NOT(ISERROR(SEARCH("W",E8)))</formula>
    </cfRule>
    <cfRule type="duplicateValues" dxfId="0" priority="17"/>
  </conditionalFormatting>
  <conditionalFormatting sqref="E8:E11">
    <cfRule type="duplicateValues" dxfId="0" priority="11"/>
    <cfRule type="duplicateValues" dxfId="0" priority="10"/>
    <cfRule type="duplicateValues" dxfId="0" priority="9"/>
  </conditionalFormatting>
  <conditionalFormatting sqref="E10:E11">
    <cfRule type="containsText" dxfId="3" priority="15" operator="between" text="W">
      <formula>NOT(ISERROR(SEARCH("W",E10)))</formula>
    </cfRule>
    <cfRule type="containsText" dxfId="1" priority="14" operator="between" text="W">
      <formula>NOT(ISERROR(SEARCH("W",E10)))</formula>
    </cfRule>
    <cfRule type="duplicateValues" dxfId="0" priority="12"/>
  </conditionalFormatting>
  <conditionalFormatting sqref="X1:X6">
    <cfRule type="duplicateValues" dxfId="0" priority="25"/>
  </conditionalFormatting>
  <conditionalFormatting sqref="X1:X11">
    <cfRule type="duplicateValues" dxfId="0" priority="2"/>
  </conditionalFormatting>
  <conditionalFormatting sqref="X8:X9">
    <cfRule type="duplicateValues" dxfId="0" priority="18"/>
  </conditionalFormatting>
  <conditionalFormatting sqref="X10:X11">
    <cfRule type="duplicateValues" dxfId="0" priority="13"/>
  </conditionalFormatting>
  <conditionalFormatting sqref="Z1:Z6">
    <cfRule type="duplicateValues" dxfId="0" priority="28"/>
  </conditionalFormatting>
  <conditionalFormatting sqref="Z8:Z9">
    <cfRule type="duplicateValues" dxfId="0" priority="21"/>
  </conditionalFormatting>
  <conditionalFormatting sqref="Z10:Z11">
    <cfRule type="duplicateValues" dxfId="0" priority="16"/>
  </conditionalFormatting>
  <pageMargins left="0.699305555555556" right="0.699305555555556" top="0.75" bottom="0.75" header="0.3" footer="0.3"/>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R6"/>
  <sheetViews>
    <sheetView workbookViewId="0">
      <selection activeCell="D13" sqref="D13"/>
    </sheetView>
  </sheetViews>
  <sheetFormatPr defaultColWidth="9" defaultRowHeight="13.5" outlineLevelRow="5"/>
  <cols>
    <col min="2" max="2" width="16.125" customWidth="1"/>
  </cols>
  <sheetData>
    <row r="1" s="133" customFormat="1" ht="38.25" customHeight="1" spans="1:18">
      <c r="A1" s="134" t="s">
        <v>427</v>
      </c>
      <c r="B1" s="134"/>
      <c r="C1" s="134"/>
      <c r="D1" s="134"/>
      <c r="E1" s="134"/>
      <c r="F1" s="134"/>
      <c r="G1" s="134"/>
      <c r="H1" s="134"/>
      <c r="I1" s="134"/>
      <c r="J1" s="134"/>
      <c r="K1" s="134"/>
      <c r="L1" s="134"/>
      <c r="M1" s="134"/>
      <c r="N1" s="134"/>
      <c r="O1" s="134"/>
      <c r="P1" s="146" t="str">
        <f>7100&amp;Q1</f>
        <v>7100</v>
      </c>
      <c r="Q1" s="155"/>
      <c r="R1" s="156"/>
    </row>
    <row r="2" s="133" customFormat="1" ht="38.25" customHeight="1" spans="1:18">
      <c r="A2" s="135"/>
      <c r="B2" s="136" t="s">
        <v>428</v>
      </c>
      <c r="C2" s="137"/>
      <c r="D2" s="137"/>
      <c r="E2" s="137"/>
      <c r="F2" s="137"/>
      <c r="G2" s="137"/>
      <c r="H2" s="137"/>
      <c r="I2" s="137"/>
      <c r="J2" s="137"/>
      <c r="K2" s="147"/>
      <c r="L2" s="137"/>
      <c r="M2" s="148" t="s">
        <v>234</v>
      </c>
      <c r="N2" s="149">
        <v>46137</v>
      </c>
      <c r="O2" s="150"/>
      <c r="P2" s="146" t="str">
        <f>7100&amp;Q2</f>
        <v>7100</v>
      </c>
      <c r="Q2" s="155"/>
      <c r="R2" s="156"/>
    </row>
    <row r="3" s="133" customFormat="1" ht="38.25" customHeight="1" spans="1:18">
      <c r="A3" s="138" t="s">
        <v>429</v>
      </c>
      <c r="B3" s="139"/>
      <c r="C3" s="139"/>
      <c r="D3" s="139"/>
      <c r="E3" s="139"/>
      <c r="F3" s="139"/>
      <c r="G3" s="139"/>
      <c r="H3" s="139"/>
      <c r="I3" s="139"/>
      <c r="J3" s="139"/>
      <c r="K3" s="139"/>
      <c r="L3" s="139"/>
      <c r="M3" s="139"/>
      <c r="N3" s="139"/>
      <c r="O3" s="151"/>
      <c r="P3" s="146" t="str">
        <f>7100&amp;Q3</f>
        <v>7100</v>
      </c>
      <c r="Q3" s="155"/>
      <c r="R3" s="156"/>
    </row>
    <row r="4" s="133" customFormat="1" ht="38.25" customHeight="1" spans="1:18">
      <c r="A4" s="140" t="s">
        <v>3</v>
      </c>
      <c r="B4" s="141" t="s">
        <v>160</v>
      </c>
      <c r="C4" s="141" t="s">
        <v>430</v>
      </c>
      <c r="D4" s="141" t="s">
        <v>431</v>
      </c>
      <c r="E4" s="141" t="s">
        <v>155</v>
      </c>
      <c r="F4" s="141" t="s">
        <v>51</v>
      </c>
      <c r="G4" s="141" t="s">
        <v>432</v>
      </c>
      <c r="H4" s="141" t="s">
        <v>49</v>
      </c>
      <c r="I4" s="141" t="s">
        <v>244</v>
      </c>
      <c r="J4" s="152" t="s">
        <v>191</v>
      </c>
      <c r="K4" s="153" t="s">
        <v>27</v>
      </c>
      <c r="L4" s="152" t="s">
        <v>433</v>
      </c>
      <c r="M4" s="153" t="s">
        <v>434</v>
      </c>
      <c r="N4" s="153" t="s">
        <v>245</v>
      </c>
      <c r="O4" s="152" t="s">
        <v>31</v>
      </c>
      <c r="P4" s="146"/>
      <c r="Q4" s="155"/>
      <c r="R4" s="156"/>
    </row>
    <row r="5" s="133" customFormat="1" ht="38.25" customHeight="1" spans="1:18">
      <c r="A5" s="142" t="s">
        <v>435</v>
      </c>
      <c r="B5" s="143" t="s">
        <v>436</v>
      </c>
      <c r="C5" s="144"/>
      <c r="D5" s="141"/>
      <c r="E5" s="141"/>
      <c r="F5" s="141" t="s">
        <v>217</v>
      </c>
      <c r="G5" s="141"/>
      <c r="H5" s="141" t="s">
        <v>437</v>
      </c>
      <c r="I5" s="154" t="s">
        <v>438</v>
      </c>
      <c r="J5" s="152"/>
      <c r="K5" s="153">
        <v>70</v>
      </c>
      <c r="L5" s="152"/>
      <c r="M5" s="153">
        <v>40.8</v>
      </c>
      <c r="N5" s="153">
        <v>2856</v>
      </c>
      <c r="O5" s="144"/>
      <c r="P5" s="146" t="s">
        <v>439</v>
      </c>
      <c r="Q5" s="155" t="s">
        <v>440</v>
      </c>
      <c r="R5" s="156" t="s">
        <v>441</v>
      </c>
    </row>
    <row r="6" s="133" customFormat="1" ht="36.75" customHeight="1" spans="1:18">
      <c r="A6" s="145" t="s">
        <v>442</v>
      </c>
      <c r="B6" s="145"/>
      <c r="C6" s="145"/>
      <c r="D6" s="145"/>
      <c r="E6" s="145"/>
      <c r="F6" s="145"/>
      <c r="G6" s="145"/>
      <c r="H6" s="145"/>
      <c r="I6" s="145"/>
      <c r="J6" s="145"/>
      <c r="K6" s="145"/>
      <c r="L6" s="145"/>
      <c r="M6" s="145"/>
      <c r="N6" s="145"/>
      <c r="O6" s="145"/>
      <c r="P6" s="146"/>
      <c r="Q6" s="155"/>
      <c r="R6" s="156" t="e">
        <v>#N/A</v>
      </c>
    </row>
  </sheetData>
  <protectedRanges>
    <protectedRange sqref="D5:N5 A4:O4" name="区域1" securityDescriptor=""/>
    <protectedRange sqref="A2:O3 K6:O6" name="区域1_2" securityDescriptor=""/>
    <protectedRange sqref="A6:N6" name="区域1_1_1" securityDescriptor=""/>
  </protectedRanges>
  <mergeCells count="4">
    <mergeCell ref="A1:O1"/>
    <mergeCell ref="N2:O2"/>
    <mergeCell ref="A3:O3"/>
    <mergeCell ref="A6:O6"/>
  </mergeCells>
  <pageMargins left="0.699305555555556" right="0.699305555555556" top="0.75" bottom="0.75" header="0.3" footer="0.3"/>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K7"/>
  <sheetViews>
    <sheetView workbookViewId="0">
      <selection activeCell="O29" sqref="O29"/>
    </sheetView>
  </sheetViews>
  <sheetFormatPr defaultColWidth="9" defaultRowHeight="13.5" outlineLevelRow="6"/>
  <cols>
    <col min="2" max="3" width="14" customWidth="1"/>
  </cols>
  <sheetData>
    <row r="1" s="1" customFormat="1" ht="33.75" customHeight="1" spans="1:11">
      <c r="A1" s="128" t="s">
        <v>443</v>
      </c>
      <c r="B1" s="128"/>
      <c r="C1" s="128"/>
      <c r="D1" s="128"/>
      <c r="E1" s="128"/>
      <c r="F1" s="128"/>
      <c r="G1" s="128"/>
      <c r="H1" s="128"/>
      <c r="K1" s="131"/>
    </row>
    <row r="2" s="127" customFormat="1" ht="34.5" customHeight="1" spans="1:11">
      <c r="A2" s="120" t="s">
        <v>3</v>
      </c>
      <c r="B2" s="120" t="s">
        <v>444</v>
      </c>
      <c r="C2" s="120" t="s">
        <v>92</v>
      </c>
      <c r="D2" s="120" t="s">
        <v>93</v>
      </c>
      <c r="E2" s="120" t="s">
        <v>445</v>
      </c>
      <c r="F2" s="120" t="s">
        <v>446</v>
      </c>
      <c r="G2" s="120" t="s">
        <v>323</v>
      </c>
      <c r="H2" s="120" t="s">
        <v>31</v>
      </c>
      <c r="K2" s="132" t="s">
        <v>91</v>
      </c>
    </row>
    <row r="3" s="1" customFormat="1" ht="21" customHeight="1" spans="1:11">
      <c r="A3" s="5">
        <v>1</v>
      </c>
      <c r="B3" s="5"/>
      <c r="C3" s="5"/>
      <c r="D3" s="5">
        <v>20</v>
      </c>
      <c r="E3" s="5" t="s">
        <v>447</v>
      </c>
      <c r="F3" s="5" t="s">
        <v>448</v>
      </c>
      <c r="G3" s="5" t="s">
        <v>109</v>
      </c>
      <c r="H3" s="5"/>
      <c r="I3" s="1" t="s">
        <v>449</v>
      </c>
      <c r="J3" s="1">
        <v>983925</v>
      </c>
      <c r="K3" s="131">
        <v>45863</v>
      </c>
    </row>
    <row r="4" s="1" customFormat="1" ht="35.25" customHeight="1" spans="1:11">
      <c r="A4" s="129" t="s">
        <v>450</v>
      </c>
      <c r="B4" s="129"/>
      <c r="C4" s="129"/>
      <c r="D4" s="129"/>
      <c r="E4" s="129"/>
      <c r="F4" s="129"/>
      <c r="G4" s="129"/>
      <c r="H4" s="129"/>
      <c r="K4" s="131"/>
    </row>
    <row r="5" s="1" customFormat="1" ht="35.25" customHeight="1" spans="1:11">
      <c r="A5" s="130" t="s">
        <v>451</v>
      </c>
      <c r="B5" s="130"/>
      <c r="C5" s="130"/>
      <c r="D5" s="130"/>
      <c r="E5" s="130"/>
      <c r="F5" s="130"/>
      <c r="G5" s="130"/>
      <c r="H5" s="130"/>
      <c r="K5" s="131"/>
    </row>
    <row r="6" s="1" customFormat="1" ht="35.25" customHeight="1" spans="1:11">
      <c r="A6" s="126" t="s">
        <v>452</v>
      </c>
      <c r="B6" s="126"/>
      <c r="C6" s="126"/>
      <c r="D6" s="126"/>
      <c r="E6" s="126"/>
      <c r="F6" s="126"/>
      <c r="G6" s="126"/>
      <c r="H6" s="126"/>
      <c r="K6" s="131"/>
    </row>
    <row r="7" s="1" customFormat="1" ht="35.25" customHeight="1" spans="1:11">
      <c r="A7" s="126" t="s">
        <v>453</v>
      </c>
      <c r="B7" s="126"/>
      <c r="C7" s="126"/>
      <c r="D7" s="126"/>
      <c r="E7" s="126"/>
      <c r="F7" s="126"/>
      <c r="G7" s="126"/>
      <c r="H7" s="126"/>
      <c r="K7" s="131"/>
    </row>
  </sheetData>
  <mergeCells count="5">
    <mergeCell ref="A1:H1"/>
    <mergeCell ref="A4:H4"/>
    <mergeCell ref="A5:H5"/>
    <mergeCell ref="A6:H6"/>
    <mergeCell ref="A7:H7"/>
  </mergeCells>
  <pageMargins left="0.699305555555556" right="0.699305555555556" top="0.75" bottom="0.75" header="0.3" footer="0.3"/>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19"/>
  <sheetViews>
    <sheetView topLeftCell="A13" workbookViewId="0">
      <selection activeCell="D13" sqref="D13"/>
    </sheetView>
  </sheetViews>
  <sheetFormatPr defaultColWidth="9" defaultRowHeight="13.5"/>
  <cols>
    <col min="2" max="2" width="19.625" customWidth="1"/>
    <col min="3" max="3" width="16.625" customWidth="1"/>
    <col min="4" max="4" width="27.375" customWidth="1"/>
    <col min="7" max="7" width="23.375" customWidth="1"/>
    <col min="8" max="13" width="23.5" customWidth="1"/>
  </cols>
  <sheetData>
    <row r="1" ht="31.5" customHeight="1" spans="1:12">
      <c r="A1" s="111" t="s">
        <v>318</v>
      </c>
      <c r="B1" s="111"/>
      <c r="C1" s="111"/>
      <c r="D1" s="111"/>
      <c r="E1" s="111"/>
      <c r="F1" s="111"/>
      <c r="G1" s="111"/>
      <c r="H1" s="112" t="s">
        <v>454</v>
      </c>
      <c r="I1" s="112"/>
      <c r="J1" s="112"/>
      <c r="K1" s="64" t="e">
        <f>VLOOKUP(H1,[9]匹配!B:F,5,FALSE)</f>
        <v>#N/A</v>
      </c>
      <c r="L1" s="5" t="e">
        <f>VLOOKUP(H1,[9]匹配!B:G,6,FALSE)</f>
        <v>#N/A</v>
      </c>
    </row>
    <row r="2" ht="31.5" customHeight="1" spans="1:12">
      <c r="A2" s="113"/>
      <c r="B2" s="113"/>
      <c r="C2" s="113"/>
      <c r="D2" s="113"/>
      <c r="E2" s="113"/>
      <c r="F2" s="113"/>
      <c r="G2" s="113"/>
      <c r="H2" s="114" t="str">
        <f t="shared" ref="H2:H9" si="0">710&amp;I2</f>
        <v>710</v>
      </c>
      <c r="I2" s="126"/>
      <c r="J2" s="126" t="e">
        <f>VLOOKUP(H2,[9]匹配!B:AF,31,FALSE)</f>
        <v>#N/A</v>
      </c>
      <c r="K2" s="64" t="e">
        <f>VLOOKUP(H2,[9]匹配!B:F,5,FALSE)</f>
        <v>#N/A</v>
      </c>
      <c r="L2" s="5" t="e">
        <f>VLOOKUP(H2,[9]匹配!B:G,6,FALSE)</f>
        <v>#N/A</v>
      </c>
    </row>
    <row r="3" ht="24" customHeight="1" spans="1:12">
      <c r="A3" s="115" t="s">
        <v>455</v>
      </c>
      <c r="B3" s="115"/>
      <c r="C3" s="115"/>
      <c r="D3" s="115"/>
      <c r="E3" s="113" t="s">
        <v>456</v>
      </c>
      <c r="F3" s="113"/>
      <c r="G3" s="113" t="s">
        <v>457</v>
      </c>
      <c r="H3" s="114" t="str">
        <f t="shared" si="0"/>
        <v>710</v>
      </c>
      <c r="I3" s="126"/>
      <c r="J3" s="126" t="e">
        <f>VLOOKUP(H3,[9]匹配!B:AF,31,FALSE)</f>
        <v>#N/A</v>
      </c>
      <c r="K3" s="64" t="e">
        <f>VLOOKUP(H3,[9]匹配!B:F,5,FALSE)</f>
        <v>#N/A</v>
      </c>
      <c r="L3" s="5" t="e">
        <f>VLOOKUP(H3,[9]匹配!B:G,6,FALSE)</f>
        <v>#N/A</v>
      </c>
    </row>
    <row r="4" ht="24" customHeight="1" spans="1:12">
      <c r="A4" s="116" t="s">
        <v>458</v>
      </c>
      <c r="B4" s="116"/>
      <c r="C4" s="116"/>
      <c r="D4" s="115"/>
      <c r="E4" s="113" t="s">
        <v>459</v>
      </c>
      <c r="F4" s="113"/>
      <c r="G4" s="113" t="s">
        <v>460</v>
      </c>
      <c r="H4" s="114" t="str">
        <f t="shared" si="0"/>
        <v>710</v>
      </c>
      <c r="I4" s="126"/>
      <c r="J4" s="126" t="e">
        <f>VLOOKUP(H4,[9]匹配!B:AF,31,FALSE)</f>
        <v>#N/A</v>
      </c>
      <c r="K4" s="64" t="e">
        <f>VLOOKUP(H4,[9]匹配!B:F,5,FALSE)</f>
        <v>#N/A</v>
      </c>
      <c r="L4" s="5" t="e">
        <f>VLOOKUP(H4,[9]匹配!B:G,6,FALSE)</f>
        <v>#N/A</v>
      </c>
    </row>
    <row r="5" ht="24" customHeight="1" spans="1:12">
      <c r="A5" s="113"/>
      <c r="B5" s="113"/>
      <c r="C5" s="113"/>
      <c r="D5" s="113"/>
      <c r="E5" s="113" t="s">
        <v>234</v>
      </c>
      <c r="F5" s="113"/>
      <c r="G5" s="117">
        <v>46139</v>
      </c>
      <c r="H5" s="114" t="str">
        <f t="shared" si="0"/>
        <v>710</v>
      </c>
      <c r="I5" s="126"/>
      <c r="J5" s="126" t="e">
        <f>VLOOKUP(H5,[9]匹配!B:AF,31,FALSE)</f>
        <v>#N/A</v>
      </c>
      <c r="K5" s="64" t="e">
        <f>VLOOKUP(H5,[9]匹配!B:F,5,FALSE)</f>
        <v>#N/A</v>
      </c>
      <c r="L5" s="5" t="e">
        <f>VLOOKUP(H5,[9]匹配!B:G,6,FALSE)</f>
        <v>#N/A</v>
      </c>
    </row>
    <row r="6" ht="24" customHeight="1" spans="1:12">
      <c r="A6" s="113"/>
      <c r="B6" s="113"/>
      <c r="C6" s="113"/>
      <c r="D6" s="113"/>
      <c r="E6" s="113"/>
      <c r="F6" s="113"/>
      <c r="G6" s="113"/>
      <c r="H6" s="114" t="str">
        <f t="shared" si="0"/>
        <v>710</v>
      </c>
      <c r="I6" s="126"/>
      <c r="J6" s="126" t="e">
        <f>VLOOKUP(H6,[9]匹配!B:AF,31,FALSE)</f>
        <v>#N/A</v>
      </c>
      <c r="K6" s="64" t="e">
        <f>VLOOKUP(H6,[9]匹配!B:F,5,FALSE)</f>
        <v>#N/A</v>
      </c>
      <c r="L6" s="5" t="e">
        <f>VLOOKUP(H6,[9]匹配!B:G,6,FALSE)</f>
        <v>#N/A</v>
      </c>
    </row>
    <row r="7" ht="24" customHeight="1" spans="1:12">
      <c r="A7" s="115" t="s">
        <v>461</v>
      </c>
      <c r="B7" s="115"/>
      <c r="C7" s="115"/>
      <c r="D7" s="115"/>
      <c r="E7" s="115"/>
      <c r="F7" s="115"/>
      <c r="G7" s="115"/>
      <c r="H7" s="114" t="str">
        <f t="shared" si="0"/>
        <v>710</v>
      </c>
      <c r="I7" s="126"/>
      <c r="J7" s="126" t="e">
        <f>VLOOKUP(H7,[9]匹配!B:AF,31,FALSE)</f>
        <v>#N/A</v>
      </c>
      <c r="K7" s="64" t="e">
        <f>VLOOKUP(H7,[9]匹配!B:F,5,FALSE)</f>
        <v>#N/A</v>
      </c>
      <c r="L7" s="5" t="e">
        <f>VLOOKUP(H7,[9]匹配!B:G,6,FALSE)</f>
        <v>#N/A</v>
      </c>
    </row>
    <row r="8" ht="24" customHeight="1" spans="1:12">
      <c r="A8" s="118" t="s">
        <v>462</v>
      </c>
      <c r="B8" s="118"/>
      <c r="C8" s="118"/>
      <c r="D8" s="118"/>
      <c r="E8" s="118"/>
      <c r="F8" s="118"/>
      <c r="G8" s="118"/>
      <c r="H8" s="114" t="str">
        <f t="shared" si="0"/>
        <v>710</v>
      </c>
      <c r="I8" s="126"/>
      <c r="J8" s="126" t="e">
        <f>VLOOKUP(H8,[9]匹配!B:AF,31,FALSE)</f>
        <v>#N/A</v>
      </c>
      <c r="K8" s="64" t="e">
        <f>VLOOKUP(H8,[9]匹配!B:F,5,FALSE)</f>
        <v>#N/A</v>
      </c>
      <c r="L8" s="5" t="e">
        <f>VLOOKUP(H8,[9]匹配!B:G,6,FALSE)</f>
        <v>#N/A</v>
      </c>
    </row>
    <row r="9" ht="31.5" customHeight="1" spans="1:12">
      <c r="A9" s="119" t="s">
        <v>3</v>
      </c>
      <c r="B9" s="119" t="s">
        <v>4</v>
      </c>
      <c r="C9" s="119" t="s">
        <v>463</v>
      </c>
      <c r="D9" s="119" t="s">
        <v>160</v>
      </c>
      <c r="E9" s="119" t="s">
        <v>190</v>
      </c>
      <c r="F9" s="120" t="s">
        <v>464</v>
      </c>
      <c r="G9" s="119" t="s">
        <v>465</v>
      </c>
      <c r="H9" s="114" t="str">
        <f t="shared" si="0"/>
        <v>710</v>
      </c>
      <c r="I9" s="126"/>
      <c r="J9" s="126" t="e">
        <f>VLOOKUP(H9,[9]匹配!B:AF,31,FALSE)</f>
        <v>#N/A</v>
      </c>
      <c r="K9" s="64" t="e">
        <f>VLOOKUP(H9,[9]匹配!B:F,5,FALSE)</f>
        <v>#N/A</v>
      </c>
      <c r="L9" s="5" t="e">
        <f>VLOOKUP(H9,[9]匹配!B:G,6,FALSE)</f>
        <v>#N/A</v>
      </c>
    </row>
    <row r="10" ht="32.25" customHeight="1" spans="1:12">
      <c r="A10" s="5">
        <v>1</v>
      </c>
      <c r="B10" s="5" t="s">
        <v>466</v>
      </c>
      <c r="C10" s="5"/>
      <c r="D10" s="5" t="s">
        <v>467</v>
      </c>
      <c r="E10" s="5">
        <v>2</v>
      </c>
      <c r="F10" s="5">
        <v>0.0172</v>
      </c>
      <c r="G10" s="5">
        <v>0.0344</v>
      </c>
      <c r="H10" s="114" t="s">
        <v>468</v>
      </c>
      <c r="I10" s="126">
        <v>1105338</v>
      </c>
      <c r="J10" s="126" t="s">
        <v>469</v>
      </c>
      <c r="K10" s="64" t="s">
        <v>470</v>
      </c>
      <c r="L10" s="5"/>
    </row>
    <row r="11" ht="32.25" customHeight="1" spans="1:12">
      <c r="A11" s="5">
        <v>2</v>
      </c>
      <c r="B11" s="5" t="s">
        <v>466</v>
      </c>
      <c r="C11" s="5"/>
      <c r="D11" s="5" t="s">
        <v>467</v>
      </c>
      <c r="E11" s="5">
        <v>2</v>
      </c>
      <c r="F11" s="5">
        <v>0.0172</v>
      </c>
      <c r="G11" s="5">
        <v>0.0344</v>
      </c>
      <c r="H11" s="114" t="s">
        <v>468</v>
      </c>
      <c r="I11" s="126">
        <v>1105338</v>
      </c>
      <c r="J11" s="126" t="s">
        <v>469</v>
      </c>
      <c r="K11" s="64" t="s">
        <v>470</v>
      </c>
      <c r="L11" s="5"/>
    </row>
    <row r="12" ht="32.25" customHeight="1" spans="1:12">
      <c r="A12" s="5">
        <v>3</v>
      </c>
      <c r="B12" s="5" t="s">
        <v>466</v>
      </c>
      <c r="C12" s="5"/>
      <c r="D12" s="5" t="s">
        <v>467</v>
      </c>
      <c r="E12" s="5">
        <v>4</v>
      </c>
      <c r="F12" s="5">
        <v>0.0172</v>
      </c>
      <c r="G12" s="5">
        <v>0.0688</v>
      </c>
      <c r="H12" s="114" t="s">
        <v>468</v>
      </c>
      <c r="I12" s="126">
        <v>1105338</v>
      </c>
      <c r="J12" s="126" t="s">
        <v>469</v>
      </c>
      <c r="K12" s="64" t="s">
        <v>470</v>
      </c>
      <c r="L12" s="5"/>
    </row>
    <row r="13" ht="32.25" customHeight="1" spans="1:12">
      <c r="A13" s="5">
        <v>4</v>
      </c>
      <c r="B13" s="5" t="s">
        <v>466</v>
      </c>
      <c r="C13" s="5"/>
      <c r="D13" s="5" t="s">
        <v>467</v>
      </c>
      <c r="E13" s="5">
        <v>2</v>
      </c>
      <c r="F13" s="5">
        <v>0.0172</v>
      </c>
      <c r="G13" s="5">
        <v>0.0344</v>
      </c>
      <c r="H13" s="114" t="s">
        <v>468</v>
      </c>
      <c r="I13" s="126">
        <v>1105338</v>
      </c>
      <c r="J13" s="126" t="s">
        <v>469</v>
      </c>
      <c r="K13" s="64" t="s">
        <v>470</v>
      </c>
      <c r="L13" s="5"/>
    </row>
    <row r="14" s="64" customFormat="1" ht="27" customHeight="1" spans="1:12">
      <c r="A14" s="121" t="s">
        <v>471</v>
      </c>
      <c r="B14" s="122"/>
      <c r="C14" s="122"/>
      <c r="D14" s="122"/>
      <c r="E14" s="123">
        <v>10</v>
      </c>
      <c r="F14" s="113"/>
      <c r="G14" s="113"/>
      <c r="H14" s="114" t="str">
        <f t="shared" ref="H14:H19" si="1">710&amp;I14</f>
        <v>710</v>
      </c>
      <c r="I14" s="126"/>
      <c r="J14" s="126" t="e">
        <f>VLOOKUP(H14,[9]匹配!B:AF,31,FALSE)</f>
        <v>#N/A</v>
      </c>
      <c r="K14" s="64" t="e">
        <f>VLOOKUP(H14,[9]匹配!B:F,5,FALSE)</f>
        <v>#N/A</v>
      </c>
      <c r="L14" s="5" t="e">
        <f>VLOOKUP(H14,[9]匹配!B:G,6,FALSE)</f>
        <v>#N/A</v>
      </c>
    </row>
    <row r="15" s="64" customFormat="1" ht="31.5" customHeight="1" spans="1:12">
      <c r="A15" s="113" t="s">
        <v>472</v>
      </c>
      <c r="B15" s="113"/>
      <c r="C15" s="113"/>
      <c r="D15" s="113"/>
      <c r="E15" s="113"/>
      <c r="F15" s="113"/>
      <c r="G15" s="113"/>
      <c r="H15" s="114" t="str">
        <f t="shared" si="1"/>
        <v>710</v>
      </c>
      <c r="I15" s="126"/>
      <c r="J15" s="126" t="e">
        <f>VLOOKUP(H15,[9]匹配!B:AF,31,FALSE)</f>
        <v>#N/A</v>
      </c>
      <c r="K15" s="64" t="e">
        <f>VLOOKUP(H15,[9]匹配!B:F,5,FALSE)</f>
        <v>#N/A</v>
      </c>
      <c r="L15" s="5" t="e">
        <f>VLOOKUP(H15,[9]匹配!B:G,6,FALSE)</f>
        <v>#N/A</v>
      </c>
    </row>
    <row r="16" ht="31.5" customHeight="1" spans="1:12">
      <c r="A16" s="113" t="s">
        <v>473</v>
      </c>
      <c r="B16" s="113"/>
      <c r="C16" s="113"/>
      <c r="D16" s="113"/>
      <c r="E16" s="113"/>
      <c r="F16" s="113"/>
      <c r="G16" s="113"/>
      <c r="H16" s="114" t="str">
        <f t="shared" si="1"/>
        <v>710</v>
      </c>
      <c r="I16" s="126"/>
      <c r="J16" s="126" t="e">
        <f>VLOOKUP(H16,[9]匹配!B:AF,31,FALSE)</f>
        <v>#N/A</v>
      </c>
      <c r="K16" s="64" t="e">
        <f>VLOOKUP(H16,[9]匹配!B:F,5,FALSE)</f>
        <v>#N/A</v>
      </c>
      <c r="L16" s="5" t="e">
        <f>VLOOKUP(H16,[9]匹配!B:G,6,FALSE)</f>
        <v>#N/A</v>
      </c>
    </row>
    <row r="17" ht="31.5" customHeight="1" spans="1:12">
      <c r="A17" s="124" t="s">
        <v>109</v>
      </c>
      <c r="B17" s="125"/>
      <c r="C17" s="125"/>
      <c r="D17" s="125"/>
      <c r="E17" s="125"/>
      <c r="F17" s="125"/>
      <c r="G17" s="125"/>
      <c r="H17" s="114" t="str">
        <f t="shared" si="1"/>
        <v>710</v>
      </c>
      <c r="I17" s="126"/>
      <c r="J17" s="126" t="e">
        <f>VLOOKUP(H17,[9]匹配!B:AF,31,FALSE)</f>
        <v>#N/A</v>
      </c>
      <c r="K17" s="64" t="e">
        <f>VLOOKUP(H17,[9]匹配!B:F,5,FALSE)</f>
        <v>#N/A</v>
      </c>
      <c r="L17" s="5" t="e">
        <f>VLOOKUP(H17,[9]匹配!B:G,6,FALSE)</f>
        <v>#N/A</v>
      </c>
    </row>
    <row r="18" ht="31.5" customHeight="1" spans="1:12">
      <c r="A18" s="125" t="s">
        <v>474</v>
      </c>
      <c r="B18" s="125"/>
      <c r="C18" s="125"/>
      <c r="D18" s="125"/>
      <c r="E18" s="125"/>
      <c r="F18" s="125"/>
      <c r="G18" s="125"/>
      <c r="H18" s="114" t="str">
        <f t="shared" si="1"/>
        <v>710</v>
      </c>
      <c r="I18" s="126"/>
      <c r="J18" s="126" t="e">
        <f>VLOOKUP(H18,[9]匹配!B:AF,31,FALSE)</f>
        <v>#N/A</v>
      </c>
      <c r="K18" s="64" t="e">
        <f>VLOOKUP(H18,[9]匹配!B:F,5,FALSE)</f>
        <v>#N/A</v>
      </c>
      <c r="L18" s="5" t="e">
        <f>VLOOKUP(H18,[9]匹配!B:G,6,FALSE)</f>
        <v>#N/A</v>
      </c>
    </row>
    <row r="19" ht="31.5" customHeight="1" spans="1:12">
      <c r="A19" s="125" t="s">
        <v>475</v>
      </c>
      <c r="B19" s="125"/>
      <c r="C19" s="125"/>
      <c r="D19" s="125"/>
      <c r="E19" s="125"/>
      <c r="F19" s="125"/>
      <c r="G19" s="125"/>
      <c r="H19" s="114" t="str">
        <f t="shared" si="1"/>
        <v>710</v>
      </c>
      <c r="I19" s="126"/>
      <c r="J19" s="126" t="e">
        <f>VLOOKUP(H19,[9]匹配!B:AF,31,FALSE)</f>
        <v>#N/A</v>
      </c>
      <c r="K19" s="64" t="e">
        <f>VLOOKUP(H19,[9]匹配!B:F,5,FALSE)</f>
        <v>#N/A</v>
      </c>
      <c r="L19" s="5" t="e">
        <f>VLOOKUP(H19,[9]匹配!B:G,6,FALSE)</f>
        <v>#N/A</v>
      </c>
    </row>
  </sheetData>
  <mergeCells count="11">
    <mergeCell ref="A1:G1"/>
    <mergeCell ref="H1:J1"/>
    <mergeCell ref="A2:G2"/>
    <mergeCell ref="A3:C3"/>
    <mergeCell ref="A7:G7"/>
    <mergeCell ref="A8:G8"/>
    <mergeCell ref="A15:G15"/>
    <mergeCell ref="A16:G16"/>
    <mergeCell ref="A17:G17"/>
    <mergeCell ref="A18:G18"/>
    <mergeCell ref="A19:G19"/>
  </mergeCells>
  <hyperlinks>
    <hyperlink ref="A19" r:id="rId1" display="TEL:0851-28693536"/>
  </hyperlinks>
  <pageMargins left="0.699305555555556" right="0.699305555555556" top="0.75" bottom="0.75" header="0.3" footer="0.3"/>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P3"/>
  <sheetViews>
    <sheetView workbookViewId="0">
      <selection activeCell="B17" sqref="B17:B18"/>
    </sheetView>
  </sheetViews>
  <sheetFormatPr defaultColWidth="9" defaultRowHeight="13.5" outlineLevelRow="2"/>
  <cols>
    <col min="12" max="12" width="16" customWidth="1"/>
  </cols>
  <sheetData>
    <row r="1" s="106" customFormat="1" ht="50.1" customHeight="1" spans="1:16">
      <c r="A1" s="107" t="s">
        <v>476</v>
      </c>
      <c r="B1" s="108"/>
      <c r="C1" s="108"/>
      <c r="D1" s="108"/>
      <c r="E1" s="108"/>
      <c r="F1" s="108"/>
      <c r="G1" s="108"/>
      <c r="H1" s="108"/>
      <c r="I1" s="108"/>
      <c r="J1" s="108"/>
      <c r="K1" s="108"/>
      <c r="L1" s="108"/>
      <c r="M1" s="108"/>
      <c r="N1" s="106" t="str">
        <f t="shared" ref="N1:N2" si="0">710&amp;O1</f>
        <v>710</v>
      </c>
      <c r="P1" s="110"/>
    </row>
    <row r="2" s="106" customFormat="1" ht="50.1" customHeight="1" spans="1:16">
      <c r="A2" s="109" t="s">
        <v>3</v>
      </c>
      <c r="B2" s="109" t="s">
        <v>4</v>
      </c>
      <c r="C2" s="109" t="s">
        <v>477</v>
      </c>
      <c r="D2" s="109" t="s">
        <v>51</v>
      </c>
      <c r="E2" s="109" t="s">
        <v>28</v>
      </c>
      <c r="F2" s="109" t="s">
        <v>53</v>
      </c>
      <c r="G2" s="109" t="s">
        <v>54</v>
      </c>
      <c r="H2" s="109" t="s">
        <v>93</v>
      </c>
      <c r="I2" s="109" t="s">
        <v>9</v>
      </c>
      <c r="J2" s="109" t="s">
        <v>74</v>
      </c>
      <c r="K2" s="109" t="s">
        <v>245</v>
      </c>
      <c r="L2" s="109" t="s">
        <v>160</v>
      </c>
      <c r="M2" s="109" t="s">
        <v>11</v>
      </c>
      <c r="N2" s="106" t="str">
        <f t="shared" si="0"/>
        <v>710</v>
      </c>
      <c r="P2" s="110"/>
    </row>
    <row r="3" s="106" customFormat="1" ht="27.75" customHeight="1" spans="1:16">
      <c r="A3" s="40">
        <v>1</v>
      </c>
      <c r="B3" s="40"/>
      <c r="C3" s="40"/>
      <c r="D3" s="40" t="s">
        <v>478</v>
      </c>
      <c r="E3" s="40" t="s">
        <v>479</v>
      </c>
      <c r="F3" s="40" t="s">
        <v>480</v>
      </c>
      <c r="G3" s="40" t="s">
        <v>481</v>
      </c>
      <c r="H3" s="40">
        <v>5</v>
      </c>
      <c r="I3" s="40" t="s">
        <v>482</v>
      </c>
      <c r="J3" s="40">
        <v>7.2</v>
      </c>
      <c r="K3" s="40">
        <v>36</v>
      </c>
      <c r="L3" s="40" t="s">
        <v>483</v>
      </c>
      <c r="M3" s="40" t="s">
        <v>19</v>
      </c>
      <c r="N3" s="106" t="s">
        <v>484</v>
      </c>
      <c r="O3" s="106">
        <v>1098611</v>
      </c>
      <c r="P3" s="110"/>
    </row>
  </sheetData>
  <mergeCells count="1">
    <mergeCell ref="A1:M1"/>
  </mergeCells>
  <pageMargins left="0.699305555555556" right="0.699305555555556" top="0.75" bottom="0.75" header="0.3" footer="0.3"/>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Q4"/>
  <sheetViews>
    <sheetView topLeftCell="A7" workbookViewId="0">
      <selection activeCell="N13" sqref="N13"/>
    </sheetView>
  </sheetViews>
  <sheetFormatPr defaultColWidth="9" defaultRowHeight="13.5" outlineLevelRow="3"/>
  <sheetData>
    <row r="1" s="73" customFormat="1" ht="47.25" customHeight="1" spans="1:17">
      <c r="A1" s="74" t="s">
        <v>485</v>
      </c>
      <c r="B1" s="75"/>
      <c r="C1" s="75"/>
      <c r="D1" s="75"/>
      <c r="E1" s="75"/>
      <c r="F1" s="75"/>
      <c r="G1" s="75"/>
      <c r="H1" s="75"/>
      <c r="I1" s="75"/>
      <c r="J1" s="75"/>
      <c r="K1" s="75"/>
      <c r="L1" s="75"/>
      <c r="M1" s="75"/>
      <c r="N1" s="90"/>
      <c r="O1" s="91"/>
      <c r="Q1" s="73" t="e">
        <f>VLOOKUP(N1,[10]匹配数据!B:AF,31,FALSE)</f>
        <v>#N/A</v>
      </c>
    </row>
    <row r="2" s="73" customFormat="1" ht="47.25" customHeight="1" spans="1:17">
      <c r="A2" s="76" t="s">
        <v>2</v>
      </c>
      <c r="B2" s="77"/>
      <c r="C2" s="78"/>
      <c r="D2" s="79">
        <v>46134</v>
      </c>
      <c r="E2" s="77"/>
      <c r="F2" s="80"/>
      <c r="G2" s="81"/>
      <c r="H2" s="80"/>
      <c r="I2" s="92"/>
      <c r="J2" s="80"/>
      <c r="K2" s="93" t="s">
        <v>486</v>
      </c>
      <c r="L2" s="94"/>
      <c r="M2" s="95"/>
      <c r="N2" s="96"/>
      <c r="O2" s="91"/>
      <c r="Q2" s="73" t="e">
        <f>VLOOKUP(N2,[10]匹配数据!B:AF,31,FALSE)</f>
        <v>#N/A</v>
      </c>
    </row>
    <row r="3" s="73" customFormat="1" ht="66.75" customHeight="1" spans="1:17">
      <c r="A3" s="82" t="s">
        <v>3</v>
      </c>
      <c r="B3" s="83" t="s">
        <v>71</v>
      </c>
      <c r="C3" s="83"/>
      <c r="D3" s="82" t="s">
        <v>73</v>
      </c>
      <c r="E3" s="84" t="s">
        <v>9</v>
      </c>
      <c r="F3" s="82" t="s">
        <v>191</v>
      </c>
      <c r="G3" s="85" t="s">
        <v>76</v>
      </c>
      <c r="H3" s="84" t="s">
        <v>54</v>
      </c>
      <c r="I3" s="97" t="s">
        <v>487</v>
      </c>
      <c r="J3" s="98" t="s">
        <v>77</v>
      </c>
      <c r="K3" s="99" t="s">
        <v>488</v>
      </c>
      <c r="L3" s="84" t="s">
        <v>489</v>
      </c>
      <c r="M3" s="100" t="s">
        <v>11</v>
      </c>
      <c r="N3" s="101" t="s">
        <v>10</v>
      </c>
      <c r="O3" s="91"/>
      <c r="Q3" s="73" t="str">
        <f>VLOOKUP(N3,[10]匹配数据!B:AF,31,FALSE)</f>
        <v>销售订单行</v>
      </c>
    </row>
    <row r="4" s="73" customFormat="1" ht="60" customHeight="1" spans="1:17">
      <c r="A4" s="53">
        <v>1</v>
      </c>
      <c r="B4" s="86"/>
      <c r="C4" s="87"/>
      <c r="D4" s="55">
        <v>186</v>
      </c>
      <c r="E4" s="88" t="s">
        <v>490</v>
      </c>
      <c r="F4" s="55">
        <v>550</v>
      </c>
      <c r="G4" s="89">
        <v>46132</v>
      </c>
      <c r="H4" s="54" t="s">
        <v>217</v>
      </c>
      <c r="I4" s="102"/>
      <c r="J4" s="103" t="s">
        <v>491</v>
      </c>
      <c r="K4" s="53" t="s">
        <v>492</v>
      </c>
      <c r="L4" s="104" t="s">
        <v>493</v>
      </c>
      <c r="M4" s="17" t="s">
        <v>19</v>
      </c>
      <c r="N4" s="105" t="s">
        <v>494</v>
      </c>
      <c r="O4" s="91">
        <v>1104702</v>
      </c>
      <c r="Q4" s="73" t="s">
        <v>495</v>
      </c>
    </row>
  </sheetData>
  <mergeCells count="4">
    <mergeCell ref="A1:N1"/>
    <mergeCell ref="A2:B2"/>
    <mergeCell ref="D2:E2"/>
    <mergeCell ref="K2:M2"/>
  </mergeCells>
  <conditionalFormatting sqref="N3">
    <cfRule type="duplicateValues" dxfId="0" priority="3"/>
    <cfRule type="duplicateValues" dxfId="0" priority="2"/>
    <cfRule type="duplicateValues" dxfId="0" priority="1"/>
  </conditionalFormatting>
  <conditionalFormatting sqref="N4">
    <cfRule type="duplicateValues" dxfId="0" priority="7"/>
  </conditionalFormatting>
  <conditionalFormatting sqref="N1:N2">
    <cfRule type="duplicateValues" dxfId="0" priority="6"/>
    <cfRule type="duplicateValues" dxfId="0" priority="5"/>
    <cfRule type="duplicateValues" dxfId="0" priority="4"/>
  </conditionalFormatting>
  <pageMargins left="0.699305555555556" right="0.699305555555556" top="0.75" bottom="0.75" header="0.3" footer="0.3"/>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P3"/>
  <sheetViews>
    <sheetView workbookViewId="0">
      <selection activeCell="Q30" sqref="Q30"/>
    </sheetView>
  </sheetViews>
  <sheetFormatPr defaultColWidth="9" defaultRowHeight="13.5" outlineLevelRow="2"/>
  <sheetData>
    <row r="1" s="64" customFormat="1" ht="43.5" customHeight="1" spans="1:13">
      <c r="A1" s="65" t="s">
        <v>496</v>
      </c>
      <c r="B1" s="66"/>
      <c r="C1" s="66"/>
      <c r="D1" s="66"/>
      <c r="E1" s="66"/>
      <c r="F1" s="66"/>
      <c r="G1" s="66"/>
      <c r="H1" s="66"/>
      <c r="I1" s="66"/>
      <c r="J1" s="66"/>
      <c r="K1" s="66"/>
      <c r="L1" s="71"/>
      <c r="M1" s="72"/>
    </row>
    <row r="2" s="64" customFormat="1" ht="31.5" customHeight="1" spans="1:16">
      <c r="A2" s="67" t="s">
        <v>3</v>
      </c>
      <c r="B2" s="68" t="s">
        <v>497</v>
      </c>
      <c r="C2" s="68" t="s">
        <v>498</v>
      </c>
      <c r="D2" s="68" t="s">
        <v>92</v>
      </c>
      <c r="E2" s="68" t="s">
        <v>5</v>
      </c>
      <c r="F2" s="68" t="s">
        <v>51</v>
      </c>
      <c r="G2" s="69" t="s">
        <v>190</v>
      </c>
      <c r="H2" s="70" t="s">
        <v>11</v>
      </c>
      <c r="I2" s="70" t="s">
        <v>499</v>
      </c>
      <c r="J2" s="68" t="s">
        <v>500</v>
      </c>
      <c r="K2" s="69" t="s">
        <v>501</v>
      </c>
      <c r="L2" s="68" t="s">
        <v>31</v>
      </c>
      <c r="M2" s="72"/>
      <c r="P2" s="64" t="s">
        <v>502</v>
      </c>
    </row>
    <row r="3" s="64" customFormat="1" ht="28.5" customHeight="1" spans="1:16">
      <c r="A3" s="40">
        <v>1</v>
      </c>
      <c r="B3" s="40" t="s">
        <v>503</v>
      </c>
      <c r="C3" s="40" t="s">
        <v>504</v>
      </c>
      <c r="D3" s="40"/>
      <c r="E3" s="40"/>
      <c r="F3" s="40" t="s">
        <v>505</v>
      </c>
      <c r="G3" s="40">
        <v>230</v>
      </c>
      <c r="H3" s="17" t="s">
        <v>19</v>
      </c>
      <c r="I3" s="17" t="s">
        <v>506</v>
      </c>
      <c r="J3" s="40" t="s">
        <v>507</v>
      </c>
      <c r="K3" s="40" t="s">
        <v>149</v>
      </c>
      <c r="L3" s="40"/>
      <c r="M3" s="72">
        <v>1098638</v>
      </c>
      <c r="P3" s="64">
        <v>12</v>
      </c>
    </row>
  </sheetData>
  <mergeCells count="1">
    <mergeCell ref="A1:L1"/>
  </mergeCells>
  <dataValidations count="1">
    <dataValidation type="list" allowBlank="1" showInputMessage="1" showErrorMessage="1" sqref="K3">
      <formula1>$N$1:$O$1</formula1>
    </dataValidation>
  </dataValidations>
  <pageMargins left="0.699305555555556" right="0.699305555555556" top="0.75" bottom="0.75" header="0.3" footer="0.3"/>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XFD3"/>
  <sheetViews>
    <sheetView workbookViewId="0">
      <selection activeCell="E29" sqref="E29"/>
    </sheetView>
  </sheetViews>
  <sheetFormatPr defaultColWidth="9" defaultRowHeight="13.5" outlineLevelRow="2"/>
  <sheetData>
    <row r="1" s="52" customFormat="1" ht="34.5" customHeight="1" spans="1:16384">
      <c r="A1" s="20" t="s">
        <v>508</v>
      </c>
      <c r="B1" s="21"/>
      <c r="C1" s="21"/>
      <c r="D1" s="21"/>
      <c r="E1" s="21"/>
      <c r="F1" s="21"/>
      <c r="G1" s="21"/>
      <c r="H1" s="21"/>
      <c r="I1" s="21"/>
      <c r="J1" s="21"/>
      <c r="K1" s="21"/>
      <c r="L1" s="21"/>
      <c r="M1" s="21"/>
      <c r="N1" s="21"/>
      <c r="O1" s="21"/>
      <c r="P1" s="21"/>
      <c r="Q1" s="20" t="s">
        <v>297</v>
      </c>
      <c r="R1" s="21"/>
      <c r="S1" s="21"/>
      <c r="T1" s="21"/>
      <c r="U1" s="21"/>
      <c r="V1" s="21"/>
      <c r="W1" s="21"/>
      <c r="X1" s="21"/>
      <c r="Y1" s="21"/>
      <c r="Z1" s="21"/>
      <c r="AA1" s="21"/>
      <c r="AB1" s="21"/>
      <c r="AC1" s="21"/>
      <c r="AD1" s="21"/>
      <c r="AE1" s="21"/>
      <c r="AF1" s="21"/>
      <c r="AG1" s="20" t="s">
        <v>297</v>
      </c>
      <c r="AH1" s="21"/>
      <c r="AI1" s="21"/>
      <c r="AJ1" s="21"/>
      <c r="AK1" s="21"/>
      <c r="AL1" s="21"/>
      <c r="AM1" s="21"/>
      <c r="AN1" s="21"/>
      <c r="AO1" s="21"/>
      <c r="AP1" s="21"/>
      <c r="AQ1" s="21"/>
      <c r="AR1" s="21"/>
      <c r="AS1" s="21"/>
      <c r="AT1" s="21"/>
      <c r="AU1" s="21"/>
      <c r="AV1" s="21"/>
      <c r="AW1" s="20" t="s">
        <v>297</v>
      </c>
      <c r="AX1" s="21"/>
      <c r="AY1" s="21"/>
      <c r="AZ1" s="21"/>
      <c r="BA1" s="21"/>
      <c r="BB1" s="21"/>
      <c r="BC1" s="21"/>
      <c r="BD1" s="21"/>
      <c r="BE1" s="21"/>
      <c r="BF1" s="21"/>
      <c r="BG1" s="21"/>
      <c r="BH1" s="21"/>
      <c r="BI1" s="21"/>
      <c r="BJ1" s="21"/>
      <c r="BK1" s="21"/>
      <c r="BL1" s="21"/>
      <c r="BM1" s="20" t="s">
        <v>297</v>
      </c>
      <c r="BN1" s="21"/>
      <c r="BO1" s="21"/>
      <c r="BP1" s="21"/>
      <c r="BQ1" s="21"/>
      <c r="BR1" s="21"/>
      <c r="BS1" s="21"/>
      <c r="BT1" s="21"/>
      <c r="BU1" s="21"/>
      <c r="BV1" s="21"/>
      <c r="BW1" s="21"/>
      <c r="BX1" s="21"/>
      <c r="BY1" s="21"/>
      <c r="BZ1" s="21"/>
      <c r="CA1" s="21"/>
      <c r="CB1" s="21"/>
      <c r="CC1" s="20" t="s">
        <v>297</v>
      </c>
      <c r="CD1" s="21"/>
      <c r="CE1" s="21"/>
      <c r="CF1" s="21"/>
      <c r="CG1" s="21"/>
      <c r="CH1" s="21"/>
      <c r="CI1" s="21"/>
      <c r="CJ1" s="21"/>
      <c r="CK1" s="21"/>
      <c r="CL1" s="21"/>
      <c r="CM1" s="21"/>
      <c r="CN1" s="21"/>
      <c r="CO1" s="21"/>
      <c r="CP1" s="21"/>
      <c r="CQ1" s="21"/>
      <c r="CR1" s="21"/>
      <c r="CS1" s="20" t="s">
        <v>297</v>
      </c>
      <c r="CT1" s="21"/>
      <c r="CU1" s="21"/>
      <c r="CV1" s="21"/>
      <c r="CW1" s="21"/>
      <c r="CX1" s="21"/>
      <c r="CY1" s="21"/>
      <c r="CZ1" s="21"/>
      <c r="DA1" s="21"/>
      <c r="DB1" s="21"/>
      <c r="DC1" s="21"/>
      <c r="DD1" s="21"/>
      <c r="DE1" s="21"/>
      <c r="DF1" s="21"/>
      <c r="DG1" s="21"/>
      <c r="DH1" s="21"/>
      <c r="DI1" s="20" t="s">
        <v>297</v>
      </c>
      <c r="DJ1" s="21"/>
      <c r="DK1" s="21"/>
      <c r="DL1" s="21"/>
      <c r="DM1" s="21"/>
      <c r="DN1" s="21"/>
      <c r="DO1" s="21"/>
      <c r="DP1" s="21"/>
      <c r="DQ1" s="21"/>
      <c r="DR1" s="21"/>
      <c r="DS1" s="21"/>
      <c r="DT1" s="21"/>
      <c r="DU1" s="21"/>
      <c r="DV1" s="21"/>
      <c r="DW1" s="21"/>
      <c r="DX1" s="21"/>
      <c r="DY1" s="20" t="s">
        <v>297</v>
      </c>
      <c r="DZ1" s="21"/>
      <c r="EA1" s="21"/>
      <c r="EB1" s="21"/>
      <c r="EC1" s="21"/>
      <c r="ED1" s="21"/>
      <c r="EE1" s="21"/>
      <c r="EF1" s="21"/>
      <c r="EG1" s="21"/>
      <c r="EH1" s="21"/>
      <c r="EI1" s="21"/>
      <c r="EJ1" s="21"/>
      <c r="EK1" s="21"/>
      <c r="EL1" s="21"/>
      <c r="EM1" s="21"/>
      <c r="EN1" s="21"/>
      <c r="EO1" s="20" t="s">
        <v>297</v>
      </c>
      <c r="EP1" s="21"/>
      <c r="EQ1" s="21"/>
      <c r="ER1" s="21"/>
      <c r="ES1" s="21"/>
      <c r="ET1" s="21"/>
      <c r="EU1" s="21"/>
      <c r="EV1" s="21"/>
      <c r="EW1" s="21"/>
      <c r="EX1" s="21"/>
      <c r="EY1" s="21"/>
      <c r="EZ1" s="21"/>
      <c r="FA1" s="21"/>
      <c r="FB1" s="21"/>
      <c r="FC1" s="21"/>
      <c r="FD1" s="21"/>
      <c r="FE1" s="20" t="s">
        <v>297</v>
      </c>
      <c r="FF1" s="21"/>
      <c r="FG1" s="21"/>
      <c r="FH1" s="21"/>
      <c r="FI1" s="21"/>
      <c r="FJ1" s="21"/>
      <c r="FK1" s="21"/>
      <c r="FL1" s="21"/>
      <c r="FM1" s="21"/>
      <c r="FN1" s="21"/>
      <c r="FO1" s="21"/>
      <c r="FP1" s="21"/>
      <c r="FQ1" s="21"/>
      <c r="FR1" s="21"/>
      <c r="FS1" s="21"/>
      <c r="FT1" s="21"/>
      <c r="FU1" s="20" t="s">
        <v>297</v>
      </c>
      <c r="FV1" s="21"/>
      <c r="FW1" s="21"/>
      <c r="FX1" s="21"/>
      <c r="FY1" s="21"/>
      <c r="FZ1" s="21"/>
      <c r="GA1" s="21"/>
      <c r="GB1" s="21"/>
      <c r="GC1" s="21"/>
      <c r="GD1" s="21"/>
      <c r="GE1" s="21"/>
      <c r="GF1" s="21"/>
      <c r="GG1" s="21"/>
      <c r="GH1" s="21"/>
      <c r="GI1" s="21"/>
      <c r="GJ1" s="21"/>
      <c r="GK1" s="20" t="s">
        <v>297</v>
      </c>
      <c r="GL1" s="21"/>
      <c r="GM1" s="21"/>
      <c r="GN1" s="21"/>
      <c r="GO1" s="21"/>
      <c r="GP1" s="21"/>
      <c r="GQ1" s="21"/>
      <c r="GR1" s="21"/>
      <c r="GS1" s="21"/>
      <c r="GT1" s="21"/>
      <c r="GU1" s="21"/>
      <c r="GV1" s="21"/>
      <c r="GW1" s="21"/>
      <c r="GX1" s="21"/>
      <c r="GY1" s="21"/>
      <c r="GZ1" s="21"/>
      <c r="HA1" s="20" t="s">
        <v>297</v>
      </c>
      <c r="HB1" s="21"/>
      <c r="HC1" s="21"/>
      <c r="HD1" s="21"/>
      <c r="HE1" s="21"/>
      <c r="HF1" s="21"/>
      <c r="HG1" s="21"/>
      <c r="HH1" s="21"/>
      <c r="HI1" s="21"/>
      <c r="HJ1" s="21"/>
      <c r="HK1" s="21"/>
      <c r="HL1" s="21"/>
      <c r="HM1" s="21"/>
      <c r="HN1" s="21"/>
      <c r="HO1" s="21"/>
      <c r="HP1" s="21"/>
      <c r="HQ1" s="20" t="s">
        <v>297</v>
      </c>
      <c r="HR1" s="21"/>
      <c r="HS1" s="21"/>
      <c r="HT1" s="21"/>
      <c r="HU1" s="21"/>
      <c r="HV1" s="21"/>
      <c r="HW1" s="21"/>
      <c r="HX1" s="21"/>
      <c r="HY1" s="21"/>
      <c r="HZ1" s="21"/>
      <c r="IA1" s="21"/>
      <c r="IB1" s="21"/>
      <c r="IC1" s="21"/>
      <c r="ID1" s="21"/>
      <c r="IE1" s="21"/>
      <c r="IF1" s="21"/>
      <c r="IG1" s="20" t="s">
        <v>297</v>
      </c>
      <c r="IH1" s="21"/>
      <c r="II1" s="21"/>
      <c r="IJ1" s="21"/>
      <c r="IK1" s="21"/>
      <c r="IL1" s="21"/>
      <c r="IM1" s="21"/>
      <c r="IN1" s="21"/>
      <c r="IO1" s="21"/>
      <c r="IP1" s="21"/>
      <c r="IQ1" s="21"/>
      <c r="IR1" s="21"/>
      <c r="IS1" s="21"/>
      <c r="IT1" s="21"/>
      <c r="IU1" s="21"/>
      <c r="IV1" s="21"/>
      <c r="IW1" s="20" t="s">
        <v>297</v>
      </c>
      <c r="IX1" s="21"/>
      <c r="IY1" s="21"/>
      <c r="IZ1" s="21"/>
      <c r="JA1" s="21"/>
      <c r="JB1" s="21"/>
      <c r="JC1" s="21"/>
      <c r="JD1" s="21"/>
      <c r="JE1" s="21"/>
      <c r="JF1" s="21"/>
      <c r="JG1" s="21"/>
      <c r="JH1" s="21"/>
      <c r="JI1" s="21"/>
      <c r="JJ1" s="21"/>
      <c r="JK1" s="21"/>
      <c r="JL1" s="21"/>
      <c r="JM1" s="20" t="s">
        <v>297</v>
      </c>
      <c r="JN1" s="21"/>
      <c r="JO1" s="21"/>
      <c r="JP1" s="21"/>
      <c r="JQ1" s="21"/>
      <c r="JR1" s="21"/>
      <c r="JS1" s="21"/>
      <c r="JT1" s="21"/>
      <c r="JU1" s="21"/>
      <c r="JV1" s="21"/>
      <c r="JW1" s="21"/>
      <c r="JX1" s="21"/>
      <c r="JY1" s="21"/>
      <c r="JZ1" s="21"/>
      <c r="KA1" s="21"/>
      <c r="KB1" s="21"/>
      <c r="KC1" s="20" t="s">
        <v>297</v>
      </c>
      <c r="KD1" s="21"/>
      <c r="KE1" s="21"/>
      <c r="KF1" s="21"/>
      <c r="KG1" s="21"/>
      <c r="KH1" s="21"/>
      <c r="KI1" s="21"/>
      <c r="KJ1" s="21"/>
      <c r="KK1" s="21"/>
      <c r="KL1" s="21"/>
      <c r="KM1" s="21"/>
      <c r="KN1" s="21"/>
      <c r="KO1" s="21"/>
      <c r="KP1" s="21"/>
      <c r="KQ1" s="21"/>
      <c r="KR1" s="21"/>
      <c r="KS1" s="20" t="s">
        <v>297</v>
      </c>
      <c r="KT1" s="21"/>
      <c r="KU1" s="21"/>
      <c r="KV1" s="21"/>
      <c r="KW1" s="21"/>
      <c r="KX1" s="21"/>
      <c r="KY1" s="21"/>
      <c r="KZ1" s="21"/>
      <c r="LA1" s="21"/>
      <c r="LB1" s="21"/>
      <c r="LC1" s="21"/>
      <c r="LD1" s="21"/>
      <c r="LE1" s="21"/>
      <c r="LF1" s="21"/>
      <c r="LG1" s="21"/>
      <c r="LH1" s="21"/>
      <c r="LI1" s="20" t="s">
        <v>297</v>
      </c>
      <c r="LJ1" s="21"/>
      <c r="LK1" s="21"/>
      <c r="LL1" s="21"/>
      <c r="LM1" s="21"/>
      <c r="LN1" s="21"/>
      <c r="LO1" s="21"/>
      <c r="LP1" s="21"/>
      <c r="LQ1" s="21"/>
      <c r="LR1" s="21"/>
      <c r="LS1" s="21"/>
      <c r="LT1" s="21"/>
      <c r="LU1" s="21"/>
      <c r="LV1" s="21"/>
      <c r="LW1" s="21"/>
      <c r="LX1" s="21"/>
      <c r="LY1" s="20" t="s">
        <v>297</v>
      </c>
      <c r="LZ1" s="21"/>
      <c r="MA1" s="21"/>
      <c r="MB1" s="21"/>
      <c r="MC1" s="21"/>
      <c r="MD1" s="21"/>
      <c r="ME1" s="21"/>
      <c r="MF1" s="21"/>
      <c r="MG1" s="21"/>
      <c r="MH1" s="21"/>
      <c r="MI1" s="21"/>
      <c r="MJ1" s="21"/>
      <c r="MK1" s="21"/>
      <c r="ML1" s="21"/>
      <c r="MM1" s="21"/>
      <c r="MN1" s="21"/>
      <c r="MO1" s="20" t="s">
        <v>297</v>
      </c>
      <c r="MP1" s="21"/>
      <c r="MQ1" s="21"/>
      <c r="MR1" s="21"/>
      <c r="MS1" s="21"/>
      <c r="MT1" s="21"/>
      <c r="MU1" s="21"/>
      <c r="MV1" s="21"/>
      <c r="MW1" s="21"/>
      <c r="MX1" s="21"/>
      <c r="MY1" s="21"/>
      <c r="MZ1" s="21"/>
      <c r="NA1" s="21"/>
      <c r="NB1" s="21"/>
      <c r="NC1" s="21"/>
      <c r="ND1" s="21"/>
      <c r="NE1" s="20" t="s">
        <v>297</v>
      </c>
      <c r="NF1" s="21"/>
      <c r="NG1" s="21"/>
      <c r="NH1" s="21"/>
      <c r="NI1" s="21"/>
      <c r="NJ1" s="21"/>
      <c r="NK1" s="21"/>
      <c r="NL1" s="21"/>
      <c r="NM1" s="21"/>
      <c r="NN1" s="21"/>
      <c r="NO1" s="21"/>
      <c r="NP1" s="21"/>
      <c r="NQ1" s="21"/>
      <c r="NR1" s="21"/>
      <c r="NS1" s="21"/>
      <c r="NT1" s="21"/>
      <c r="NU1" s="20" t="s">
        <v>297</v>
      </c>
      <c r="NV1" s="21"/>
      <c r="NW1" s="21"/>
      <c r="NX1" s="21"/>
      <c r="NY1" s="21"/>
      <c r="NZ1" s="21"/>
      <c r="OA1" s="21"/>
      <c r="OB1" s="21"/>
      <c r="OC1" s="21"/>
      <c r="OD1" s="21"/>
      <c r="OE1" s="21"/>
      <c r="OF1" s="21"/>
      <c r="OG1" s="21"/>
      <c r="OH1" s="21"/>
      <c r="OI1" s="21"/>
      <c r="OJ1" s="21"/>
      <c r="OK1" s="20" t="s">
        <v>297</v>
      </c>
      <c r="OL1" s="21"/>
      <c r="OM1" s="21"/>
      <c r="ON1" s="21"/>
      <c r="OO1" s="21"/>
      <c r="OP1" s="21"/>
      <c r="OQ1" s="21"/>
      <c r="OR1" s="21"/>
      <c r="OS1" s="21"/>
      <c r="OT1" s="21"/>
      <c r="OU1" s="21"/>
      <c r="OV1" s="21"/>
      <c r="OW1" s="21"/>
      <c r="OX1" s="21"/>
      <c r="OY1" s="21"/>
      <c r="OZ1" s="21"/>
      <c r="PA1" s="20" t="s">
        <v>297</v>
      </c>
      <c r="PB1" s="21"/>
      <c r="PC1" s="21"/>
      <c r="PD1" s="21"/>
      <c r="PE1" s="21"/>
      <c r="PF1" s="21"/>
      <c r="PG1" s="21"/>
      <c r="PH1" s="21"/>
      <c r="PI1" s="21"/>
      <c r="PJ1" s="21"/>
      <c r="PK1" s="21"/>
      <c r="PL1" s="21"/>
      <c r="PM1" s="21"/>
      <c r="PN1" s="21"/>
      <c r="PO1" s="21"/>
      <c r="PP1" s="21"/>
      <c r="PQ1" s="20" t="s">
        <v>297</v>
      </c>
      <c r="PR1" s="21"/>
      <c r="PS1" s="21"/>
      <c r="PT1" s="21"/>
      <c r="PU1" s="21"/>
      <c r="PV1" s="21"/>
      <c r="PW1" s="21"/>
      <c r="PX1" s="21"/>
      <c r="PY1" s="21"/>
      <c r="PZ1" s="21"/>
      <c r="QA1" s="21"/>
      <c r="QB1" s="21"/>
      <c r="QC1" s="21"/>
      <c r="QD1" s="21"/>
      <c r="QE1" s="21"/>
      <c r="QF1" s="21"/>
      <c r="QG1" s="20" t="s">
        <v>297</v>
      </c>
      <c r="QH1" s="21"/>
      <c r="QI1" s="21"/>
      <c r="QJ1" s="21"/>
      <c r="QK1" s="21"/>
      <c r="QL1" s="21"/>
      <c r="QM1" s="21"/>
      <c r="QN1" s="21"/>
      <c r="QO1" s="21"/>
      <c r="QP1" s="21"/>
      <c r="QQ1" s="21"/>
      <c r="QR1" s="21"/>
      <c r="QS1" s="21"/>
      <c r="QT1" s="21"/>
      <c r="QU1" s="21"/>
      <c r="QV1" s="21"/>
      <c r="QW1" s="20" t="s">
        <v>297</v>
      </c>
      <c r="QX1" s="21"/>
      <c r="QY1" s="21"/>
      <c r="QZ1" s="21"/>
      <c r="RA1" s="21"/>
      <c r="RB1" s="21"/>
      <c r="RC1" s="21"/>
      <c r="RD1" s="21"/>
      <c r="RE1" s="21"/>
      <c r="RF1" s="21"/>
      <c r="RG1" s="21"/>
      <c r="RH1" s="21"/>
      <c r="RI1" s="21"/>
      <c r="RJ1" s="21"/>
      <c r="RK1" s="21"/>
      <c r="RL1" s="21"/>
      <c r="RM1" s="20" t="s">
        <v>297</v>
      </c>
      <c r="RN1" s="21"/>
      <c r="RO1" s="21"/>
      <c r="RP1" s="21"/>
      <c r="RQ1" s="21"/>
      <c r="RR1" s="21"/>
      <c r="RS1" s="21"/>
      <c r="RT1" s="21"/>
      <c r="RU1" s="21"/>
      <c r="RV1" s="21"/>
      <c r="RW1" s="21"/>
      <c r="RX1" s="21"/>
      <c r="RY1" s="21"/>
      <c r="RZ1" s="21"/>
      <c r="SA1" s="21"/>
      <c r="SB1" s="21"/>
      <c r="SC1" s="20" t="s">
        <v>297</v>
      </c>
      <c r="SD1" s="21"/>
      <c r="SE1" s="21"/>
      <c r="SF1" s="21"/>
      <c r="SG1" s="21"/>
      <c r="SH1" s="21"/>
      <c r="SI1" s="21"/>
      <c r="SJ1" s="21"/>
      <c r="SK1" s="21"/>
      <c r="SL1" s="21"/>
      <c r="SM1" s="21"/>
      <c r="SN1" s="21"/>
      <c r="SO1" s="21"/>
      <c r="SP1" s="21"/>
      <c r="SQ1" s="21"/>
      <c r="SR1" s="21"/>
      <c r="SS1" s="20" t="s">
        <v>297</v>
      </c>
      <c r="ST1" s="21"/>
      <c r="SU1" s="21"/>
      <c r="SV1" s="21"/>
      <c r="SW1" s="21"/>
      <c r="SX1" s="21"/>
      <c r="SY1" s="21"/>
      <c r="SZ1" s="21"/>
      <c r="TA1" s="21"/>
      <c r="TB1" s="21"/>
      <c r="TC1" s="21"/>
      <c r="TD1" s="21"/>
      <c r="TE1" s="21"/>
      <c r="TF1" s="21"/>
      <c r="TG1" s="21"/>
      <c r="TH1" s="21"/>
      <c r="TI1" s="20" t="s">
        <v>297</v>
      </c>
      <c r="TJ1" s="21"/>
      <c r="TK1" s="21"/>
      <c r="TL1" s="21"/>
      <c r="TM1" s="21"/>
      <c r="TN1" s="21"/>
      <c r="TO1" s="21"/>
      <c r="TP1" s="21"/>
      <c r="TQ1" s="21"/>
      <c r="TR1" s="21"/>
      <c r="TS1" s="21"/>
      <c r="TT1" s="21"/>
      <c r="TU1" s="21"/>
      <c r="TV1" s="21"/>
      <c r="TW1" s="21"/>
      <c r="TX1" s="21"/>
      <c r="TY1" s="20" t="s">
        <v>297</v>
      </c>
      <c r="TZ1" s="21"/>
      <c r="UA1" s="21"/>
      <c r="UB1" s="21"/>
      <c r="UC1" s="21"/>
      <c r="UD1" s="21"/>
      <c r="UE1" s="21"/>
      <c r="UF1" s="21"/>
      <c r="UG1" s="21"/>
      <c r="UH1" s="21"/>
      <c r="UI1" s="21"/>
      <c r="UJ1" s="21"/>
      <c r="UK1" s="21"/>
      <c r="UL1" s="21"/>
      <c r="UM1" s="21"/>
      <c r="UN1" s="21"/>
      <c r="UO1" s="20" t="s">
        <v>297</v>
      </c>
      <c r="UP1" s="21"/>
      <c r="UQ1" s="21"/>
      <c r="UR1" s="21"/>
      <c r="US1" s="21"/>
      <c r="UT1" s="21"/>
      <c r="UU1" s="21"/>
      <c r="UV1" s="21"/>
      <c r="UW1" s="21"/>
      <c r="UX1" s="21"/>
      <c r="UY1" s="21"/>
      <c r="UZ1" s="21"/>
      <c r="VA1" s="21"/>
      <c r="VB1" s="21"/>
      <c r="VC1" s="21"/>
      <c r="VD1" s="21"/>
      <c r="VE1" s="20" t="s">
        <v>297</v>
      </c>
      <c r="VF1" s="21"/>
      <c r="VG1" s="21"/>
      <c r="VH1" s="21"/>
      <c r="VI1" s="21"/>
      <c r="VJ1" s="21"/>
      <c r="VK1" s="21"/>
      <c r="VL1" s="21"/>
      <c r="VM1" s="21"/>
      <c r="VN1" s="21"/>
      <c r="VO1" s="21"/>
      <c r="VP1" s="21"/>
      <c r="VQ1" s="21"/>
      <c r="VR1" s="21"/>
      <c r="VS1" s="21"/>
      <c r="VT1" s="21"/>
      <c r="VU1" s="20" t="s">
        <v>297</v>
      </c>
      <c r="VV1" s="21"/>
      <c r="VW1" s="21"/>
      <c r="VX1" s="21"/>
      <c r="VY1" s="21"/>
      <c r="VZ1" s="21"/>
      <c r="WA1" s="21"/>
      <c r="WB1" s="21"/>
      <c r="WC1" s="21"/>
      <c r="WD1" s="21"/>
      <c r="WE1" s="21"/>
      <c r="WF1" s="21"/>
      <c r="WG1" s="21"/>
      <c r="WH1" s="21"/>
      <c r="WI1" s="21"/>
      <c r="WJ1" s="21"/>
      <c r="WK1" s="20" t="s">
        <v>297</v>
      </c>
      <c r="WL1" s="21"/>
      <c r="WM1" s="21"/>
      <c r="WN1" s="21"/>
      <c r="WO1" s="21"/>
      <c r="WP1" s="21"/>
      <c r="WQ1" s="21"/>
      <c r="WR1" s="21"/>
      <c r="WS1" s="21"/>
      <c r="WT1" s="21"/>
      <c r="WU1" s="21"/>
      <c r="WV1" s="21"/>
      <c r="WW1" s="21"/>
      <c r="WX1" s="21"/>
      <c r="WY1" s="21"/>
      <c r="WZ1" s="21"/>
      <c r="XA1" s="20" t="s">
        <v>297</v>
      </c>
      <c r="XB1" s="21"/>
      <c r="XC1" s="21"/>
      <c r="XD1" s="21"/>
      <c r="XE1" s="21"/>
      <c r="XF1" s="21"/>
      <c r="XG1" s="21"/>
      <c r="XH1" s="21"/>
      <c r="XI1" s="21"/>
      <c r="XJ1" s="21"/>
      <c r="XK1" s="21"/>
      <c r="XL1" s="21"/>
      <c r="XM1" s="21"/>
      <c r="XN1" s="21"/>
      <c r="XO1" s="21"/>
      <c r="XP1" s="21"/>
      <c r="XQ1" s="20" t="s">
        <v>297</v>
      </c>
      <c r="XR1" s="21"/>
      <c r="XS1" s="21"/>
      <c r="XT1" s="21"/>
      <c r="XU1" s="21"/>
      <c r="XV1" s="21"/>
      <c r="XW1" s="21"/>
      <c r="XX1" s="21"/>
      <c r="XY1" s="21"/>
      <c r="XZ1" s="21"/>
      <c r="YA1" s="21"/>
      <c r="YB1" s="21"/>
      <c r="YC1" s="21"/>
      <c r="YD1" s="21"/>
      <c r="YE1" s="21"/>
      <c r="YF1" s="21"/>
      <c r="YG1" s="20" t="s">
        <v>297</v>
      </c>
      <c r="YH1" s="21"/>
      <c r="YI1" s="21"/>
      <c r="YJ1" s="21"/>
      <c r="YK1" s="21"/>
      <c r="YL1" s="21"/>
      <c r="YM1" s="21"/>
      <c r="YN1" s="21"/>
      <c r="YO1" s="21"/>
      <c r="YP1" s="21"/>
      <c r="YQ1" s="21"/>
      <c r="YR1" s="21"/>
      <c r="YS1" s="21"/>
      <c r="YT1" s="21"/>
      <c r="YU1" s="21"/>
      <c r="YV1" s="21"/>
      <c r="YW1" s="20" t="s">
        <v>297</v>
      </c>
      <c r="YX1" s="21"/>
      <c r="YY1" s="21"/>
      <c r="YZ1" s="21"/>
      <c r="ZA1" s="21"/>
      <c r="ZB1" s="21"/>
      <c r="ZC1" s="21"/>
      <c r="ZD1" s="21"/>
      <c r="ZE1" s="21"/>
      <c r="ZF1" s="21"/>
      <c r="ZG1" s="21"/>
      <c r="ZH1" s="21"/>
      <c r="ZI1" s="21"/>
      <c r="ZJ1" s="21"/>
      <c r="ZK1" s="21"/>
      <c r="ZL1" s="21"/>
      <c r="ZM1" s="20" t="s">
        <v>297</v>
      </c>
      <c r="ZN1" s="21"/>
      <c r="ZO1" s="21"/>
      <c r="ZP1" s="21"/>
      <c r="ZQ1" s="21"/>
      <c r="ZR1" s="21"/>
      <c r="ZS1" s="21"/>
      <c r="ZT1" s="21"/>
      <c r="ZU1" s="21"/>
      <c r="ZV1" s="21"/>
      <c r="ZW1" s="21"/>
      <c r="ZX1" s="21"/>
      <c r="ZY1" s="21"/>
      <c r="ZZ1" s="21"/>
      <c r="AAA1" s="21"/>
      <c r="AAB1" s="21"/>
      <c r="AAC1" s="20" t="s">
        <v>297</v>
      </c>
      <c r="AAD1" s="21"/>
      <c r="AAE1" s="21"/>
      <c r="AAF1" s="21"/>
      <c r="AAG1" s="21"/>
      <c r="AAH1" s="21"/>
      <c r="AAI1" s="21"/>
      <c r="AAJ1" s="21"/>
      <c r="AAK1" s="21"/>
      <c r="AAL1" s="21"/>
      <c r="AAM1" s="21"/>
      <c r="AAN1" s="21"/>
      <c r="AAO1" s="21"/>
      <c r="AAP1" s="21"/>
      <c r="AAQ1" s="21"/>
      <c r="AAR1" s="21"/>
      <c r="AAS1" s="20" t="s">
        <v>297</v>
      </c>
      <c r="AAT1" s="21"/>
      <c r="AAU1" s="21"/>
      <c r="AAV1" s="21"/>
      <c r="AAW1" s="21"/>
      <c r="AAX1" s="21"/>
      <c r="AAY1" s="21"/>
      <c r="AAZ1" s="21"/>
      <c r="ABA1" s="21"/>
      <c r="ABB1" s="21"/>
      <c r="ABC1" s="21"/>
      <c r="ABD1" s="21"/>
      <c r="ABE1" s="21"/>
      <c r="ABF1" s="21"/>
      <c r="ABG1" s="21"/>
      <c r="ABH1" s="21"/>
      <c r="ABI1" s="20" t="s">
        <v>297</v>
      </c>
      <c r="ABJ1" s="21"/>
      <c r="ABK1" s="21"/>
      <c r="ABL1" s="21"/>
      <c r="ABM1" s="21"/>
      <c r="ABN1" s="21"/>
      <c r="ABO1" s="21"/>
      <c r="ABP1" s="21"/>
      <c r="ABQ1" s="21"/>
      <c r="ABR1" s="21"/>
      <c r="ABS1" s="21"/>
      <c r="ABT1" s="21"/>
      <c r="ABU1" s="21"/>
      <c r="ABV1" s="21"/>
      <c r="ABW1" s="21"/>
      <c r="ABX1" s="21"/>
      <c r="ABY1" s="20" t="s">
        <v>297</v>
      </c>
      <c r="ABZ1" s="21"/>
      <c r="ACA1" s="21"/>
      <c r="ACB1" s="21"/>
      <c r="ACC1" s="21"/>
      <c r="ACD1" s="21"/>
      <c r="ACE1" s="21"/>
      <c r="ACF1" s="21"/>
      <c r="ACG1" s="21"/>
      <c r="ACH1" s="21"/>
      <c r="ACI1" s="21"/>
      <c r="ACJ1" s="21"/>
      <c r="ACK1" s="21"/>
      <c r="ACL1" s="21"/>
      <c r="ACM1" s="21"/>
      <c r="ACN1" s="21"/>
      <c r="ACO1" s="20" t="s">
        <v>297</v>
      </c>
      <c r="ACP1" s="21"/>
      <c r="ACQ1" s="21"/>
      <c r="ACR1" s="21"/>
      <c r="ACS1" s="21"/>
      <c r="ACT1" s="21"/>
      <c r="ACU1" s="21"/>
      <c r="ACV1" s="21"/>
      <c r="ACW1" s="21"/>
      <c r="ACX1" s="21"/>
      <c r="ACY1" s="21"/>
      <c r="ACZ1" s="21"/>
      <c r="ADA1" s="21"/>
      <c r="ADB1" s="21"/>
      <c r="ADC1" s="21"/>
      <c r="ADD1" s="21"/>
      <c r="ADE1" s="20" t="s">
        <v>297</v>
      </c>
      <c r="ADF1" s="21"/>
      <c r="ADG1" s="21"/>
      <c r="ADH1" s="21"/>
      <c r="ADI1" s="21"/>
      <c r="ADJ1" s="21"/>
      <c r="ADK1" s="21"/>
      <c r="ADL1" s="21"/>
      <c r="ADM1" s="21"/>
      <c r="ADN1" s="21"/>
      <c r="ADO1" s="21"/>
      <c r="ADP1" s="21"/>
      <c r="ADQ1" s="21"/>
      <c r="ADR1" s="21"/>
      <c r="ADS1" s="21"/>
      <c r="ADT1" s="21"/>
      <c r="ADU1" s="20" t="s">
        <v>297</v>
      </c>
      <c r="ADV1" s="21"/>
      <c r="ADW1" s="21"/>
      <c r="ADX1" s="21"/>
      <c r="ADY1" s="21"/>
      <c r="ADZ1" s="21"/>
      <c r="AEA1" s="21"/>
      <c r="AEB1" s="21"/>
      <c r="AEC1" s="21"/>
      <c r="AED1" s="21"/>
      <c r="AEE1" s="21"/>
      <c r="AEF1" s="21"/>
      <c r="AEG1" s="21"/>
      <c r="AEH1" s="21"/>
      <c r="AEI1" s="21"/>
      <c r="AEJ1" s="21"/>
      <c r="AEK1" s="20" t="s">
        <v>297</v>
      </c>
      <c r="AEL1" s="21"/>
      <c r="AEM1" s="21"/>
      <c r="AEN1" s="21"/>
      <c r="AEO1" s="21"/>
      <c r="AEP1" s="21"/>
      <c r="AEQ1" s="21"/>
      <c r="AER1" s="21"/>
      <c r="AES1" s="21"/>
      <c r="AET1" s="21"/>
      <c r="AEU1" s="21"/>
      <c r="AEV1" s="21"/>
      <c r="AEW1" s="21"/>
      <c r="AEX1" s="21"/>
      <c r="AEY1" s="21"/>
      <c r="AEZ1" s="21"/>
      <c r="AFA1" s="20" t="s">
        <v>297</v>
      </c>
      <c r="AFB1" s="21"/>
      <c r="AFC1" s="21"/>
      <c r="AFD1" s="21"/>
      <c r="AFE1" s="21"/>
      <c r="AFF1" s="21"/>
      <c r="AFG1" s="21"/>
      <c r="AFH1" s="21"/>
      <c r="AFI1" s="21"/>
      <c r="AFJ1" s="21"/>
      <c r="AFK1" s="21"/>
      <c r="AFL1" s="21"/>
      <c r="AFM1" s="21"/>
      <c r="AFN1" s="21"/>
      <c r="AFO1" s="21"/>
      <c r="AFP1" s="21"/>
      <c r="AFQ1" s="20" t="s">
        <v>297</v>
      </c>
      <c r="AFR1" s="21"/>
      <c r="AFS1" s="21"/>
      <c r="AFT1" s="21"/>
      <c r="AFU1" s="21"/>
      <c r="AFV1" s="21"/>
      <c r="AFW1" s="21"/>
      <c r="AFX1" s="21"/>
      <c r="AFY1" s="21"/>
      <c r="AFZ1" s="21"/>
      <c r="AGA1" s="21"/>
      <c r="AGB1" s="21"/>
      <c r="AGC1" s="21"/>
      <c r="AGD1" s="21"/>
      <c r="AGE1" s="21"/>
      <c r="AGF1" s="21"/>
      <c r="AGG1" s="20" t="s">
        <v>297</v>
      </c>
      <c r="AGH1" s="21"/>
      <c r="AGI1" s="21"/>
      <c r="AGJ1" s="21"/>
      <c r="AGK1" s="21"/>
      <c r="AGL1" s="21"/>
      <c r="AGM1" s="21"/>
      <c r="AGN1" s="21"/>
      <c r="AGO1" s="21"/>
      <c r="AGP1" s="21"/>
      <c r="AGQ1" s="21"/>
      <c r="AGR1" s="21"/>
      <c r="AGS1" s="21"/>
      <c r="AGT1" s="21"/>
      <c r="AGU1" s="21"/>
      <c r="AGV1" s="21"/>
      <c r="AGW1" s="20" t="s">
        <v>297</v>
      </c>
      <c r="AGX1" s="21"/>
      <c r="AGY1" s="21"/>
      <c r="AGZ1" s="21"/>
      <c r="AHA1" s="21"/>
      <c r="AHB1" s="21"/>
      <c r="AHC1" s="21"/>
      <c r="AHD1" s="21"/>
      <c r="AHE1" s="21"/>
      <c r="AHF1" s="21"/>
      <c r="AHG1" s="21"/>
      <c r="AHH1" s="21"/>
      <c r="AHI1" s="21"/>
      <c r="AHJ1" s="21"/>
      <c r="AHK1" s="21"/>
      <c r="AHL1" s="21"/>
      <c r="AHM1" s="20" t="s">
        <v>297</v>
      </c>
      <c r="AHN1" s="21"/>
      <c r="AHO1" s="21"/>
      <c r="AHP1" s="21"/>
      <c r="AHQ1" s="21"/>
      <c r="AHR1" s="21"/>
      <c r="AHS1" s="21"/>
      <c r="AHT1" s="21"/>
      <c r="AHU1" s="21"/>
      <c r="AHV1" s="21"/>
      <c r="AHW1" s="21"/>
      <c r="AHX1" s="21"/>
      <c r="AHY1" s="21"/>
      <c r="AHZ1" s="21"/>
      <c r="AIA1" s="21"/>
      <c r="AIB1" s="21"/>
      <c r="AIC1" s="20" t="s">
        <v>297</v>
      </c>
      <c r="AID1" s="21"/>
      <c r="AIE1" s="21"/>
      <c r="AIF1" s="21"/>
      <c r="AIG1" s="21"/>
      <c r="AIH1" s="21"/>
      <c r="AII1" s="21"/>
      <c r="AIJ1" s="21"/>
      <c r="AIK1" s="21"/>
      <c r="AIL1" s="21"/>
      <c r="AIM1" s="21"/>
      <c r="AIN1" s="21"/>
      <c r="AIO1" s="21"/>
      <c r="AIP1" s="21"/>
      <c r="AIQ1" s="21"/>
      <c r="AIR1" s="21"/>
      <c r="AIS1" s="20" t="s">
        <v>297</v>
      </c>
      <c r="AIT1" s="21"/>
      <c r="AIU1" s="21"/>
      <c r="AIV1" s="21"/>
      <c r="AIW1" s="21"/>
      <c r="AIX1" s="21"/>
      <c r="AIY1" s="21"/>
      <c r="AIZ1" s="21"/>
      <c r="AJA1" s="21"/>
      <c r="AJB1" s="21"/>
      <c r="AJC1" s="21"/>
      <c r="AJD1" s="21"/>
      <c r="AJE1" s="21"/>
      <c r="AJF1" s="21"/>
      <c r="AJG1" s="21"/>
      <c r="AJH1" s="21"/>
      <c r="AJI1" s="20" t="s">
        <v>297</v>
      </c>
      <c r="AJJ1" s="21"/>
      <c r="AJK1" s="21"/>
      <c r="AJL1" s="21"/>
      <c r="AJM1" s="21"/>
      <c r="AJN1" s="21"/>
      <c r="AJO1" s="21"/>
      <c r="AJP1" s="21"/>
      <c r="AJQ1" s="21"/>
      <c r="AJR1" s="21"/>
      <c r="AJS1" s="21"/>
      <c r="AJT1" s="21"/>
      <c r="AJU1" s="21"/>
      <c r="AJV1" s="21"/>
      <c r="AJW1" s="21"/>
      <c r="AJX1" s="21"/>
      <c r="AJY1" s="20" t="s">
        <v>297</v>
      </c>
      <c r="AJZ1" s="21"/>
      <c r="AKA1" s="21"/>
      <c r="AKB1" s="21"/>
      <c r="AKC1" s="21"/>
      <c r="AKD1" s="21"/>
      <c r="AKE1" s="21"/>
      <c r="AKF1" s="21"/>
      <c r="AKG1" s="21"/>
      <c r="AKH1" s="21"/>
      <c r="AKI1" s="21"/>
      <c r="AKJ1" s="21"/>
      <c r="AKK1" s="21"/>
      <c r="AKL1" s="21"/>
      <c r="AKM1" s="21"/>
      <c r="AKN1" s="21"/>
      <c r="AKO1" s="20" t="s">
        <v>297</v>
      </c>
      <c r="AKP1" s="21"/>
      <c r="AKQ1" s="21"/>
      <c r="AKR1" s="21"/>
      <c r="AKS1" s="21"/>
      <c r="AKT1" s="21"/>
      <c r="AKU1" s="21"/>
      <c r="AKV1" s="21"/>
      <c r="AKW1" s="21"/>
      <c r="AKX1" s="21"/>
      <c r="AKY1" s="21"/>
      <c r="AKZ1" s="21"/>
      <c r="ALA1" s="21"/>
      <c r="ALB1" s="21"/>
      <c r="ALC1" s="21"/>
      <c r="ALD1" s="21"/>
      <c r="ALE1" s="20" t="s">
        <v>297</v>
      </c>
      <c r="ALF1" s="21"/>
      <c r="ALG1" s="21"/>
      <c r="ALH1" s="21"/>
      <c r="ALI1" s="21"/>
      <c r="ALJ1" s="21"/>
      <c r="ALK1" s="21"/>
      <c r="ALL1" s="21"/>
      <c r="ALM1" s="21"/>
      <c r="ALN1" s="21"/>
      <c r="ALO1" s="21"/>
      <c r="ALP1" s="21"/>
      <c r="ALQ1" s="21"/>
      <c r="ALR1" s="21"/>
      <c r="ALS1" s="21"/>
      <c r="ALT1" s="21"/>
      <c r="ALU1" s="20" t="s">
        <v>297</v>
      </c>
      <c r="ALV1" s="21"/>
      <c r="ALW1" s="21"/>
      <c r="ALX1" s="21"/>
      <c r="ALY1" s="21"/>
      <c r="ALZ1" s="21"/>
      <c r="AMA1" s="21"/>
      <c r="AMB1" s="21"/>
      <c r="AMC1" s="21"/>
      <c r="AMD1" s="21"/>
      <c r="AME1" s="21"/>
      <c r="AMF1" s="21"/>
      <c r="AMG1" s="21"/>
      <c r="AMH1" s="21"/>
      <c r="AMI1" s="21"/>
      <c r="AMJ1" s="21"/>
      <c r="AMK1" s="20" t="s">
        <v>297</v>
      </c>
      <c r="AML1" s="21"/>
      <c r="AMM1" s="21"/>
      <c r="AMN1" s="21"/>
      <c r="AMO1" s="21"/>
      <c r="AMP1" s="21"/>
      <c r="AMQ1" s="21"/>
      <c r="AMR1" s="21"/>
      <c r="AMS1" s="21"/>
      <c r="AMT1" s="21"/>
      <c r="AMU1" s="21"/>
      <c r="AMV1" s="21"/>
      <c r="AMW1" s="21"/>
      <c r="AMX1" s="21"/>
      <c r="AMY1" s="21"/>
      <c r="AMZ1" s="21"/>
      <c r="ANA1" s="20" t="s">
        <v>297</v>
      </c>
      <c r="ANB1" s="21"/>
      <c r="ANC1" s="21"/>
      <c r="AND1" s="21"/>
      <c r="ANE1" s="21"/>
      <c r="ANF1" s="21"/>
      <c r="ANG1" s="21"/>
      <c r="ANH1" s="21"/>
      <c r="ANI1" s="21"/>
      <c r="ANJ1" s="21"/>
      <c r="ANK1" s="21"/>
      <c r="ANL1" s="21"/>
      <c r="ANM1" s="21"/>
      <c r="ANN1" s="21"/>
      <c r="ANO1" s="21"/>
      <c r="ANP1" s="21"/>
      <c r="ANQ1" s="20" t="s">
        <v>297</v>
      </c>
      <c r="ANR1" s="21"/>
      <c r="ANS1" s="21"/>
      <c r="ANT1" s="21"/>
      <c r="ANU1" s="21"/>
      <c r="ANV1" s="21"/>
      <c r="ANW1" s="21"/>
      <c r="ANX1" s="21"/>
      <c r="ANY1" s="21"/>
      <c r="ANZ1" s="21"/>
      <c r="AOA1" s="21"/>
      <c r="AOB1" s="21"/>
      <c r="AOC1" s="21"/>
      <c r="AOD1" s="21"/>
      <c r="AOE1" s="21"/>
      <c r="AOF1" s="21"/>
      <c r="AOG1" s="20" t="s">
        <v>297</v>
      </c>
      <c r="AOH1" s="21"/>
      <c r="AOI1" s="21"/>
      <c r="AOJ1" s="21"/>
      <c r="AOK1" s="21"/>
      <c r="AOL1" s="21"/>
      <c r="AOM1" s="21"/>
      <c r="AON1" s="21"/>
      <c r="AOO1" s="21"/>
      <c r="AOP1" s="21"/>
      <c r="AOQ1" s="21"/>
      <c r="AOR1" s="21"/>
      <c r="AOS1" s="21"/>
      <c r="AOT1" s="21"/>
      <c r="AOU1" s="21"/>
      <c r="AOV1" s="21"/>
      <c r="AOW1" s="20" t="s">
        <v>297</v>
      </c>
      <c r="AOX1" s="21"/>
      <c r="AOY1" s="21"/>
      <c r="AOZ1" s="21"/>
      <c r="APA1" s="21"/>
      <c r="APB1" s="21"/>
      <c r="APC1" s="21"/>
      <c r="APD1" s="21"/>
      <c r="APE1" s="21"/>
      <c r="APF1" s="21"/>
      <c r="APG1" s="21"/>
      <c r="APH1" s="21"/>
      <c r="API1" s="21"/>
      <c r="APJ1" s="21"/>
      <c r="APK1" s="21"/>
      <c r="APL1" s="21"/>
      <c r="APM1" s="20" t="s">
        <v>297</v>
      </c>
      <c r="APN1" s="21"/>
      <c r="APO1" s="21"/>
      <c r="APP1" s="21"/>
      <c r="APQ1" s="21"/>
      <c r="APR1" s="21"/>
      <c r="APS1" s="21"/>
      <c r="APT1" s="21"/>
      <c r="APU1" s="21"/>
      <c r="APV1" s="21"/>
      <c r="APW1" s="21"/>
      <c r="APX1" s="21"/>
      <c r="APY1" s="21"/>
      <c r="APZ1" s="21"/>
      <c r="AQA1" s="21"/>
      <c r="AQB1" s="21"/>
      <c r="AQC1" s="20" t="s">
        <v>297</v>
      </c>
      <c r="AQD1" s="21"/>
      <c r="AQE1" s="21"/>
      <c r="AQF1" s="21"/>
      <c r="AQG1" s="21"/>
      <c r="AQH1" s="21"/>
      <c r="AQI1" s="21"/>
      <c r="AQJ1" s="21"/>
      <c r="AQK1" s="21"/>
      <c r="AQL1" s="21"/>
      <c r="AQM1" s="21"/>
      <c r="AQN1" s="21"/>
      <c r="AQO1" s="21"/>
      <c r="AQP1" s="21"/>
      <c r="AQQ1" s="21"/>
      <c r="AQR1" s="21"/>
      <c r="AQS1" s="20" t="s">
        <v>297</v>
      </c>
      <c r="AQT1" s="21"/>
      <c r="AQU1" s="21"/>
      <c r="AQV1" s="21"/>
      <c r="AQW1" s="21"/>
      <c r="AQX1" s="21"/>
      <c r="AQY1" s="21"/>
      <c r="AQZ1" s="21"/>
      <c r="ARA1" s="21"/>
      <c r="ARB1" s="21"/>
      <c r="ARC1" s="21"/>
      <c r="ARD1" s="21"/>
      <c r="ARE1" s="21"/>
      <c r="ARF1" s="21"/>
      <c r="ARG1" s="21"/>
      <c r="ARH1" s="21"/>
      <c r="ARI1" s="20" t="s">
        <v>297</v>
      </c>
      <c r="ARJ1" s="21"/>
      <c r="ARK1" s="21"/>
      <c r="ARL1" s="21"/>
      <c r="ARM1" s="21"/>
      <c r="ARN1" s="21"/>
      <c r="ARO1" s="21"/>
      <c r="ARP1" s="21"/>
      <c r="ARQ1" s="21"/>
      <c r="ARR1" s="21"/>
      <c r="ARS1" s="21"/>
      <c r="ART1" s="21"/>
      <c r="ARU1" s="21"/>
      <c r="ARV1" s="21"/>
      <c r="ARW1" s="21"/>
      <c r="ARX1" s="21"/>
      <c r="ARY1" s="20" t="s">
        <v>297</v>
      </c>
      <c r="ARZ1" s="21"/>
      <c r="ASA1" s="21"/>
      <c r="ASB1" s="21"/>
      <c r="ASC1" s="21"/>
      <c r="ASD1" s="21"/>
      <c r="ASE1" s="21"/>
      <c r="ASF1" s="21"/>
      <c r="ASG1" s="21"/>
      <c r="ASH1" s="21"/>
      <c r="ASI1" s="21"/>
      <c r="ASJ1" s="21"/>
      <c r="ASK1" s="21"/>
      <c r="ASL1" s="21"/>
      <c r="ASM1" s="21"/>
      <c r="ASN1" s="21"/>
      <c r="ASO1" s="20" t="s">
        <v>297</v>
      </c>
      <c r="ASP1" s="21"/>
      <c r="ASQ1" s="21"/>
      <c r="ASR1" s="21"/>
      <c r="ASS1" s="21"/>
      <c r="AST1" s="21"/>
      <c r="ASU1" s="21"/>
      <c r="ASV1" s="21"/>
      <c r="ASW1" s="21"/>
      <c r="ASX1" s="21"/>
      <c r="ASY1" s="21"/>
      <c r="ASZ1" s="21"/>
      <c r="ATA1" s="21"/>
      <c r="ATB1" s="21"/>
      <c r="ATC1" s="21"/>
      <c r="ATD1" s="21"/>
      <c r="ATE1" s="20" t="s">
        <v>297</v>
      </c>
      <c r="ATF1" s="21"/>
      <c r="ATG1" s="21"/>
      <c r="ATH1" s="21"/>
      <c r="ATI1" s="21"/>
      <c r="ATJ1" s="21"/>
      <c r="ATK1" s="21"/>
      <c r="ATL1" s="21"/>
      <c r="ATM1" s="21"/>
      <c r="ATN1" s="21"/>
      <c r="ATO1" s="21"/>
      <c r="ATP1" s="21"/>
      <c r="ATQ1" s="21"/>
      <c r="ATR1" s="21"/>
      <c r="ATS1" s="21"/>
      <c r="ATT1" s="21"/>
      <c r="ATU1" s="20" t="s">
        <v>297</v>
      </c>
      <c r="ATV1" s="21"/>
      <c r="ATW1" s="21"/>
      <c r="ATX1" s="21"/>
      <c r="ATY1" s="21"/>
      <c r="ATZ1" s="21"/>
      <c r="AUA1" s="21"/>
      <c r="AUB1" s="21"/>
      <c r="AUC1" s="21"/>
      <c r="AUD1" s="21"/>
      <c r="AUE1" s="21"/>
      <c r="AUF1" s="21"/>
      <c r="AUG1" s="21"/>
      <c r="AUH1" s="21"/>
      <c r="AUI1" s="21"/>
      <c r="AUJ1" s="21"/>
      <c r="AUK1" s="20" t="s">
        <v>297</v>
      </c>
      <c r="AUL1" s="21"/>
      <c r="AUM1" s="21"/>
      <c r="AUN1" s="21"/>
      <c r="AUO1" s="21"/>
      <c r="AUP1" s="21"/>
      <c r="AUQ1" s="21"/>
      <c r="AUR1" s="21"/>
      <c r="AUS1" s="21"/>
      <c r="AUT1" s="21"/>
      <c r="AUU1" s="21"/>
      <c r="AUV1" s="21"/>
      <c r="AUW1" s="21"/>
      <c r="AUX1" s="21"/>
      <c r="AUY1" s="21"/>
      <c r="AUZ1" s="21"/>
      <c r="AVA1" s="20" t="s">
        <v>297</v>
      </c>
      <c r="AVB1" s="21"/>
      <c r="AVC1" s="21"/>
      <c r="AVD1" s="21"/>
      <c r="AVE1" s="21"/>
      <c r="AVF1" s="21"/>
      <c r="AVG1" s="21"/>
      <c r="AVH1" s="21"/>
      <c r="AVI1" s="21"/>
      <c r="AVJ1" s="21"/>
      <c r="AVK1" s="21"/>
      <c r="AVL1" s="21"/>
      <c r="AVM1" s="21"/>
      <c r="AVN1" s="21"/>
      <c r="AVO1" s="21"/>
      <c r="AVP1" s="21"/>
      <c r="AVQ1" s="20" t="s">
        <v>297</v>
      </c>
      <c r="AVR1" s="21"/>
      <c r="AVS1" s="21"/>
      <c r="AVT1" s="21"/>
      <c r="AVU1" s="21"/>
      <c r="AVV1" s="21"/>
      <c r="AVW1" s="21"/>
      <c r="AVX1" s="21"/>
      <c r="AVY1" s="21"/>
      <c r="AVZ1" s="21"/>
      <c r="AWA1" s="21"/>
      <c r="AWB1" s="21"/>
      <c r="AWC1" s="21"/>
      <c r="AWD1" s="21"/>
      <c r="AWE1" s="21"/>
      <c r="AWF1" s="21"/>
      <c r="AWG1" s="20" t="s">
        <v>297</v>
      </c>
      <c r="AWH1" s="21"/>
      <c r="AWI1" s="21"/>
      <c r="AWJ1" s="21"/>
      <c r="AWK1" s="21"/>
      <c r="AWL1" s="21"/>
      <c r="AWM1" s="21"/>
      <c r="AWN1" s="21"/>
      <c r="AWO1" s="21"/>
      <c r="AWP1" s="21"/>
      <c r="AWQ1" s="21"/>
      <c r="AWR1" s="21"/>
      <c r="AWS1" s="21"/>
      <c r="AWT1" s="21"/>
      <c r="AWU1" s="21"/>
      <c r="AWV1" s="21"/>
      <c r="AWW1" s="20" t="s">
        <v>297</v>
      </c>
      <c r="AWX1" s="21"/>
      <c r="AWY1" s="21"/>
      <c r="AWZ1" s="21"/>
      <c r="AXA1" s="21"/>
      <c r="AXB1" s="21"/>
      <c r="AXC1" s="21"/>
      <c r="AXD1" s="21"/>
      <c r="AXE1" s="21"/>
      <c r="AXF1" s="21"/>
      <c r="AXG1" s="21"/>
      <c r="AXH1" s="21"/>
      <c r="AXI1" s="21"/>
      <c r="AXJ1" s="21"/>
      <c r="AXK1" s="21"/>
      <c r="AXL1" s="21"/>
      <c r="AXM1" s="20" t="s">
        <v>297</v>
      </c>
      <c r="AXN1" s="21"/>
      <c r="AXO1" s="21"/>
      <c r="AXP1" s="21"/>
      <c r="AXQ1" s="21"/>
      <c r="AXR1" s="21"/>
      <c r="AXS1" s="21"/>
      <c r="AXT1" s="21"/>
      <c r="AXU1" s="21"/>
      <c r="AXV1" s="21"/>
      <c r="AXW1" s="21"/>
      <c r="AXX1" s="21"/>
      <c r="AXY1" s="21"/>
      <c r="AXZ1" s="21"/>
      <c r="AYA1" s="21"/>
      <c r="AYB1" s="21"/>
      <c r="AYC1" s="20" t="s">
        <v>297</v>
      </c>
      <c r="AYD1" s="21"/>
      <c r="AYE1" s="21"/>
      <c r="AYF1" s="21"/>
      <c r="AYG1" s="21"/>
      <c r="AYH1" s="21"/>
      <c r="AYI1" s="21"/>
      <c r="AYJ1" s="21"/>
      <c r="AYK1" s="21"/>
      <c r="AYL1" s="21"/>
      <c r="AYM1" s="21"/>
      <c r="AYN1" s="21"/>
      <c r="AYO1" s="21"/>
      <c r="AYP1" s="21"/>
      <c r="AYQ1" s="21"/>
      <c r="AYR1" s="21"/>
      <c r="AYS1" s="20" t="s">
        <v>297</v>
      </c>
      <c r="AYT1" s="21"/>
      <c r="AYU1" s="21"/>
      <c r="AYV1" s="21"/>
      <c r="AYW1" s="21"/>
      <c r="AYX1" s="21"/>
      <c r="AYY1" s="21"/>
      <c r="AYZ1" s="21"/>
      <c r="AZA1" s="21"/>
      <c r="AZB1" s="21"/>
      <c r="AZC1" s="21"/>
      <c r="AZD1" s="21"/>
      <c r="AZE1" s="21"/>
      <c r="AZF1" s="21"/>
      <c r="AZG1" s="21"/>
      <c r="AZH1" s="21"/>
      <c r="AZI1" s="20" t="s">
        <v>297</v>
      </c>
      <c r="AZJ1" s="21"/>
      <c r="AZK1" s="21"/>
      <c r="AZL1" s="21"/>
      <c r="AZM1" s="21"/>
      <c r="AZN1" s="21"/>
      <c r="AZO1" s="21"/>
      <c r="AZP1" s="21"/>
      <c r="AZQ1" s="21"/>
      <c r="AZR1" s="21"/>
      <c r="AZS1" s="21"/>
      <c r="AZT1" s="21"/>
      <c r="AZU1" s="21"/>
      <c r="AZV1" s="21"/>
      <c r="AZW1" s="21"/>
      <c r="AZX1" s="21"/>
      <c r="AZY1" s="20" t="s">
        <v>297</v>
      </c>
      <c r="AZZ1" s="21"/>
      <c r="BAA1" s="21"/>
      <c r="BAB1" s="21"/>
      <c r="BAC1" s="21"/>
      <c r="BAD1" s="21"/>
      <c r="BAE1" s="21"/>
      <c r="BAF1" s="21"/>
      <c r="BAG1" s="21"/>
      <c r="BAH1" s="21"/>
      <c r="BAI1" s="21"/>
      <c r="BAJ1" s="21"/>
      <c r="BAK1" s="21"/>
      <c r="BAL1" s="21"/>
      <c r="BAM1" s="21"/>
      <c r="BAN1" s="21"/>
      <c r="BAO1" s="20" t="s">
        <v>297</v>
      </c>
      <c r="BAP1" s="21"/>
      <c r="BAQ1" s="21"/>
      <c r="BAR1" s="21"/>
      <c r="BAS1" s="21"/>
      <c r="BAT1" s="21"/>
      <c r="BAU1" s="21"/>
      <c r="BAV1" s="21"/>
      <c r="BAW1" s="21"/>
      <c r="BAX1" s="21"/>
      <c r="BAY1" s="21"/>
      <c r="BAZ1" s="21"/>
      <c r="BBA1" s="21"/>
      <c r="BBB1" s="21"/>
      <c r="BBC1" s="21"/>
      <c r="BBD1" s="21"/>
      <c r="BBE1" s="20" t="s">
        <v>297</v>
      </c>
      <c r="BBF1" s="21"/>
      <c r="BBG1" s="21"/>
      <c r="BBH1" s="21"/>
      <c r="BBI1" s="21"/>
      <c r="BBJ1" s="21"/>
      <c r="BBK1" s="21"/>
      <c r="BBL1" s="21"/>
      <c r="BBM1" s="21"/>
      <c r="BBN1" s="21"/>
      <c r="BBO1" s="21"/>
      <c r="BBP1" s="21"/>
      <c r="BBQ1" s="21"/>
      <c r="BBR1" s="21"/>
      <c r="BBS1" s="21"/>
      <c r="BBT1" s="21"/>
      <c r="BBU1" s="20" t="s">
        <v>297</v>
      </c>
      <c r="BBV1" s="21"/>
      <c r="BBW1" s="21"/>
      <c r="BBX1" s="21"/>
      <c r="BBY1" s="21"/>
      <c r="BBZ1" s="21"/>
      <c r="BCA1" s="21"/>
      <c r="BCB1" s="21"/>
      <c r="BCC1" s="21"/>
      <c r="BCD1" s="21"/>
      <c r="BCE1" s="21"/>
      <c r="BCF1" s="21"/>
      <c r="BCG1" s="21"/>
      <c r="BCH1" s="21"/>
      <c r="BCI1" s="21"/>
      <c r="BCJ1" s="21"/>
      <c r="BCK1" s="20" t="s">
        <v>297</v>
      </c>
      <c r="BCL1" s="21"/>
      <c r="BCM1" s="21"/>
      <c r="BCN1" s="21"/>
      <c r="BCO1" s="21"/>
      <c r="BCP1" s="21"/>
      <c r="BCQ1" s="21"/>
      <c r="BCR1" s="21"/>
      <c r="BCS1" s="21"/>
      <c r="BCT1" s="21"/>
      <c r="BCU1" s="21"/>
      <c r="BCV1" s="21"/>
      <c r="BCW1" s="21"/>
      <c r="BCX1" s="21"/>
      <c r="BCY1" s="21"/>
      <c r="BCZ1" s="21"/>
      <c r="BDA1" s="20" t="s">
        <v>297</v>
      </c>
      <c r="BDB1" s="21"/>
      <c r="BDC1" s="21"/>
      <c r="BDD1" s="21"/>
      <c r="BDE1" s="21"/>
      <c r="BDF1" s="21"/>
      <c r="BDG1" s="21"/>
      <c r="BDH1" s="21"/>
      <c r="BDI1" s="21"/>
      <c r="BDJ1" s="21"/>
      <c r="BDK1" s="21"/>
      <c r="BDL1" s="21"/>
      <c r="BDM1" s="21"/>
      <c r="BDN1" s="21"/>
      <c r="BDO1" s="21"/>
      <c r="BDP1" s="21"/>
      <c r="BDQ1" s="20" t="s">
        <v>297</v>
      </c>
      <c r="BDR1" s="21"/>
      <c r="BDS1" s="21"/>
      <c r="BDT1" s="21"/>
      <c r="BDU1" s="21"/>
      <c r="BDV1" s="21"/>
      <c r="BDW1" s="21"/>
      <c r="BDX1" s="21"/>
      <c r="BDY1" s="21"/>
      <c r="BDZ1" s="21"/>
      <c r="BEA1" s="21"/>
      <c r="BEB1" s="21"/>
      <c r="BEC1" s="21"/>
      <c r="BED1" s="21"/>
      <c r="BEE1" s="21"/>
      <c r="BEF1" s="21"/>
      <c r="BEG1" s="20" t="s">
        <v>297</v>
      </c>
      <c r="BEH1" s="21"/>
      <c r="BEI1" s="21"/>
      <c r="BEJ1" s="21"/>
      <c r="BEK1" s="21"/>
      <c r="BEL1" s="21"/>
      <c r="BEM1" s="21"/>
      <c r="BEN1" s="21"/>
      <c r="BEO1" s="21"/>
      <c r="BEP1" s="21"/>
      <c r="BEQ1" s="21"/>
      <c r="BER1" s="21"/>
      <c r="BES1" s="21"/>
      <c r="BET1" s="21"/>
      <c r="BEU1" s="21"/>
      <c r="BEV1" s="21"/>
      <c r="BEW1" s="20" t="s">
        <v>297</v>
      </c>
      <c r="BEX1" s="21"/>
      <c r="BEY1" s="21"/>
      <c r="BEZ1" s="21"/>
      <c r="BFA1" s="21"/>
      <c r="BFB1" s="21"/>
      <c r="BFC1" s="21"/>
      <c r="BFD1" s="21"/>
      <c r="BFE1" s="21"/>
      <c r="BFF1" s="21"/>
      <c r="BFG1" s="21"/>
      <c r="BFH1" s="21"/>
      <c r="BFI1" s="21"/>
      <c r="BFJ1" s="21"/>
      <c r="BFK1" s="21"/>
      <c r="BFL1" s="21"/>
      <c r="BFM1" s="20" t="s">
        <v>297</v>
      </c>
      <c r="BFN1" s="21"/>
      <c r="BFO1" s="21"/>
      <c r="BFP1" s="21"/>
      <c r="BFQ1" s="21"/>
      <c r="BFR1" s="21"/>
      <c r="BFS1" s="21"/>
      <c r="BFT1" s="21"/>
      <c r="BFU1" s="21"/>
      <c r="BFV1" s="21"/>
      <c r="BFW1" s="21"/>
      <c r="BFX1" s="21"/>
      <c r="BFY1" s="21"/>
      <c r="BFZ1" s="21"/>
      <c r="BGA1" s="21"/>
      <c r="BGB1" s="21"/>
      <c r="BGC1" s="20" t="s">
        <v>297</v>
      </c>
      <c r="BGD1" s="21"/>
      <c r="BGE1" s="21"/>
      <c r="BGF1" s="21"/>
      <c r="BGG1" s="21"/>
      <c r="BGH1" s="21"/>
      <c r="BGI1" s="21"/>
      <c r="BGJ1" s="21"/>
      <c r="BGK1" s="21"/>
      <c r="BGL1" s="21"/>
      <c r="BGM1" s="21"/>
      <c r="BGN1" s="21"/>
      <c r="BGO1" s="21"/>
      <c r="BGP1" s="21"/>
      <c r="BGQ1" s="21"/>
      <c r="BGR1" s="21"/>
      <c r="BGS1" s="20" t="s">
        <v>297</v>
      </c>
      <c r="BGT1" s="21"/>
      <c r="BGU1" s="21"/>
      <c r="BGV1" s="21"/>
      <c r="BGW1" s="21"/>
      <c r="BGX1" s="21"/>
      <c r="BGY1" s="21"/>
      <c r="BGZ1" s="21"/>
      <c r="BHA1" s="21"/>
      <c r="BHB1" s="21"/>
      <c r="BHC1" s="21"/>
      <c r="BHD1" s="21"/>
      <c r="BHE1" s="21"/>
      <c r="BHF1" s="21"/>
      <c r="BHG1" s="21"/>
      <c r="BHH1" s="21"/>
      <c r="BHI1" s="20" t="s">
        <v>297</v>
      </c>
      <c r="BHJ1" s="21"/>
      <c r="BHK1" s="21"/>
      <c r="BHL1" s="21"/>
      <c r="BHM1" s="21"/>
      <c r="BHN1" s="21"/>
      <c r="BHO1" s="21"/>
      <c r="BHP1" s="21"/>
      <c r="BHQ1" s="21"/>
      <c r="BHR1" s="21"/>
      <c r="BHS1" s="21"/>
      <c r="BHT1" s="21"/>
      <c r="BHU1" s="21"/>
      <c r="BHV1" s="21"/>
      <c r="BHW1" s="21"/>
      <c r="BHX1" s="21"/>
      <c r="BHY1" s="20" t="s">
        <v>297</v>
      </c>
      <c r="BHZ1" s="21"/>
      <c r="BIA1" s="21"/>
      <c r="BIB1" s="21"/>
      <c r="BIC1" s="21"/>
      <c r="BID1" s="21"/>
      <c r="BIE1" s="21"/>
      <c r="BIF1" s="21"/>
      <c r="BIG1" s="21"/>
      <c r="BIH1" s="21"/>
      <c r="BII1" s="21"/>
      <c r="BIJ1" s="21"/>
      <c r="BIK1" s="21"/>
      <c r="BIL1" s="21"/>
      <c r="BIM1" s="21"/>
      <c r="BIN1" s="21"/>
      <c r="BIO1" s="20" t="s">
        <v>297</v>
      </c>
      <c r="BIP1" s="21"/>
      <c r="BIQ1" s="21"/>
      <c r="BIR1" s="21"/>
      <c r="BIS1" s="21"/>
      <c r="BIT1" s="21"/>
      <c r="BIU1" s="21"/>
      <c r="BIV1" s="21"/>
      <c r="BIW1" s="21"/>
      <c r="BIX1" s="21"/>
      <c r="BIY1" s="21"/>
      <c r="BIZ1" s="21"/>
      <c r="BJA1" s="21"/>
      <c r="BJB1" s="21"/>
      <c r="BJC1" s="21"/>
      <c r="BJD1" s="21"/>
      <c r="BJE1" s="20" t="s">
        <v>297</v>
      </c>
      <c r="BJF1" s="21"/>
      <c r="BJG1" s="21"/>
      <c r="BJH1" s="21"/>
      <c r="BJI1" s="21"/>
      <c r="BJJ1" s="21"/>
      <c r="BJK1" s="21"/>
      <c r="BJL1" s="21"/>
      <c r="BJM1" s="21"/>
      <c r="BJN1" s="21"/>
      <c r="BJO1" s="21"/>
      <c r="BJP1" s="21"/>
      <c r="BJQ1" s="21"/>
      <c r="BJR1" s="21"/>
      <c r="BJS1" s="21"/>
      <c r="BJT1" s="21"/>
      <c r="BJU1" s="20" t="s">
        <v>297</v>
      </c>
      <c r="BJV1" s="21"/>
      <c r="BJW1" s="21"/>
      <c r="BJX1" s="21"/>
      <c r="BJY1" s="21"/>
      <c r="BJZ1" s="21"/>
      <c r="BKA1" s="21"/>
      <c r="BKB1" s="21"/>
      <c r="BKC1" s="21"/>
      <c r="BKD1" s="21"/>
      <c r="BKE1" s="21"/>
      <c r="BKF1" s="21"/>
      <c r="BKG1" s="21"/>
      <c r="BKH1" s="21"/>
      <c r="BKI1" s="21"/>
      <c r="BKJ1" s="21"/>
      <c r="BKK1" s="20" t="s">
        <v>297</v>
      </c>
      <c r="BKL1" s="21"/>
      <c r="BKM1" s="21"/>
      <c r="BKN1" s="21"/>
      <c r="BKO1" s="21"/>
      <c r="BKP1" s="21"/>
      <c r="BKQ1" s="21"/>
      <c r="BKR1" s="21"/>
      <c r="BKS1" s="21"/>
      <c r="BKT1" s="21"/>
      <c r="BKU1" s="21"/>
      <c r="BKV1" s="21"/>
      <c r="BKW1" s="21"/>
      <c r="BKX1" s="21"/>
      <c r="BKY1" s="21"/>
      <c r="BKZ1" s="21"/>
      <c r="BLA1" s="20" t="s">
        <v>297</v>
      </c>
      <c r="BLB1" s="21"/>
      <c r="BLC1" s="21"/>
      <c r="BLD1" s="21"/>
      <c r="BLE1" s="21"/>
      <c r="BLF1" s="21"/>
      <c r="BLG1" s="21"/>
      <c r="BLH1" s="21"/>
      <c r="BLI1" s="21"/>
      <c r="BLJ1" s="21"/>
      <c r="BLK1" s="21"/>
      <c r="BLL1" s="21"/>
      <c r="BLM1" s="21"/>
      <c r="BLN1" s="21"/>
      <c r="BLO1" s="21"/>
      <c r="BLP1" s="21"/>
      <c r="BLQ1" s="20" t="s">
        <v>297</v>
      </c>
      <c r="BLR1" s="21"/>
      <c r="BLS1" s="21"/>
      <c r="BLT1" s="21"/>
      <c r="BLU1" s="21"/>
      <c r="BLV1" s="21"/>
      <c r="BLW1" s="21"/>
      <c r="BLX1" s="21"/>
      <c r="BLY1" s="21"/>
      <c r="BLZ1" s="21"/>
      <c r="BMA1" s="21"/>
      <c r="BMB1" s="21"/>
      <c r="BMC1" s="21"/>
      <c r="BMD1" s="21"/>
      <c r="BME1" s="21"/>
      <c r="BMF1" s="21"/>
      <c r="BMG1" s="20" t="s">
        <v>297</v>
      </c>
      <c r="BMH1" s="21"/>
      <c r="BMI1" s="21"/>
      <c r="BMJ1" s="21"/>
      <c r="BMK1" s="21"/>
      <c r="BML1" s="21"/>
      <c r="BMM1" s="21"/>
      <c r="BMN1" s="21"/>
      <c r="BMO1" s="21"/>
      <c r="BMP1" s="21"/>
      <c r="BMQ1" s="21"/>
      <c r="BMR1" s="21"/>
      <c r="BMS1" s="21"/>
      <c r="BMT1" s="21"/>
      <c r="BMU1" s="21"/>
      <c r="BMV1" s="21"/>
      <c r="BMW1" s="20" t="s">
        <v>297</v>
      </c>
      <c r="BMX1" s="21"/>
      <c r="BMY1" s="21"/>
      <c r="BMZ1" s="21"/>
      <c r="BNA1" s="21"/>
      <c r="BNB1" s="21"/>
      <c r="BNC1" s="21"/>
      <c r="BND1" s="21"/>
      <c r="BNE1" s="21"/>
      <c r="BNF1" s="21"/>
      <c r="BNG1" s="21"/>
      <c r="BNH1" s="21"/>
      <c r="BNI1" s="21"/>
      <c r="BNJ1" s="21"/>
      <c r="BNK1" s="21"/>
      <c r="BNL1" s="21"/>
      <c r="BNM1" s="20" t="s">
        <v>297</v>
      </c>
      <c r="BNN1" s="21"/>
      <c r="BNO1" s="21"/>
      <c r="BNP1" s="21"/>
      <c r="BNQ1" s="21"/>
      <c r="BNR1" s="21"/>
      <c r="BNS1" s="21"/>
      <c r="BNT1" s="21"/>
      <c r="BNU1" s="21"/>
      <c r="BNV1" s="21"/>
      <c r="BNW1" s="21"/>
      <c r="BNX1" s="21"/>
      <c r="BNY1" s="21"/>
      <c r="BNZ1" s="21"/>
      <c r="BOA1" s="21"/>
      <c r="BOB1" s="21"/>
      <c r="BOC1" s="20" t="s">
        <v>297</v>
      </c>
      <c r="BOD1" s="21"/>
      <c r="BOE1" s="21"/>
      <c r="BOF1" s="21"/>
      <c r="BOG1" s="21"/>
      <c r="BOH1" s="21"/>
      <c r="BOI1" s="21"/>
      <c r="BOJ1" s="21"/>
      <c r="BOK1" s="21"/>
      <c r="BOL1" s="21"/>
      <c r="BOM1" s="21"/>
      <c r="BON1" s="21"/>
      <c r="BOO1" s="21"/>
      <c r="BOP1" s="21"/>
      <c r="BOQ1" s="21"/>
      <c r="BOR1" s="21"/>
      <c r="BOS1" s="20" t="s">
        <v>297</v>
      </c>
      <c r="BOT1" s="21"/>
      <c r="BOU1" s="21"/>
      <c r="BOV1" s="21"/>
      <c r="BOW1" s="21"/>
      <c r="BOX1" s="21"/>
      <c r="BOY1" s="21"/>
      <c r="BOZ1" s="21"/>
      <c r="BPA1" s="21"/>
      <c r="BPB1" s="21"/>
      <c r="BPC1" s="21"/>
      <c r="BPD1" s="21"/>
      <c r="BPE1" s="21"/>
      <c r="BPF1" s="21"/>
      <c r="BPG1" s="21"/>
      <c r="BPH1" s="21"/>
      <c r="BPI1" s="20" t="s">
        <v>297</v>
      </c>
      <c r="BPJ1" s="21"/>
      <c r="BPK1" s="21"/>
      <c r="BPL1" s="21"/>
      <c r="BPM1" s="21"/>
      <c r="BPN1" s="21"/>
      <c r="BPO1" s="21"/>
      <c r="BPP1" s="21"/>
      <c r="BPQ1" s="21"/>
      <c r="BPR1" s="21"/>
      <c r="BPS1" s="21"/>
      <c r="BPT1" s="21"/>
      <c r="BPU1" s="21"/>
      <c r="BPV1" s="21"/>
      <c r="BPW1" s="21"/>
      <c r="BPX1" s="21"/>
      <c r="BPY1" s="20" t="s">
        <v>297</v>
      </c>
      <c r="BPZ1" s="21"/>
      <c r="BQA1" s="21"/>
      <c r="BQB1" s="21"/>
      <c r="BQC1" s="21"/>
      <c r="BQD1" s="21"/>
      <c r="BQE1" s="21"/>
      <c r="BQF1" s="21"/>
      <c r="BQG1" s="21"/>
      <c r="BQH1" s="21"/>
      <c r="BQI1" s="21"/>
      <c r="BQJ1" s="21"/>
      <c r="BQK1" s="21"/>
      <c r="BQL1" s="21"/>
      <c r="BQM1" s="21"/>
      <c r="BQN1" s="21"/>
      <c r="BQO1" s="20" t="s">
        <v>297</v>
      </c>
      <c r="BQP1" s="21"/>
      <c r="BQQ1" s="21"/>
      <c r="BQR1" s="21"/>
      <c r="BQS1" s="21"/>
      <c r="BQT1" s="21"/>
      <c r="BQU1" s="21"/>
      <c r="BQV1" s="21"/>
      <c r="BQW1" s="21"/>
      <c r="BQX1" s="21"/>
      <c r="BQY1" s="21"/>
      <c r="BQZ1" s="21"/>
      <c r="BRA1" s="21"/>
      <c r="BRB1" s="21"/>
      <c r="BRC1" s="21"/>
      <c r="BRD1" s="21"/>
      <c r="BRE1" s="20" t="s">
        <v>297</v>
      </c>
      <c r="BRF1" s="21"/>
      <c r="BRG1" s="21"/>
      <c r="BRH1" s="21"/>
      <c r="BRI1" s="21"/>
      <c r="BRJ1" s="21"/>
      <c r="BRK1" s="21"/>
      <c r="BRL1" s="21"/>
      <c r="BRM1" s="21"/>
      <c r="BRN1" s="21"/>
      <c r="BRO1" s="21"/>
      <c r="BRP1" s="21"/>
      <c r="BRQ1" s="21"/>
      <c r="BRR1" s="21"/>
      <c r="BRS1" s="21"/>
      <c r="BRT1" s="21"/>
      <c r="BRU1" s="20" t="s">
        <v>297</v>
      </c>
      <c r="BRV1" s="21"/>
      <c r="BRW1" s="21"/>
      <c r="BRX1" s="21"/>
      <c r="BRY1" s="21"/>
      <c r="BRZ1" s="21"/>
      <c r="BSA1" s="21"/>
      <c r="BSB1" s="21"/>
      <c r="BSC1" s="21"/>
      <c r="BSD1" s="21"/>
      <c r="BSE1" s="21"/>
      <c r="BSF1" s="21"/>
      <c r="BSG1" s="21"/>
      <c r="BSH1" s="21"/>
      <c r="BSI1" s="21"/>
      <c r="BSJ1" s="21"/>
      <c r="BSK1" s="20" t="s">
        <v>297</v>
      </c>
      <c r="BSL1" s="21"/>
      <c r="BSM1" s="21"/>
      <c r="BSN1" s="21"/>
      <c r="BSO1" s="21"/>
      <c r="BSP1" s="21"/>
      <c r="BSQ1" s="21"/>
      <c r="BSR1" s="21"/>
      <c r="BSS1" s="21"/>
      <c r="BST1" s="21"/>
      <c r="BSU1" s="21"/>
      <c r="BSV1" s="21"/>
      <c r="BSW1" s="21"/>
      <c r="BSX1" s="21"/>
      <c r="BSY1" s="21"/>
      <c r="BSZ1" s="21"/>
      <c r="BTA1" s="20" t="s">
        <v>297</v>
      </c>
      <c r="BTB1" s="21"/>
      <c r="BTC1" s="21"/>
      <c r="BTD1" s="21"/>
      <c r="BTE1" s="21"/>
      <c r="BTF1" s="21"/>
      <c r="BTG1" s="21"/>
      <c r="BTH1" s="21"/>
      <c r="BTI1" s="21"/>
      <c r="BTJ1" s="21"/>
      <c r="BTK1" s="21"/>
      <c r="BTL1" s="21"/>
      <c r="BTM1" s="21"/>
      <c r="BTN1" s="21"/>
      <c r="BTO1" s="21"/>
      <c r="BTP1" s="21"/>
      <c r="BTQ1" s="20" t="s">
        <v>297</v>
      </c>
      <c r="BTR1" s="21"/>
      <c r="BTS1" s="21"/>
      <c r="BTT1" s="21"/>
      <c r="BTU1" s="21"/>
      <c r="BTV1" s="21"/>
      <c r="BTW1" s="21"/>
      <c r="BTX1" s="21"/>
      <c r="BTY1" s="21"/>
      <c r="BTZ1" s="21"/>
      <c r="BUA1" s="21"/>
      <c r="BUB1" s="21"/>
      <c r="BUC1" s="21"/>
      <c r="BUD1" s="21"/>
      <c r="BUE1" s="21"/>
      <c r="BUF1" s="21"/>
      <c r="BUG1" s="20" t="s">
        <v>297</v>
      </c>
      <c r="BUH1" s="21"/>
      <c r="BUI1" s="21"/>
      <c r="BUJ1" s="21"/>
      <c r="BUK1" s="21"/>
      <c r="BUL1" s="21"/>
      <c r="BUM1" s="21"/>
      <c r="BUN1" s="21"/>
      <c r="BUO1" s="21"/>
      <c r="BUP1" s="21"/>
      <c r="BUQ1" s="21"/>
      <c r="BUR1" s="21"/>
      <c r="BUS1" s="21"/>
      <c r="BUT1" s="21"/>
      <c r="BUU1" s="21"/>
      <c r="BUV1" s="21"/>
      <c r="BUW1" s="20" t="s">
        <v>297</v>
      </c>
      <c r="BUX1" s="21"/>
      <c r="BUY1" s="21"/>
      <c r="BUZ1" s="21"/>
      <c r="BVA1" s="21"/>
      <c r="BVB1" s="21"/>
      <c r="BVC1" s="21"/>
      <c r="BVD1" s="21"/>
      <c r="BVE1" s="21"/>
      <c r="BVF1" s="21"/>
      <c r="BVG1" s="21"/>
      <c r="BVH1" s="21"/>
      <c r="BVI1" s="21"/>
      <c r="BVJ1" s="21"/>
      <c r="BVK1" s="21"/>
      <c r="BVL1" s="21"/>
      <c r="BVM1" s="20" t="s">
        <v>297</v>
      </c>
      <c r="BVN1" s="21"/>
      <c r="BVO1" s="21"/>
      <c r="BVP1" s="21"/>
      <c r="BVQ1" s="21"/>
      <c r="BVR1" s="21"/>
      <c r="BVS1" s="21"/>
      <c r="BVT1" s="21"/>
      <c r="BVU1" s="21"/>
      <c r="BVV1" s="21"/>
      <c r="BVW1" s="21"/>
      <c r="BVX1" s="21"/>
      <c r="BVY1" s="21"/>
      <c r="BVZ1" s="21"/>
      <c r="BWA1" s="21"/>
      <c r="BWB1" s="21"/>
      <c r="BWC1" s="20" t="s">
        <v>297</v>
      </c>
      <c r="BWD1" s="21"/>
      <c r="BWE1" s="21"/>
      <c r="BWF1" s="21"/>
      <c r="BWG1" s="21"/>
      <c r="BWH1" s="21"/>
      <c r="BWI1" s="21"/>
      <c r="BWJ1" s="21"/>
      <c r="BWK1" s="21"/>
      <c r="BWL1" s="21"/>
      <c r="BWM1" s="21"/>
      <c r="BWN1" s="21"/>
      <c r="BWO1" s="21"/>
      <c r="BWP1" s="21"/>
      <c r="BWQ1" s="21"/>
      <c r="BWR1" s="21"/>
      <c r="BWS1" s="20" t="s">
        <v>297</v>
      </c>
      <c r="BWT1" s="21"/>
      <c r="BWU1" s="21"/>
      <c r="BWV1" s="21"/>
      <c r="BWW1" s="21"/>
      <c r="BWX1" s="21"/>
      <c r="BWY1" s="21"/>
      <c r="BWZ1" s="21"/>
      <c r="BXA1" s="21"/>
      <c r="BXB1" s="21"/>
      <c r="BXC1" s="21"/>
      <c r="BXD1" s="21"/>
      <c r="BXE1" s="21"/>
      <c r="BXF1" s="21"/>
      <c r="BXG1" s="21"/>
      <c r="BXH1" s="21"/>
      <c r="BXI1" s="20" t="s">
        <v>297</v>
      </c>
      <c r="BXJ1" s="21"/>
      <c r="BXK1" s="21"/>
      <c r="BXL1" s="21"/>
      <c r="BXM1" s="21"/>
      <c r="BXN1" s="21"/>
      <c r="BXO1" s="21"/>
      <c r="BXP1" s="21"/>
      <c r="BXQ1" s="21"/>
      <c r="BXR1" s="21"/>
      <c r="BXS1" s="21"/>
      <c r="BXT1" s="21"/>
      <c r="BXU1" s="21"/>
      <c r="BXV1" s="21"/>
      <c r="BXW1" s="21"/>
      <c r="BXX1" s="21"/>
      <c r="BXY1" s="20" t="s">
        <v>297</v>
      </c>
      <c r="BXZ1" s="21"/>
      <c r="BYA1" s="21"/>
      <c r="BYB1" s="21"/>
      <c r="BYC1" s="21"/>
      <c r="BYD1" s="21"/>
      <c r="BYE1" s="21"/>
      <c r="BYF1" s="21"/>
      <c r="BYG1" s="21"/>
      <c r="BYH1" s="21"/>
      <c r="BYI1" s="21"/>
      <c r="BYJ1" s="21"/>
      <c r="BYK1" s="21"/>
      <c r="BYL1" s="21"/>
      <c r="BYM1" s="21"/>
      <c r="BYN1" s="21"/>
      <c r="BYO1" s="20" t="s">
        <v>297</v>
      </c>
      <c r="BYP1" s="21"/>
      <c r="BYQ1" s="21"/>
      <c r="BYR1" s="21"/>
      <c r="BYS1" s="21"/>
      <c r="BYT1" s="21"/>
      <c r="BYU1" s="21"/>
      <c r="BYV1" s="21"/>
      <c r="BYW1" s="21"/>
      <c r="BYX1" s="21"/>
      <c r="BYY1" s="21"/>
      <c r="BYZ1" s="21"/>
      <c r="BZA1" s="21"/>
      <c r="BZB1" s="21"/>
      <c r="BZC1" s="21"/>
      <c r="BZD1" s="21"/>
      <c r="BZE1" s="20" t="s">
        <v>297</v>
      </c>
      <c r="BZF1" s="21"/>
      <c r="BZG1" s="21"/>
      <c r="BZH1" s="21"/>
      <c r="BZI1" s="21"/>
      <c r="BZJ1" s="21"/>
      <c r="BZK1" s="21"/>
      <c r="BZL1" s="21"/>
      <c r="BZM1" s="21"/>
      <c r="BZN1" s="21"/>
      <c r="BZO1" s="21"/>
      <c r="BZP1" s="21"/>
      <c r="BZQ1" s="21"/>
      <c r="BZR1" s="21"/>
      <c r="BZS1" s="21"/>
      <c r="BZT1" s="21"/>
      <c r="BZU1" s="20" t="s">
        <v>297</v>
      </c>
      <c r="BZV1" s="21"/>
      <c r="BZW1" s="21"/>
      <c r="BZX1" s="21"/>
      <c r="BZY1" s="21"/>
      <c r="BZZ1" s="21"/>
      <c r="CAA1" s="21"/>
      <c r="CAB1" s="21"/>
      <c r="CAC1" s="21"/>
      <c r="CAD1" s="21"/>
      <c r="CAE1" s="21"/>
      <c r="CAF1" s="21"/>
      <c r="CAG1" s="21"/>
      <c r="CAH1" s="21"/>
      <c r="CAI1" s="21"/>
      <c r="CAJ1" s="21"/>
      <c r="CAK1" s="20" t="s">
        <v>297</v>
      </c>
      <c r="CAL1" s="21"/>
      <c r="CAM1" s="21"/>
      <c r="CAN1" s="21"/>
      <c r="CAO1" s="21"/>
      <c r="CAP1" s="21"/>
      <c r="CAQ1" s="21"/>
      <c r="CAR1" s="21"/>
      <c r="CAS1" s="21"/>
      <c r="CAT1" s="21"/>
      <c r="CAU1" s="21"/>
      <c r="CAV1" s="21"/>
      <c r="CAW1" s="21"/>
      <c r="CAX1" s="21"/>
      <c r="CAY1" s="21"/>
      <c r="CAZ1" s="21"/>
      <c r="CBA1" s="20" t="s">
        <v>297</v>
      </c>
      <c r="CBB1" s="21"/>
      <c r="CBC1" s="21"/>
      <c r="CBD1" s="21"/>
      <c r="CBE1" s="21"/>
      <c r="CBF1" s="21"/>
      <c r="CBG1" s="21"/>
      <c r="CBH1" s="21"/>
      <c r="CBI1" s="21"/>
      <c r="CBJ1" s="21"/>
      <c r="CBK1" s="21"/>
      <c r="CBL1" s="21"/>
      <c r="CBM1" s="21"/>
      <c r="CBN1" s="21"/>
      <c r="CBO1" s="21"/>
      <c r="CBP1" s="21"/>
      <c r="CBQ1" s="20" t="s">
        <v>297</v>
      </c>
      <c r="CBR1" s="21"/>
      <c r="CBS1" s="21"/>
      <c r="CBT1" s="21"/>
      <c r="CBU1" s="21"/>
      <c r="CBV1" s="21"/>
      <c r="CBW1" s="21"/>
      <c r="CBX1" s="21"/>
      <c r="CBY1" s="21"/>
      <c r="CBZ1" s="21"/>
      <c r="CCA1" s="21"/>
      <c r="CCB1" s="21"/>
      <c r="CCC1" s="21"/>
      <c r="CCD1" s="21"/>
      <c r="CCE1" s="21"/>
      <c r="CCF1" s="21"/>
      <c r="CCG1" s="20" t="s">
        <v>297</v>
      </c>
      <c r="CCH1" s="21"/>
      <c r="CCI1" s="21"/>
      <c r="CCJ1" s="21"/>
      <c r="CCK1" s="21"/>
      <c r="CCL1" s="21"/>
      <c r="CCM1" s="21"/>
      <c r="CCN1" s="21"/>
      <c r="CCO1" s="21"/>
      <c r="CCP1" s="21"/>
      <c r="CCQ1" s="21"/>
      <c r="CCR1" s="21"/>
      <c r="CCS1" s="21"/>
      <c r="CCT1" s="21"/>
      <c r="CCU1" s="21"/>
      <c r="CCV1" s="21"/>
      <c r="CCW1" s="20" t="s">
        <v>297</v>
      </c>
      <c r="CCX1" s="21"/>
      <c r="CCY1" s="21"/>
      <c r="CCZ1" s="21"/>
      <c r="CDA1" s="21"/>
      <c r="CDB1" s="21"/>
      <c r="CDC1" s="21"/>
      <c r="CDD1" s="21"/>
      <c r="CDE1" s="21"/>
      <c r="CDF1" s="21"/>
      <c r="CDG1" s="21"/>
      <c r="CDH1" s="21"/>
      <c r="CDI1" s="21"/>
      <c r="CDJ1" s="21"/>
      <c r="CDK1" s="21"/>
      <c r="CDL1" s="21"/>
      <c r="CDM1" s="20" t="s">
        <v>297</v>
      </c>
      <c r="CDN1" s="21"/>
      <c r="CDO1" s="21"/>
      <c r="CDP1" s="21"/>
      <c r="CDQ1" s="21"/>
      <c r="CDR1" s="21"/>
      <c r="CDS1" s="21"/>
      <c r="CDT1" s="21"/>
      <c r="CDU1" s="21"/>
      <c r="CDV1" s="21"/>
      <c r="CDW1" s="21"/>
      <c r="CDX1" s="21"/>
      <c r="CDY1" s="21"/>
      <c r="CDZ1" s="21"/>
      <c r="CEA1" s="21"/>
      <c r="CEB1" s="21"/>
      <c r="CEC1" s="20" t="s">
        <v>297</v>
      </c>
      <c r="CED1" s="21"/>
      <c r="CEE1" s="21"/>
      <c r="CEF1" s="21"/>
      <c r="CEG1" s="21"/>
      <c r="CEH1" s="21"/>
      <c r="CEI1" s="21"/>
      <c r="CEJ1" s="21"/>
      <c r="CEK1" s="21"/>
      <c r="CEL1" s="21"/>
      <c r="CEM1" s="21"/>
      <c r="CEN1" s="21"/>
      <c r="CEO1" s="21"/>
      <c r="CEP1" s="21"/>
      <c r="CEQ1" s="21"/>
      <c r="CER1" s="21"/>
      <c r="CES1" s="20" t="s">
        <v>297</v>
      </c>
      <c r="CET1" s="21"/>
      <c r="CEU1" s="21"/>
      <c r="CEV1" s="21"/>
      <c r="CEW1" s="21"/>
      <c r="CEX1" s="21"/>
      <c r="CEY1" s="21"/>
      <c r="CEZ1" s="21"/>
      <c r="CFA1" s="21"/>
      <c r="CFB1" s="21"/>
      <c r="CFC1" s="21"/>
      <c r="CFD1" s="21"/>
      <c r="CFE1" s="21"/>
      <c r="CFF1" s="21"/>
      <c r="CFG1" s="21"/>
      <c r="CFH1" s="21"/>
      <c r="CFI1" s="20" t="s">
        <v>297</v>
      </c>
      <c r="CFJ1" s="21"/>
      <c r="CFK1" s="21"/>
      <c r="CFL1" s="21"/>
      <c r="CFM1" s="21"/>
      <c r="CFN1" s="21"/>
      <c r="CFO1" s="21"/>
      <c r="CFP1" s="21"/>
      <c r="CFQ1" s="21"/>
      <c r="CFR1" s="21"/>
      <c r="CFS1" s="21"/>
      <c r="CFT1" s="21"/>
      <c r="CFU1" s="21"/>
      <c r="CFV1" s="21"/>
      <c r="CFW1" s="21"/>
      <c r="CFX1" s="21"/>
      <c r="CFY1" s="20" t="s">
        <v>297</v>
      </c>
      <c r="CFZ1" s="21"/>
      <c r="CGA1" s="21"/>
      <c r="CGB1" s="21"/>
      <c r="CGC1" s="21"/>
      <c r="CGD1" s="21"/>
      <c r="CGE1" s="21"/>
      <c r="CGF1" s="21"/>
      <c r="CGG1" s="21"/>
      <c r="CGH1" s="21"/>
      <c r="CGI1" s="21"/>
      <c r="CGJ1" s="21"/>
      <c r="CGK1" s="21"/>
      <c r="CGL1" s="21"/>
      <c r="CGM1" s="21"/>
      <c r="CGN1" s="21"/>
      <c r="CGO1" s="20" t="s">
        <v>297</v>
      </c>
      <c r="CGP1" s="21"/>
      <c r="CGQ1" s="21"/>
      <c r="CGR1" s="21"/>
      <c r="CGS1" s="21"/>
      <c r="CGT1" s="21"/>
      <c r="CGU1" s="21"/>
      <c r="CGV1" s="21"/>
      <c r="CGW1" s="21"/>
      <c r="CGX1" s="21"/>
      <c r="CGY1" s="21"/>
      <c r="CGZ1" s="21"/>
      <c r="CHA1" s="21"/>
      <c r="CHB1" s="21"/>
      <c r="CHC1" s="21"/>
      <c r="CHD1" s="21"/>
      <c r="CHE1" s="20" t="s">
        <v>297</v>
      </c>
      <c r="CHF1" s="21"/>
      <c r="CHG1" s="21"/>
      <c r="CHH1" s="21"/>
      <c r="CHI1" s="21"/>
      <c r="CHJ1" s="21"/>
      <c r="CHK1" s="21"/>
      <c r="CHL1" s="21"/>
      <c r="CHM1" s="21"/>
      <c r="CHN1" s="21"/>
      <c r="CHO1" s="21"/>
      <c r="CHP1" s="21"/>
      <c r="CHQ1" s="21"/>
      <c r="CHR1" s="21"/>
      <c r="CHS1" s="21"/>
      <c r="CHT1" s="21"/>
      <c r="CHU1" s="20" t="s">
        <v>297</v>
      </c>
      <c r="CHV1" s="21"/>
      <c r="CHW1" s="21"/>
      <c r="CHX1" s="21"/>
      <c r="CHY1" s="21"/>
      <c r="CHZ1" s="21"/>
      <c r="CIA1" s="21"/>
      <c r="CIB1" s="21"/>
      <c r="CIC1" s="21"/>
      <c r="CID1" s="21"/>
      <c r="CIE1" s="21"/>
      <c r="CIF1" s="21"/>
      <c r="CIG1" s="21"/>
      <c r="CIH1" s="21"/>
      <c r="CII1" s="21"/>
      <c r="CIJ1" s="21"/>
      <c r="CIK1" s="20" t="s">
        <v>297</v>
      </c>
      <c r="CIL1" s="21"/>
      <c r="CIM1" s="21"/>
      <c r="CIN1" s="21"/>
      <c r="CIO1" s="21"/>
      <c r="CIP1" s="21"/>
      <c r="CIQ1" s="21"/>
      <c r="CIR1" s="21"/>
      <c r="CIS1" s="21"/>
      <c r="CIT1" s="21"/>
      <c r="CIU1" s="21"/>
      <c r="CIV1" s="21"/>
      <c r="CIW1" s="21"/>
      <c r="CIX1" s="21"/>
      <c r="CIY1" s="21"/>
      <c r="CIZ1" s="21"/>
      <c r="CJA1" s="20" t="s">
        <v>297</v>
      </c>
      <c r="CJB1" s="21"/>
      <c r="CJC1" s="21"/>
      <c r="CJD1" s="21"/>
      <c r="CJE1" s="21"/>
      <c r="CJF1" s="21"/>
      <c r="CJG1" s="21"/>
      <c r="CJH1" s="21"/>
      <c r="CJI1" s="21"/>
      <c r="CJJ1" s="21"/>
      <c r="CJK1" s="21"/>
      <c r="CJL1" s="21"/>
      <c r="CJM1" s="21"/>
      <c r="CJN1" s="21"/>
      <c r="CJO1" s="21"/>
      <c r="CJP1" s="21"/>
      <c r="CJQ1" s="20" t="s">
        <v>297</v>
      </c>
      <c r="CJR1" s="21"/>
      <c r="CJS1" s="21"/>
      <c r="CJT1" s="21"/>
      <c r="CJU1" s="21"/>
      <c r="CJV1" s="21"/>
      <c r="CJW1" s="21"/>
      <c r="CJX1" s="21"/>
      <c r="CJY1" s="21"/>
      <c r="CJZ1" s="21"/>
      <c r="CKA1" s="21"/>
      <c r="CKB1" s="21"/>
      <c r="CKC1" s="21"/>
      <c r="CKD1" s="21"/>
      <c r="CKE1" s="21"/>
      <c r="CKF1" s="21"/>
      <c r="CKG1" s="20" t="s">
        <v>297</v>
      </c>
      <c r="CKH1" s="21"/>
      <c r="CKI1" s="21"/>
      <c r="CKJ1" s="21"/>
      <c r="CKK1" s="21"/>
      <c r="CKL1" s="21"/>
      <c r="CKM1" s="21"/>
      <c r="CKN1" s="21"/>
      <c r="CKO1" s="21"/>
      <c r="CKP1" s="21"/>
      <c r="CKQ1" s="21"/>
      <c r="CKR1" s="21"/>
      <c r="CKS1" s="21"/>
      <c r="CKT1" s="21"/>
      <c r="CKU1" s="21"/>
      <c r="CKV1" s="21"/>
      <c r="CKW1" s="20" t="s">
        <v>297</v>
      </c>
      <c r="CKX1" s="21"/>
      <c r="CKY1" s="21"/>
      <c r="CKZ1" s="21"/>
      <c r="CLA1" s="21"/>
      <c r="CLB1" s="21"/>
      <c r="CLC1" s="21"/>
      <c r="CLD1" s="21"/>
      <c r="CLE1" s="21"/>
      <c r="CLF1" s="21"/>
      <c r="CLG1" s="21"/>
      <c r="CLH1" s="21"/>
      <c r="CLI1" s="21"/>
      <c r="CLJ1" s="21"/>
      <c r="CLK1" s="21"/>
      <c r="CLL1" s="21"/>
      <c r="CLM1" s="20" t="s">
        <v>297</v>
      </c>
      <c r="CLN1" s="21"/>
      <c r="CLO1" s="21"/>
      <c r="CLP1" s="21"/>
      <c r="CLQ1" s="21"/>
      <c r="CLR1" s="21"/>
      <c r="CLS1" s="21"/>
      <c r="CLT1" s="21"/>
      <c r="CLU1" s="21"/>
      <c r="CLV1" s="21"/>
      <c r="CLW1" s="21"/>
      <c r="CLX1" s="21"/>
      <c r="CLY1" s="21"/>
      <c r="CLZ1" s="21"/>
      <c r="CMA1" s="21"/>
      <c r="CMB1" s="21"/>
      <c r="CMC1" s="20" t="s">
        <v>297</v>
      </c>
      <c r="CMD1" s="21"/>
      <c r="CME1" s="21"/>
      <c r="CMF1" s="21"/>
      <c r="CMG1" s="21"/>
      <c r="CMH1" s="21"/>
      <c r="CMI1" s="21"/>
      <c r="CMJ1" s="21"/>
      <c r="CMK1" s="21"/>
      <c r="CML1" s="21"/>
      <c r="CMM1" s="21"/>
      <c r="CMN1" s="21"/>
      <c r="CMO1" s="21"/>
      <c r="CMP1" s="21"/>
      <c r="CMQ1" s="21"/>
      <c r="CMR1" s="21"/>
      <c r="CMS1" s="20" t="s">
        <v>297</v>
      </c>
      <c r="CMT1" s="21"/>
      <c r="CMU1" s="21"/>
      <c r="CMV1" s="21"/>
      <c r="CMW1" s="21"/>
      <c r="CMX1" s="21"/>
      <c r="CMY1" s="21"/>
      <c r="CMZ1" s="21"/>
      <c r="CNA1" s="21"/>
      <c r="CNB1" s="21"/>
      <c r="CNC1" s="21"/>
      <c r="CND1" s="21"/>
      <c r="CNE1" s="21"/>
      <c r="CNF1" s="21"/>
      <c r="CNG1" s="21"/>
      <c r="CNH1" s="21"/>
      <c r="CNI1" s="20" t="s">
        <v>297</v>
      </c>
      <c r="CNJ1" s="21"/>
      <c r="CNK1" s="21"/>
      <c r="CNL1" s="21"/>
      <c r="CNM1" s="21"/>
      <c r="CNN1" s="21"/>
      <c r="CNO1" s="21"/>
      <c r="CNP1" s="21"/>
      <c r="CNQ1" s="21"/>
      <c r="CNR1" s="21"/>
      <c r="CNS1" s="21"/>
      <c r="CNT1" s="21"/>
      <c r="CNU1" s="21"/>
      <c r="CNV1" s="21"/>
      <c r="CNW1" s="21"/>
      <c r="CNX1" s="21"/>
      <c r="CNY1" s="20" t="s">
        <v>297</v>
      </c>
      <c r="CNZ1" s="21"/>
      <c r="COA1" s="21"/>
      <c r="COB1" s="21"/>
      <c r="COC1" s="21"/>
      <c r="COD1" s="21"/>
      <c r="COE1" s="21"/>
      <c r="COF1" s="21"/>
      <c r="COG1" s="21"/>
      <c r="COH1" s="21"/>
      <c r="COI1" s="21"/>
      <c r="COJ1" s="21"/>
      <c r="COK1" s="21"/>
      <c r="COL1" s="21"/>
      <c r="COM1" s="21"/>
      <c r="CON1" s="21"/>
      <c r="COO1" s="20" t="s">
        <v>297</v>
      </c>
      <c r="COP1" s="21"/>
      <c r="COQ1" s="21"/>
      <c r="COR1" s="21"/>
      <c r="COS1" s="21"/>
      <c r="COT1" s="21"/>
      <c r="COU1" s="21"/>
      <c r="COV1" s="21"/>
      <c r="COW1" s="21"/>
      <c r="COX1" s="21"/>
      <c r="COY1" s="21"/>
      <c r="COZ1" s="21"/>
      <c r="CPA1" s="21"/>
      <c r="CPB1" s="21"/>
      <c r="CPC1" s="21"/>
      <c r="CPD1" s="21"/>
      <c r="CPE1" s="20" t="s">
        <v>297</v>
      </c>
      <c r="CPF1" s="21"/>
      <c r="CPG1" s="21"/>
      <c r="CPH1" s="21"/>
      <c r="CPI1" s="21"/>
      <c r="CPJ1" s="21"/>
      <c r="CPK1" s="21"/>
      <c r="CPL1" s="21"/>
      <c r="CPM1" s="21"/>
      <c r="CPN1" s="21"/>
      <c r="CPO1" s="21"/>
      <c r="CPP1" s="21"/>
      <c r="CPQ1" s="21"/>
      <c r="CPR1" s="21"/>
      <c r="CPS1" s="21"/>
      <c r="CPT1" s="21"/>
      <c r="CPU1" s="20" t="s">
        <v>297</v>
      </c>
      <c r="CPV1" s="21"/>
      <c r="CPW1" s="21"/>
      <c r="CPX1" s="21"/>
      <c r="CPY1" s="21"/>
      <c r="CPZ1" s="21"/>
      <c r="CQA1" s="21"/>
      <c r="CQB1" s="21"/>
      <c r="CQC1" s="21"/>
      <c r="CQD1" s="21"/>
      <c r="CQE1" s="21"/>
      <c r="CQF1" s="21"/>
      <c r="CQG1" s="21"/>
      <c r="CQH1" s="21"/>
      <c r="CQI1" s="21"/>
      <c r="CQJ1" s="21"/>
      <c r="CQK1" s="20" t="s">
        <v>297</v>
      </c>
      <c r="CQL1" s="21"/>
      <c r="CQM1" s="21"/>
      <c r="CQN1" s="21"/>
      <c r="CQO1" s="21"/>
      <c r="CQP1" s="21"/>
      <c r="CQQ1" s="21"/>
      <c r="CQR1" s="21"/>
      <c r="CQS1" s="21"/>
      <c r="CQT1" s="21"/>
      <c r="CQU1" s="21"/>
      <c r="CQV1" s="21"/>
      <c r="CQW1" s="21"/>
      <c r="CQX1" s="21"/>
      <c r="CQY1" s="21"/>
      <c r="CQZ1" s="21"/>
      <c r="CRA1" s="20" t="s">
        <v>297</v>
      </c>
      <c r="CRB1" s="21"/>
      <c r="CRC1" s="21"/>
      <c r="CRD1" s="21"/>
      <c r="CRE1" s="21"/>
      <c r="CRF1" s="21"/>
      <c r="CRG1" s="21"/>
      <c r="CRH1" s="21"/>
      <c r="CRI1" s="21"/>
      <c r="CRJ1" s="21"/>
      <c r="CRK1" s="21"/>
      <c r="CRL1" s="21"/>
      <c r="CRM1" s="21"/>
      <c r="CRN1" s="21"/>
      <c r="CRO1" s="21"/>
      <c r="CRP1" s="21"/>
      <c r="CRQ1" s="20" t="s">
        <v>297</v>
      </c>
      <c r="CRR1" s="21"/>
      <c r="CRS1" s="21"/>
      <c r="CRT1" s="21"/>
      <c r="CRU1" s="21"/>
      <c r="CRV1" s="21"/>
      <c r="CRW1" s="21"/>
      <c r="CRX1" s="21"/>
      <c r="CRY1" s="21"/>
      <c r="CRZ1" s="21"/>
      <c r="CSA1" s="21"/>
      <c r="CSB1" s="21"/>
      <c r="CSC1" s="21"/>
      <c r="CSD1" s="21"/>
      <c r="CSE1" s="21"/>
      <c r="CSF1" s="21"/>
      <c r="CSG1" s="20" t="s">
        <v>297</v>
      </c>
      <c r="CSH1" s="21"/>
      <c r="CSI1" s="21"/>
      <c r="CSJ1" s="21"/>
      <c r="CSK1" s="21"/>
      <c r="CSL1" s="21"/>
      <c r="CSM1" s="21"/>
      <c r="CSN1" s="21"/>
      <c r="CSO1" s="21"/>
      <c r="CSP1" s="21"/>
      <c r="CSQ1" s="21"/>
      <c r="CSR1" s="21"/>
      <c r="CSS1" s="21"/>
      <c r="CST1" s="21"/>
      <c r="CSU1" s="21"/>
      <c r="CSV1" s="21"/>
      <c r="CSW1" s="20" t="s">
        <v>297</v>
      </c>
      <c r="CSX1" s="21"/>
      <c r="CSY1" s="21"/>
      <c r="CSZ1" s="21"/>
      <c r="CTA1" s="21"/>
      <c r="CTB1" s="21"/>
      <c r="CTC1" s="21"/>
      <c r="CTD1" s="21"/>
      <c r="CTE1" s="21"/>
      <c r="CTF1" s="21"/>
      <c r="CTG1" s="21"/>
      <c r="CTH1" s="21"/>
      <c r="CTI1" s="21"/>
      <c r="CTJ1" s="21"/>
      <c r="CTK1" s="21"/>
      <c r="CTL1" s="21"/>
      <c r="CTM1" s="20" t="s">
        <v>297</v>
      </c>
      <c r="CTN1" s="21"/>
      <c r="CTO1" s="21"/>
      <c r="CTP1" s="21"/>
      <c r="CTQ1" s="21"/>
      <c r="CTR1" s="21"/>
      <c r="CTS1" s="21"/>
      <c r="CTT1" s="21"/>
      <c r="CTU1" s="21"/>
      <c r="CTV1" s="21"/>
      <c r="CTW1" s="21"/>
      <c r="CTX1" s="21"/>
      <c r="CTY1" s="21"/>
      <c r="CTZ1" s="21"/>
      <c r="CUA1" s="21"/>
      <c r="CUB1" s="21"/>
      <c r="CUC1" s="20" t="s">
        <v>297</v>
      </c>
      <c r="CUD1" s="21"/>
      <c r="CUE1" s="21"/>
      <c r="CUF1" s="21"/>
      <c r="CUG1" s="21"/>
      <c r="CUH1" s="21"/>
      <c r="CUI1" s="21"/>
      <c r="CUJ1" s="21"/>
      <c r="CUK1" s="21"/>
      <c r="CUL1" s="21"/>
      <c r="CUM1" s="21"/>
      <c r="CUN1" s="21"/>
      <c r="CUO1" s="21"/>
      <c r="CUP1" s="21"/>
      <c r="CUQ1" s="21"/>
      <c r="CUR1" s="21"/>
      <c r="CUS1" s="20" t="s">
        <v>297</v>
      </c>
      <c r="CUT1" s="21"/>
      <c r="CUU1" s="21"/>
      <c r="CUV1" s="21"/>
      <c r="CUW1" s="21"/>
      <c r="CUX1" s="21"/>
      <c r="CUY1" s="21"/>
      <c r="CUZ1" s="21"/>
      <c r="CVA1" s="21"/>
      <c r="CVB1" s="21"/>
      <c r="CVC1" s="21"/>
      <c r="CVD1" s="21"/>
      <c r="CVE1" s="21"/>
      <c r="CVF1" s="21"/>
      <c r="CVG1" s="21"/>
      <c r="CVH1" s="21"/>
      <c r="CVI1" s="20" t="s">
        <v>297</v>
      </c>
      <c r="CVJ1" s="21"/>
      <c r="CVK1" s="21"/>
      <c r="CVL1" s="21"/>
      <c r="CVM1" s="21"/>
      <c r="CVN1" s="21"/>
      <c r="CVO1" s="21"/>
      <c r="CVP1" s="21"/>
      <c r="CVQ1" s="21"/>
      <c r="CVR1" s="21"/>
      <c r="CVS1" s="21"/>
      <c r="CVT1" s="21"/>
      <c r="CVU1" s="21"/>
      <c r="CVV1" s="21"/>
      <c r="CVW1" s="21"/>
      <c r="CVX1" s="21"/>
      <c r="CVY1" s="20" t="s">
        <v>297</v>
      </c>
      <c r="CVZ1" s="21"/>
      <c r="CWA1" s="21"/>
      <c r="CWB1" s="21"/>
      <c r="CWC1" s="21"/>
      <c r="CWD1" s="21"/>
      <c r="CWE1" s="21"/>
      <c r="CWF1" s="21"/>
      <c r="CWG1" s="21"/>
      <c r="CWH1" s="21"/>
      <c r="CWI1" s="21"/>
      <c r="CWJ1" s="21"/>
      <c r="CWK1" s="21"/>
      <c r="CWL1" s="21"/>
      <c r="CWM1" s="21"/>
      <c r="CWN1" s="21"/>
      <c r="CWO1" s="20" t="s">
        <v>297</v>
      </c>
      <c r="CWP1" s="21"/>
      <c r="CWQ1" s="21"/>
      <c r="CWR1" s="21"/>
      <c r="CWS1" s="21"/>
      <c r="CWT1" s="21"/>
      <c r="CWU1" s="21"/>
      <c r="CWV1" s="21"/>
      <c r="CWW1" s="21"/>
      <c r="CWX1" s="21"/>
      <c r="CWY1" s="21"/>
      <c r="CWZ1" s="21"/>
      <c r="CXA1" s="21"/>
      <c r="CXB1" s="21"/>
      <c r="CXC1" s="21"/>
      <c r="CXD1" s="21"/>
      <c r="CXE1" s="20" t="s">
        <v>297</v>
      </c>
      <c r="CXF1" s="21"/>
      <c r="CXG1" s="21"/>
      <c r="CXH1" s="21"/>
      <c r="CXI1" s="21"/>
      <c r="CXJ1" s="21"/>
      <c r="CXK1" s="21"/>
      <c r="CXL1" s="21"/>
      <c r="CXM1" s="21"/>
      <c r="CXN1" s="21"/>
      <c r="CXO1" s="21"/>
      <c r="CXP1" s="21"/>
      <c r="CXQ1" s="21"/>
      <c r="CXR1" s="21"/>
      <c r="CXS1" s="21"/>
      <c r="CXT1" s="21"/>
      <c r="CXU1" s="20" t="s">
        <v>297</v>
      </c>
      <c r="CXV1" s="21"/>
      <c r="CXW1" s="21"/>
      <c r="CXX1" s="21"/>
      <c r="CXY1" s="21"/>
      <c r="CXZ1" s="21"/>
      <c r="CYA1" s="21"/>
      <c r="CYB1" s="21"/>
      <c r="CYC1" s="21"/>
      <c r="CYD1" s="21"/>
      <c r="CYE1" s="21"/>
      <c r="CYF1" s="21"/>
      <c r="CYG1" s="21"/>
      <c r="CYH1" s="21"/>
      <c r="CYI1" s="21"/>
      <c r="CYJ1" s="21"/>
      <c r="CYK1" s="20" t="s">
        <v>297</v>
      </c>
      <c r="CYL1" s="21"/>
      <c r="CYM1" s="21"/>
      <c r="CYN1" s="21"/>
      <c r="CYO1" s="21"/>
      <c r="CYP1" s="21"/>
      <c r="CYQ1" s="21"/>
      <c r="CYR1" s="21"/>
      <c r="CYS1" s="21"/>
      <c r="CYT1" s="21"/>
      <c r="CYU1" s="21"/>
      <c r="CYV1" s="21"/>
      <c r="CYW1" s="21"/>
      <c r="CYX1" s="21"/>
      <c r="CYY1" s="21"/>
      <c r="CYZ1" s="21"/>
      <c r="CZA1" s="20" t="s">
        <v>297</v>
      </c>
      <c r="CZB1" s="21"/>
      <c r="CZC1" s="21"/>
      <c r="CZD1" s="21"/>
      <c r="CZE1" s="21"/>
      <c r="CZF1" s="21"/>
      <c r="CZG1" s="21"/>
      <c r="CZH1" s="21"/>
      <c r="CZI1" s="21"/>
      <c r="CZJ1" s="21"/>
      <c r="CZK1" s="21"/>
      <c r="CZL1" s="21"/>
      <c r="CZM1" s="21"/>
      <c r="CZN1" s="21"/>
      <c r="CZO1" s="21"/>
      <c r="CZP1" s="21"/>
      <c r="CZQ1" s="20" t="s">
        <v>297</v>
      </c>
      <c r="CZR1" s="21"/>
      <c r="CZS1" s="21"/>
      <c r="CZT1" s="21"/>
      <c r="CZU1" s="21"/>
      <c r="CZV1" s="21"/>
      <c r="CZW1" s="21"/>
      <c r="CZX1" s="21"/>
      <c r="CZY1" s="21"/>
      <c r="CZZ1" s="21"/>
      <c r="DAA1" s="21"/>
      <c r="DAB1" s="21"/>
      <c r="DAC1" s="21"/>
      <c r="DAD1" s="21"/>
      <c r="DAE1" s="21"/>
      <c r="DAF1" s="21"/>
      <c r="DAG1" s="20" t="s">
        <v>297</v>
      </c>
      <c r="DAH1" s="21"/>
      <c r="DAI1" s="21"/>
      <c r="DAJ1" s="21"/>
      <c r="DAK1" s="21"/>
      <c r="DAL1" s="21"/>
      <c r="DAM1" s="21"/>
      <c r="DAN1" s="21"/>
      <c r="DAO1" s="21"/>
      <c r="DAP1" s="21"/>
      <c r="DAQ1" s="21"/>
      <c r="DAR1" s="21"/>
      <c r="DAS1" s="21"/>
      <c r="DAT1" s="21"/>
      <c r="DAU1" s="21"/>
      <c r="DAV1" s="21"/>
      <c r="DAW1" s="20" t="s">
        <v>297</v>
      </c>
      <c r="DAX1" s="21"/>
      <c r="DAY1" s="21"/>
      <c r="DAZ1" s="21"/>
      <c r="DBA1" s="21"/>
      <c r="DBB1" s="21"/>
      <c r="DBC1" s="21"/>
      <c r="DBD1" s="21"/>
      <c r="DBE1" s="21"/>
      <c r="DBF1" s="21"/>
      <c r="DBG1" s="21"/>
      <c r="DBH1" s="21"/>
      <c r="DBI1" s="21"/>
      <c r="DBJ1" s="21"/>
      <c r="DBK1" s="21"/>
      <c r="DBL1" s="21"/>
      <c r="DBM1" s="20" t="s">
        <v>297</v>
      </c>
      <c r="DBN1" s="21"/>
      <c r="DBO1" s="21"/>
      <c r="DBP1" s="21"/>
      <c r="DBQ1" s="21"/>
      <c r="DBR1" s="21"/>
      <c r="DBS1" s="21"/>
      <c r="DBT1" s="21"/>
      <c r="DBU1" s="21"/>
      <c r="DBV1" s="21"/>
      <c r="DBW1" s="21"/>
      <c r="DBX1" s="21"/>
      <c r="DBY1" s="21"/>
      <c r="DBZ1" s="21"/>
      <c r="DCA1" s="21"/>
      <c r="DCB1" s="21"/>
      <c r="DCC1" s="20" t="s">
        <v>297</v>
      </c>
      <c r="DCD1" s="21"/>
      <c r="DCE1" s="21"/>
      <c r="DCF1" s="21"/>
      <c r="DCG1" s="21"/>
      <c r="DCH1" s="21"/>
      <c r="DCI1" s="21"/>
      <c r="DCJ1" s="21"/>
      <c r="DCK1" s="21"/>
      <c r="DCL1" s="21"/>
      <c r="DCM1" s="21"/>
      <c r="DCN1" s="21"/>
      <c r="DCO1" s="21"/>
      <c r="DCP1" s="21"/>
      <c r="DCQ1" s="21"/>
      <c r="DCR1" s="21"/>
      <c r="DCS1" s="20" t="s">
        <v>297</v>
      </c>
      <c r="DCT1" s="21"/>
      <c r="DCU1" s="21"/>
      <c r="DCV1" s="21"/>
      <c r="DCW1" s="21"/>
      <c r="DCX1" s="21"/>
      <c r="DCY1" s="21"/>
      <c r="DCZ1" s="21"/>
      <c r="DDA1" s="21"/>
      <c r="DDB1" s="21"/>
      <c r="DDC1" s="21"/>
      <c r="DDD1" s="21"/>
      <c r="DDE1" s="21"/>
      <c r="DDF1" s="21"/>
      <c r="DDG1" s="21"/>
      <c r="DDH1" s="21"/>
      <c r="DDI1" s="20" t="s">
        <v>297</v>
      </c>
      <c r="DDJ1" s="21"/>
      <c r="DDK1" s="21"/>
      <c r="DDL1" s="21"/>
      <c r="DDM1" s="21"/>
      <c r="DDN1" s="21"/>
      <c r="DDO1" s="21"/>
      <c r="DDP1" s="21"/>
      <c r="DDQ1" s="21"/>
      <c r="DDR1" s="21"/>
      <c r="DDS1" s="21"/>
      <c r="DDT1" s="21"/>
      <c r="DDU1" s="21"/>
      <c r="DDV1" s="21"/>
      <c r="DDW1" s="21"/>
      <c r="DDX1" s="21"/>
      <c r="DDY1" s="20" t="s">
        <v>297</v>
      </c>
      <c r="DDZ1" s="21"/>
      <c r="DEA1" s="21"/>
      <c r="DEB1" s="21"/>
      <c r="DEC1" s="21"/>
      <c r="DED1" s="21"/>
      <c r="DEE1" s="21"/>
      <c r="DEF1" s="21"/>
      <c r="DEG1" s="21"/>
      <c r="DEH1" s="21"/>
      <c r="DEI1" s="21"/>
      <c r="DEJ1" s="21"/>
      <c r="DEK1" s="21"/>
      <c r="DEL1" s="21"/>
      <c r="DEM1" s="21"/>
      <c r="DEN1" s="21"/>
      <c r="DEO1" s="20" t="s">
        <v>297</v>
      </c>
      <c r="DEP1" s="21"/>
      <c r="DEQ1" s="21"/>
      <c r="DER1" s="21"/>
      <c r="DES1" s="21"/>
      <c r="DET1" s="21"/>
      <c r="DEU1" s="21"/>
      <c r="DEV1" s="21"/>
      <c r="DEW1" s="21"/>
      <c r="DEX1" s="21"/>
      <c r="DEY1" s="21"/>
      <c r="DEZ1" s="21"/>
      <c r="DFA1" s="21"/>
      <c r="DFB1" s="21"/>
      <c r="DFC1" s="21"/>
      <c r="DFD1" s="21"/>
      <c r="DFE1" s="20" t="s">
        <v>297</v>
      </c>
      <c r="DFF1" s="21"/>
      <c r="DFG1" s="21"/>
      <c r="DFH1" s="21"/>
      <c r="DFI1" s="21"/>
      <c r="DFJ1" s="21"/>
      <c r="DFK1" s="21"/>
      <c r="DFL1" s="21"/>
      <c r="DFM1" s="21"/>
      <c r="DFN1" s="21"/>
      <c r="DFO1" s="21"/>
      <c r="DFP1" s="21"/>
      <c r="DFQ1" s="21"/>
      <c r="DFR1" s="21"/>
      <c r="DFS1" s="21"/>
      <c r="DFT1" s="21"/>
      <c r="DFU1" s="20" t="s">
        <v>297</v>
      </c>
      <c r="DFV1" s="21"/>
      <c r="DFW1" s="21"/>
      <c r="DFX1" s="21"/>
      <c r="DFY1" s="21"/>
      <c r="DFZ1" s="21"/>
      <c r="DGA1" s="21"/>
      <c r="DGB1" s="21"/>
      <c r="DGC1" s="21"/>
      <c r="DGD1" s="21"/>
      <c r="DGE1" s="21"/>
      <c r="DGF1" s="21"/>
      <c r="DGG1" s="21"/>
      <c r="DGH1" s="21"/>
      <c r="DGI1" s="21"/>
      <c r="DGJ1" s="21"/>
      <c r="DGK1" s="20" t="s">
        <v>297</v>
      </c>
      <c r="DGL1" s="21"/>
      <c r="DGM1" s="21"/>
      <c r="DGN1" s="21"/>
      <c r="DGO1" s="21"/>
      <c r="DGP1" s="21"/>
      <c r="DGQ1" s="21"/>
      <c r="DGR1" s="21"/>
      <c r="DGS1" s="21"/>
      <c r="DGT1" s="21"/>
      <c r="DGU1" s="21"/>
      <c r="DGV1" s="21"/>
      <c r="DGW1" s="21"/>
      <c r="DGX1" s="21"/>
      <c r="DGY1" s="21"/>
      <c r="DGZ1" s="21"/>
      <c r="DHA1" s="20" t="s">
        <v>297</v>
      </c>
      <c r="DHB1" s="21"/>
      <c r="DHC1" s="21"/>
      <c r="DHD1" s="21"/>
      <c r="DHE1" s="21"/>
      <c r="DHF1" s="21"/>
      <c r="DHG1" s="21"/>
      <c r="DHH1" s="21"/>
      <c r="DHI1" s="21"/>
      <c r="DHJ1" s="21"/>
      <c r="DHK1" s="21"/>
      <c r="DHL1" s="21"/>
      <c r="DHM1" s="21"/>
      <c r="DHN1" s="21"/>
      <c r="DHO1" s="21"/>
      <c r="DHP1" s="21"/>
      <c r="DHQ1" s="20" t="s">
        <v>297</v>
      </c>
      <c r="DHR1" s="21"/>
      <c r="DHS1" s="21"/>
      <c r="DHT1" s="21"/>
      <c r="DHU1" s="21"/>
      <c r="DHV1" s="21"/>
      <c r="DHW1" s="21"/>
      <c r="DHX1" s="21"/>
      <c r="DHY1" s="21"/>
      <c r="DHZ1" s="21"/>
      <c r="DIA1" s="21"/>
      <c r="DIB1" s="21"/>
      <c r="DIC1" s="21"/>
      <c r="DID1" s="21"/>
      <c r="DIE1" s="21"/>
      <c r="DIF1" s="21"/>
      <c r="DIG1" s="20" t="s">
        <v>297</v>
      </c>
      <c r="DIH1" s="21"/>
      <c r="DII1" s="21"/>
      <c r="DIJ1" s="21"/>
      <c r="DIK1" s="21"/>
      <c r="DIL1" s="21"/>
      <c r="DIM1" s="21"/>
      <c r="DIN1" s="21"/>
      <c r="DIO1" s="21"/>
      <c r="DIP1" s="21"/>
      <c r="DIQ1" s="21"/>
      <c r="DIR1" s="21"/>
      <c r="DIS1" s="21"/>
      <c r="DIT1" s="21"/>
      <c r="DIU1" s="21"/>
      <c r="DIV1" s="21"/>
      <c r="DIW1" s="20" t="s">
        <v>297</v>
      </c>
      <c r="DIX1" s="21"/>
      <c r="DIY1" s="21"/>
      <c r="DIZ1" s="21"/>
      <c r="DJA1" s="21"/>
      <c r="DJB1" s="21"/>
      <c r="DJC1" s="21"/>
      <c r="DJD1" s="21"/>
      <c r="DJE1" s="21"/>
      <c r="DJF1" s="21"/>
      <c r="DJG1" s="21"/>
      <c r="DJH1" s="21"/>
      <c r="DJI1" s="21"/>
      <c r="DJJ1" s="21"/>
      <c r="DJK1" s="21"/>
      <c r="DJL1" s="21"/>
      <c r="DJM1" s="20" t="s">
        <v>297</v>
      </c>
      <c r="DJN1" s="21"/>
      <c r="DJO1" s="21"/>
      <c r="DJP1" s="21"/>
      <c r="DJQ1" s="21"/>
      <c r="DJR1" s="21"/>
      <c r="DJS1" s="21"/>
      <c r="DJT1" s="21"/>
      <c r="DJU1" s="21"/>
      <c r="DJV1" s="21"/>
      <c r="DJW1" s="21"/>
      <c r="DJX1" s="21"/>
      <c r="DJY1" s="21"/>
      <c r="DJZ1" s="21"/>
      <c r="DKA1" s="21"/>
      <c r="DKB1" s="21"/>
      <c r="DKC1" s="20" t="s">
        <v>297</v>
      </c>
      <c r="DKD1" s="21"/>
      <c r="DKE1" s="21"/>
      <c r="DKF1" s="21"/>
      <c r="DKG1" s="21"/>
      <c r="DKH1" s="21"/>
      <c r="DKI1" s="21"/>
      <c r="DKJ1" s="21"/>
      <c r="DKK1" s="21"/>
      <c r="DKL1" s="21"/>
      <c r="DKM1" s="21"/>
      <c r="DKN1" s="21"/>
      <c r="DKO1" s="21"/>
      <c r="DKP1" s="21"/>
      <c r="DKQ1" s="21"/>
      <c r="DKR1" s="21"/>
      <c r="DKS1" s="20" t="s">
        <v>297</v>
      </c>
      <c r="DKT1" s="21"/>
      <c r="DKU1" s="21"/>
      <c r="DKV1" s="21"/>
      <c r="DKW1" s="21"/>
      <c r="DKX1" s="21"/>
      <c r="DKY1" s="21"/>
      <c r="DKZ1" s="21"/>
      <c r="DLA1" s="21"/>
      <c r="DLB1" s="21"/>
      <c r="DLC1" s="21"/>
      <c r="DLD1" s="21"/>
      <c r="DLE1" s="21"/>
      <c r="DLF1" s="21"/>
      <c r="DLG1" s="21"/>
      <c r="DLH1" s="21"/>
      <c r="DLI1" s="20" t="s">
        <v>297</v>
      </c>
      <c r="DLJ1" s="21"/>
      <c r="DLK1" s="21"/>
      <c r="DLL1" s="21"/>
      <c r="DLM1" s="21"/>
      <c r="DLN1" s="21"/>
      <c r="DLO1" s="21"/>
      <c r="DLP1" s="21"/>
      <c r="DLQ1" s="21"/>
      <c r="DLR1" s="21"/>
      <c r="DLS1" s="21"/>
      <c r="DLT1" s="21"/>
      <c r="DLU1" s="21"/>
      <c r="DLV1" s="21"/>
      <c r="DLW1" s="21"/>
      <c r="DLX1" s="21"/>
      <c r="DLY1" s="20" t="s">
        <v>297</v>
      </c>
      <c r="DLZ1" s="21"/>
      <c r="DMA1" s="21"/>
      <c r="DMB1" s="21"/>
      <c r="DMC1" s="21"/>
      <c r="DMD1" s="21"/>
      <c r="DME1" s="21"/>
      <c r="DMF1" s="21"/>
      <c r="DMG1" s="21"/>
      <c r="DMH1" s="21"/>
      <c r="DMI1" s="21"/>
      <c r="DMJ1" s="21"/>
      <c r="DMK1" s="21"/>
      <c r="DML1" s="21"/>
      <c r="DMM1" s="21"/>
      <c r="DMN1" s="21"/>
      <c r="DMO1" s="20" t="s">
        <v>297</v>
      </c>
      <c r="DMP1" s="21"/>
      <c r="DMQ1" s="21"/>
      <c r="DMR1" s="21"/>
      <c r="DMS1" s="21"/>
      <c r="DMT1" s="21"/>
      <c r="DMU1" s="21"/>
      <c r="DMV1" s="21"/>
      <c r="DMW1" s="21"/>
      <c r="DMX1" s="21"/>
      <c r="DMY1" s="21"/>
      <c r="DMZ1" s="21"/>
      <c r="DNA1" s="21"/>
      <c r="DNB1" s="21"/>
      <c r="DNC1" s="21"/>
      <c r="DND1" s="21"/>
      <c r="DNE1" s="20" t="s">
        <v>297</v>
      </c>
      <c r="DNF1" s="21"/>
      <c r="DNG1" s="21"/>
      <c r="DNH1" s="21"/>
      <c r="DNI1" s="21"/>
      <c r="DNJ1" s="21"/>
      <c r="DNK1" s="21"/>
      <c r="DNL1" s="21"/>
      <c r="DNM1" s="21"/>
      <c r="DNN1" s="21"/>
      <c r="DNO1" s="21"/>
      <c r="DNP1" s="21"/>
      <c r="DNQ1" s="21"/>
      <c r="DNR1" s="21"/>
      <c r="DNS1" s="21"/>
      <c r="DNT1" s="21"/>
      <c r="DNU1" s="20" t="s">
        <v>297</v>
      </c>
      <c r="DNV1" s="21"/>
      <c r="DNW1" s="21"/>
      <c r="DNX1" s="21"/>
      <c r="DNY1" s="21"/>
      <c r="DNZ1" s="21"/>
      <c r="DOA1" s="21"/>
      <c r="DOB1" s="21"/>
      <c r="DOC1" s="21"/>
      <c r="DOD1" s="21"/>
      <c r="DOE1" s="21"/>
      <c r="DOF1" s="21"/>
      <c r="DOG1" s="21"/>
      <c r="DOH1" s="21"/>
      <c r="DOI1" s="21"/>
      <c r="DOJ1" s="21"/>
      <c r="DOK1" s="20" t="s">
        <v>297</v>
      </c>
      <c r="DOL1" s="21"/>
      <c r="DOM1" s="21"/>
      <c r="DON1" s="21"/>
      <c r="DOO1" s="21"/>
      <c r="DOP1" s="21"/>
      <c r="DOQ1" s="21"/>
      <c r="DOR1" s="21"/>
      <c r="DOS1" s="21"/>
      <c r="DOT1" s="21"/>
      <c r="DOU1" s="21"/>
      <c r="DOV1" s="21"/>
      <c r="DOW1" s="21"/>
      <c r="DOX1" s="21"/>
      <c r="DOY1" s="21"/>
      <c r="DOZ1" s="21"/>
      <c r="DPA1" s="20" t="s">
        <v>297</v>
      </c>
      <c r="DPB1" s="21"/>
      <c r="DPC1" s="21"/>
      <c r="DPD1" s="21"/>
      <c r="DPE1" s="21"/>
      <c r="DPF1" s="21"/>
      <c r="DPG1" s="21"/>
      <c r="DPH1" s="21"/>
      <c r="DPI1" s="21"/>
      <c r="DPJ1" s="21"/>
      <c r="DPK1" s="21"/>
      <c r="DPL1" s="21"/>
      <c r="DPM1" s="21"/>
      <c r="DPN1" s="21"/>
      <c r="DPO1" s="21"/>
      <c r="DPP1" s="21"/>
      <c r="DPQ1" s="20" t="s">
        <v>297</v>
      </c>
      <c r="DPR1" s="21"/>
      <c r="DPS1" s="21"/>
      <c r="DPT1" s="21"/>
      <c r="DPU1" s="21"/>
      <c r="DPV1" s="21"/>
      <c r="DPW1" s="21"/>
      <c r="DPX1" s="21"/>
      <c r="DPY1" s="21"/>
      <c r="DPZ1" s="21"/>
      <c r="DQA1" s="21"/>
      <c r="DQB1" s="21"/>
      <c r="DQC1" s="21"/>
      <c r="DQD1" s="21"/>
      <c r="DQE1" s="21"/>
      <c r="DQF1" s="21"/>
      <c r="DQG1" s="20" t="s">
        <v>297</v>
      </c>
      <c r="DQH1" s="21"/>
      <c r="DQI1" s="21"/>
      <c r="DQJ1" s="21"/>
      <c r="DQK1" s="21"/>
      <c r="DQL1" s="21"/>
      <c r="DQM1" s="21"/>
      <c r="DQN1" s="21"/>
      <c r="DQO1" s="21"/>
      <c r="DQP1" s="21"/>
      <c r="DQQ1" s="21"/>
      <c r="DQR1" s="21"/>
      <c r="DQS1" s="21"/>
      <c r="DQT1" s="21"/>
      <c r="DQU1" s="21"/>
      <c r="DQV1" s="21"/>
      <c r="DQW1" s="20" t="s">
        <v>297</v>
      </c>
      <c r="DQX1" s="21"/>
      <c r="DQY1" s="21"/>
      <c r="DQZ1" s="21"/>
      <c r="DRA1" s="21"/>
      <c r="DRB1" s="21"/>
      <c r="DRC1" s="21"/>
      <c r="DRD1" s="21"/>
      <c r="DRE1" s="21"/>
      <c r="DRF1" s="21"/>
      <c r="DRG1" s="21"/>
      <c r="DRH1" s="21"/>
      <c r="DRI1" s="21"/>
      <c r="DRJ1" s="21"/>
      <c r="DRK1" s="21"/>
      <c r="DRL1" s="21"/>
      <c r="DRM1" s="20" t="s">
        <v>297</v>
      </c>
      <c r="DRN1" s="21"/>
      <c r="DRO1" s="21"/>
      <c r="DRP1" s="21"/>
      <c r="DRQ1" s="21"/>
      <c r="DRR1" s="21"/>
      <c r="DRS1" s="21"/>
      <c r="DRT1" s="21"/>
      <c r="DRU1" s="21"/>
      <c r="DRV1" s="21"/>
      <c r="DRW1" s="21"/>
      <c r="DRX1" s="21"/>
      <c r="DRY1" s="21"/>
      <c r="DRZ1" s="21"/>
      <c r="DSA1" s="21"/>
      <c r="DSB1" s="21"/>
      <c r="DSC1" s="20" t="s">
        <v>297</v>
      </c>
      <c r="DSD1" s="21"/>
      <c r="DSE1" s="21"/>
      <c r="DSF1" s="21"/>
      <c r="DSG1" s="21"/>
      <c r="DSH1" s="21"/>
      <c r="DSI1" s="21"/>
      <c r="DSJ1" s="21"/>
      <c r="DSK1" s="21"/>
      <c r="DSL1" s="21"/>
      <c r="DSM1" s="21"/>
      <c r="DSN1" s="21"/>
      <c r="DSO1" s="21"/>
      <c r="DSP1" s="21"/>
      <c r="DSQ1" s="21"/>
      <c r="DSR1" s="21"/>
      <c r="DSS1" s="20" t="s">
        <v>297</v>
      </c>
      <c r="DST1" s="21"/>
      <c r="DSU1" s="21"/>
      <c r="DSV1" s="21"/>
      <c r="DSW1" s="21"/>
      <c r="DSX1" s="21"/>
      <c r="DSY1" s="21"/>
      <c r="DSZ1" s="21"/>
      <c r="DTA1" s="21"/>
      <c r="DTB1" s="21"/>
      <c r="DTC1" s="21"/>
      <c r="DTD1" s="21"/>
      <c r="DTE1" s="21"/>
      <c r="DTF1" s="21"/>
      <c r="DTG1" s="21"/>
      <c r="DTH1" s="21"/>
      <c r="DTI1" s="20" t="s">
        <v>297</v>
      </c>
      <c r="DTJ1" s="21"/>
      <c r="DTK1" s="21"/>
      <c r="DTL1" s="21"/>
      <c r="DTM1" s="21"/>
      <c r="DTN1" s="21"/>
      <c r="DTO1" s="21"/>
      <c r="DTP1" s="21"/>
      <c r="DTQ1" s="21"/>
      <c r="DTR1" s="21"/>
      <c r="DTS1" s="21"/>
      <c r="DTT1" s="21"/>
      <c r="DTU1" s="21"/>
      <c r="DTV1" s="21"/>
      <c r="DTW1" s="21"/>
      <c r="DTX1" s="21"/>
      <c r="DTY1" s="20" t="s">
        <v>297</v>
      </c>
      <c r="DTZ1" s="21"/>
      <c r="DUA1" s="21"/>
      <c r="DUB1" s="21"/>
      <c r="DUC1" s="21"/>
      <c r="DUD1" s="21"/>
      <c r="DUE1" s="21"/>
      <c r="DUF1" s="21"/>
      <c r="DUG1" s="21"/>
      <c r="DUH1" s="21"/>
      <c r="DUI1" s="21"/>
      <c r="DUJ1" s="21"/>
      <c r="DUK1" s="21"/>
      <c r="DUL1" s="21"/>
      <c r="DUM1" s="21"/>
      <c r="DUN1" s="21"/>
      <c r="DUO1" s="20" t="s">
        <v>297</v>
      </c>
      <c r="DUP1" s="21"/>
      <c r="DUQ1" s="21"/>
      <c r="DUR1" s="21"/>
      <c r="DUS1" s="21"/>
      <c r="DUT1" s="21"/>
      <c r="DUU1" s="21"/>
      <c r="DUV1" s="21"/>
      <c r="DUW1" s="21"/>
      <c r="DUX1" s="21"/>
      <c r="DUY1" s="21"/>
      <c r="DUZ1" s="21"/>
      <c r="DVA1" s="21"/>
      <c r="DVB1" s="21"/>
      <c r="DVC1" s="21"/>
      <c r="DVD1" s="21"/>
      <c r="DVE1" s="20" t="s">
        <v>297</v>
      </c>
      <c r="DVF1" s="21"/>
      <c r="DVG1" s="21"/>
      <c r="DVH1" s="21"/>
      <c r="DVI1" s="21"/>
      <c r="DVJ1" s="21"/>
      <c r="DVK1" s="21"/>
      <c r="DVL1" s="21"/>
      <c r="DVM1" s="21"/>
      <c r="DVN1" s="21"/>
      <c r="DVO1" s="21"/>
      <c r="DVP1" s="21"/>
      <c r="DVQ1" s="21"/>
      <c r="DVR1" s="21"/>
      <c r="DVS1" s="21"/>
      <c r="DVT1" s="21"/>
      <c r="DVU1" s="20" t="s">
        <v>297</v>
      </c>
      <c r="DVV1" s="21"/>
      <c r="DVW1" s="21"/>
      <c r="DVX1" s="21"/>
      <c r="DVY1" s="21"/>
      <c r="DVZ1" s="21"/>
      <c r="DWA1" s="21"/>
      <c r="DWB1" s="21"/>
      <c r="DWC1" s="21"/>
      <c r="DWD1" s="21"/>
      <c r="DWE1" s="21"/>
      <c r="DWF1" s="21"/>
      <c r="DWG1" s="21"/>
      <c r="DWH1" s="21"/>
      <c r="DWI1" s="21"/>
      <c r="DWJ1" s="21"/>
      <c r="DWK1" s="20" t="s">
        <v>297</v>
      </c>
      <c r="DWL1" s="21"/>
      <c r="DWM1" s="21"/>
      <c r="DWN1" s="21"/>
      <c r="DWO1" s="21"/>
      <c r="DWP1" s="21"/>
      <c r="DWQ1" s="21"/>
      <c r="DWR1" s="21"/>
      <c r="DWS1" s="21"/>
      <c r="DWT1" s="21"/>
      <c r="DWU1" s="21"/>
      <c r="DWV1" s="21"/>
      <c r="DWW1" s="21"/>
      <c r="DWX1" s="21"/>
      <c r="DWY1" s="21"/>
      <c r="DWZ1" s="21"/>
      <c r="DXA1" s="20" t="s">
        <v>297</v>
      </c>
      <c r="DXB1" s="21"/>
      <c r="DXC1" s="21"/>
      <c r="DXD1" s="21"/>
      <c r="DXE1" s="21"/>
      <c r="DXF1" s="21"/>
      <c r="DXG1" s="21"/>
      <c r="DXH1" s="21"/>
      <c r="DXI1" s="21"/>
      <c r="DXJ1" s="21"/>
      <c r="DXK1" s="21"/>
      <c r="DXL1" s="21"/>
      <c r="DXM1" s="21"/>
      <c r="DXN1" s="21"/>
      <c r="DXO1" s="21"/>
      <c r="DXP1" s="21"/>
      <c r="DXQ1" s="20" t="s">
        <v>297</v>
      </c>
      <c r="DXR1" s="21"/>
      <c r="DXS1" s="21"/>
      <c r="DXT1" s="21"/>
      <c r="DXU1" s="21"/>
      <c r="DXV1" s="21"/>
      <c r="DXW1" s="21"/>
      <c r="DXX1" s="21"/>
      <c r="DXY1" s="21"/>
      <c r="DXZ1" s="21"/>
      <c r="DYA1" s="21"/>
      <c r="DYB1" s="21"/>
      <c r="DYC1" s="21"/>
      <c r="DYD1" s="21"/>
      <c r="DYE1" s="21"/>
      <c r="DYF1" s="21"/>
      <c r="DYG1" s="20" t="s">
        <v>297</v>
      </c>
      <c r="DYH1" s="21"/>
      <c r="DYI1" s="21"/>
      <c r="DYJ1" s="21"/>
      <c r="DYK1" s="21"/>
      <c r="DYL1" s="21"/>
      <c r="DYM1" s="21"/>
      <c r="DYN1" s="21"/>
      <c r="DYO1" s="21"/>
      <c r="DYP1" s="21"/>
      <c r="DYQ1" s="21"/>
      <c r="DYR1" s="21"/>
      <c r="DYS1" s="21"/>
      <c r="DYT1" s="21"/>
      <c r="DYU1" s="21"/>
      <c r="DYV1" s="21"/>
      <c r="DYW1" s="20" t="s">
        <v>297</v>
      </c>
      <c r="DYX1" s="21"/>
      <c r="DYY1" s="21"/>
      <c r="DYZ1" s="21"/>
      <c r="DZA1" s="21"/>
      <c r="DZB1" s="21"/>
      <c r="DZC1" s="21"/>
      <c r="DZD1" s="21"/>
      <c r="DZE1" s="21"/>
      <c r="DZF1" s="21"/>
      <c r="DZG1" s="21"/>
      <c r="DZH1" s="21"/>
      <c r="DZI1" s="21"/>
      <c r="DZJ1" s="21"/>
      <c r="DZK1" s="21"/>
      <c r="DZL1" s="21"/>
      <c r="DZM1" s="20" t="s">
        <v>297</v>
      </c>
      <c r="DZN1" s="21"/>
      <c r="DZO1" s="21"/>
      <c r="DZP1" s="21"/>
      <c r="DZQ1" s="21"/>
      <c r="DZR1" s="21"/>
      <c r="DZS1" s="21"/>
      <c r="DZT1" s="21"/>
      <c r="DZU1" s="21"/>
      <c r="DZV1" s="21"/>
      <c r="DZW1" s="21"/>
      <c r="DZX1" s="21"/>
      <c r="DZY1" s="21"/>
      <c r="DZZ1" s="21"/>
      <c r="EAA1" s="21"/>
      <c r="EAB1" s="21"/>
      <c r="EAC1" s="20" t="s">
        <v>297</v>
      </c>
      <c r="EAD1" s="21"/>
      <c r="EAE1" s="21"/>
      <c r="EAF1" s="21"/>
      <c r="EAG1" s="21"/>
      <c r="EAH1" s="21"/>
      <c r="EAI1" s="21"/>
      <c r="EAJ1" s="21"/>
      <c r="EAK1" s="21"/>
      <c r="EAL1" s="21"/>
      <c r="EAM1" s="21"/>
      <c r="EAN1" s="21"/>
      <c r="EAO1" s="21"/>
      <c r="EAP1" s="21"/>
      <c r="EAQ1" s="21"/>
      <c r="EAR1" s="21"/>
      <c r="EAS1" s="20" t="s">
        <v>297</v>
      </c>
      <c r="EAT1" s="21"/>
      <c r="EAU1" s="21"/>
      <c r="EAV1" s="21"/>
      <c r="EAW1" s="21"/>
      <c r="EAX1" s="21"/>
      <c r="EAY1" s="21"/>
      <c r="EAZ1" s="21"/>
      <c r="EBA1" s="21"/>
      <c r="EBB1" s="21"/>
      <c r="EBC1" s="21"/>
      <c r="EBD1" s="21"/>
      <c r="EBE1" s="21"/>
      <c r="EBF1" s="21"/>
      <c r="EBG1" s="21"/>
      <c r="EBH1" s="21"/>
      <c r="EBI1" s="20" t="s">
        <v>297</v>
      </c>
      <c r="EBJ1" s="21"/>
      <c r="EBK1" s="21"/>
      <c r="EBL1" s="21"/>
      <c r="EBM1" s="21"/>
      <c r="EBN1" s="21"/>
      <c r="EBO1" s="21"/>
      <c r="EBP1" s="21"/>
      <c r="EBQ1" s="21"/>
      <c r="EBR1" s="21"/>
      <c r="EBS1" s="21"/>
      <c r="EBT1" s="21"/>
      <c r="EBU1" s="21"/>
      <c r="EBV1" s="21"/>
      <c r="EBW1" s="21"/>
      <c r="EBX1" s="21"/>
      <c r="EBY1" s="20" t="s">
        <v>297</v>
      </c>
      <c r="EBZ1" s="21"/>
      <c r="ECA1" s="21"/>
      <c r="ECB1" s="21"/>
      <c r="ECC1" s="21"/>
      <c r="ECD1" s="21"/>
      <c r="ECE1" s="21"/>
      <c r="ECF1" s="21"/>
      <c r="ECG1" s="21"/>
      <c r="ECH1" s="21"/>
      <c r="ECI1" s="21"/>
      <c r="ECJ1" s="21"/>
      <c r="ECK1" s="21"/>
      <c r="ECL1" s="21"/>
      <c r="ECM1" s="21"/>
      <c r="ECN1" s="21"/>
      <c r="ECO1" s="20" t="s">
        <v>297</v>
      </c>
      <c r="ECP1" s="21"/>
      <c r="ECQ1" s="21"/>
      <c r="ECR1" s="21"/>
      <c r="ECS1" s="21"/>
      <c r="ECT1" s="21"/>
      <c r="ECU1" s="21"/>
      <c r="ECV1" s="21"/>
      <c r="ECW1" s="21"/>
      <c r="ECX1" s="21"/>
      <c r="ECY1" s="21"/>
      <c r="ECZ1" s="21"/>
      <c r="EDA1" s="21"/>
      <c r="EDB1" s="21"/>
      <c r="EDC1" s="21"/>
      <c r="EDD1" s="21"/>
      <c r="EDE1" s="20" t="s">
        <v>297</v>
      </c>
      <c r="EDF1" s="21"/>
      <c r="EDG1" s="21"/>
      <c r="EDH1" s="21"/>
      <c r="EDI1" s="21"/>
      <c r="EDJ1" s="21"/>
      <c r="EDK1" s="21"/>
      <c r="EDL1" s="21"/>
      <c r="EDM1" s="21"/>
      <c r="EDN1" s="21"/>
      <c r="EDO1" s="21"/>
      <c r="EDP1" s="21"/>
      <c r="EDQ1" s="21"/>
      <c r="EDR1" s="21"/>
      <c r="EDS1" s="21"/>
      <c r="EDT1" s="21"/>
      <c r="EDU1" s="20" t="s">
        <v>297</v>
      </c>
      <c r="EDV1" s="21"/>
      <c r="EDW1" s="21"/>
      <c r="EDX1" s="21"/>
      <c r="EDY1" s="21"/>
      <c r="EDZ1" s="21"/>
      <c r="EEA1" s="21"/>
      <c r="EEB1" s="21"/>
      <c r="EEC1" s="21"/>
      <c r="EED1" s="21"/>
      <c r="EEE1" s="21"/>
      <c r="EEF1" s="21"/>
      <c r="EEG1" s="21"/>
      <c r="EEH1" s="21"/>
      <c r="EEI1" s="21"/>
      <c r="EEJ1" s="21"/>
      <c r="EEK1" s="20" t="s">
        <v>297</v>
      </c>
      <c r="EEL1" s="21"/>
      <c r="EEM1" s="21"/>
      <c r="EEN1" s="21"/>
      <c r="EEO1" s="21"/>
      <c r="EEP1" s="21"/>
      <c r="EEQ1" s="21"/>
      <c r="EER1" s="21"/>
      <c r="EES1" s="21"/>
      <c r="EET1" s="21"/>
      <c r="EEU1" s="21"/>
      <c r="EEV1" s="21"/>
      <c r="EEW1" s="21"/>
      <c r="EEX1" s="21"/>
      <c r="EEY1" s="21"/>
      <c r="EEZ1" s="21"/>
      <c r="EFA1" s="20" t="s">
        <v>297</v>
      </c>
      <c r="EFB1" s="21"/>
      <c r="EFC1" s="21"/>
      <c r="EFD1" s="21"/>
      <c r="EFE1" s="21"/>
      <c r="EFF1" s="21"/>
      <c r="EFG1" s="21"/>
      <c r="EFH1" s="21"/>
      <c r="EFI1" s="21"/>
      <c r="EFJ1" s="21"/>
      <c r="EFK1" s="21"/>
      <c r="EFL1" s="21"/>
      <c r="EFM1" s="21"/>
      <c r="EFN1" s="21"/>
      <c r="EFO1" s="21"/>
      <c r="EFP1" s="21"/>
      <c r="EFQ1" s="20" t="s">
        <v>297</v>
      </c>
      <c r="EFR1" s="21"/>
      <c r="EFS1" s="21"/>
      <c r="EFT1" s="21"/>
      <c r="EFU1" s="21"/>
      <c r="EFV1" s="21"/>
      <c r="EFW1" s="21"/>
      <c r="EFX1" s="21"/>
      <c r="EFY1" s="21"/>
      <c r="EFZ1" s="21"/>
      <c r="EGA1" s="21"/>
      <c r="EGB1" s="21"/>
      <c r="EGC1" s="21"/>
      <c r="EGD1" s="21"/>
      <c r="EGE1" s="21"/>
      <c r="EGF1" s="21"/>
      <c r="EGG1" s="20" t="s">
        <v>297</v>
      </c>
      <c r="EGH1" s="21"/>
      <c r="EGI1" s="21"/>
      <c r="EGJ1" s="21"/>
      <c r="EGK1" s="21"/>
      <c r="EGL1" s="21"/>
      <c r="EGM1" s="21"/>
      <c r="EGN1" s="21"/>
      <c r="EGO1" s="21"/>
      <c r="EGP1" s="21"/>
      <c r="EGQ1" s="21"/>
      <c r="EGR1" s="21"/>
      <c r="EGS1" s="21"/>
      <c r="EGT1" s="21"/>
      <c r="EGU1" s="21"/>
      <c r="EGV1" s="21"/>
      <c r="EGW1" s="20" t="s">
        <v>297</v>
      </c>
      <c r="EGX1" s="21"/>
      <c r="EGY1" s="21"/>
      <c r="EGZ1" s="21"/>
      <c r="EHA1" s="21"/>
      <c r="EHB1" s="21"/>
      <c r="EHC1" s="21"/>
      <c r="EHD1" s="21"/>
      <c r="EHE1" s="21"/>
      <c r="EHF1" s="21"/>
      <c r="EHG1" s="21"/>
      <c r="EHH1" s="21"/>
      <c r="EHI1" s="21"/>
      <c r="EHJ1" s="21"/>
      <c r="EHK1" s="21"/>
      <c r="EHL1" s="21"/>
      <c r="EHM1" s="20" t="s">
        <v>297</v>
      </c>
      <c r="EHN1" s="21"/>
      <c r="EHO1" s="21"/>
      <c r="EHP1" s="21"/>
      <c r="EHQ1" s="21"/>
      <c r="EHR1" s="21"/>
      <c r="EHS1" s="21"/>
      <c r="EHT1" s="21"/>
      <c r="EHU1" s="21"/>
      <c r="EHV1" s="21"/>
      <c r="EHW1" s="21"/>
      <c r="EHX1" s="21"/>
      <c r="EHY1" s="21"/>
      <c r="EHZ1" s="21"/>
      <c r="EIA1" s="21"/>
      <c r="EIB1" s="21"/>
      <c r="EIC1" s="20" t="s">
        <v>297</v>
      </c>
      <c r="EID1" s="21"/>
      <c r="EIE1" s="21"/>
      <c r="EIF1" s="21"/>
      <c r="EIG1" s="21"/>
      <c r="EIH1" s="21"/>
      <c r="EII1" s="21"/>
      <c r="EIJ1" s="21"/>
      <c r="EIK1" s="21"/>
      <c r="EIL1" s="21"/>
      <c r="EIM1" s="21"/>
      <c r="EIN1" s="21"/>
      <c r="EIO1" s="21"/>
      <c r="EIP1" s="21"/>
      <c r="EIQ1" s="21"/>
      <c r="EIR1" s="21"/>
      <c r="EIS1" s="20" t="s">
        <v>297</v>
      </c>
      <c r="EIT1" s="21"/>
      <c r="EIU1" s="21"/>
      <c r="EIV1" s="21"/>
      <c r="EIW1" s="21"/>
      <c r="EIX1" s="21"/>
      <c r="EIY1" s="21"/>
      <c r="EIZ1" s="21"/>
      <c r="EJA1" s="21"/>
      <c r="EJB1" s="21"/>
      <c r="EJC1" s="21"/>
      <c r="EJD1" s="21"/>
      <c r="EJE1" s="21"/>
      <c r="EJF1" s="21"/>
      <c r="EJG1" s="21"/>
      <c r="EJH1" s="21"/>
      <c r="EJI1" s="20" t="s">
        <v>297</v>
      </c>
      <c r="EJJ1" s="21"/>
      <c r="EJK1" s="21"/>
      <c r="EJL1" s="21"/>
      <c r="EJM1" s="21"/>
      <c r="EJN1" s="21"/>
      <c r="EJO1" s="21"/>
      <c r="EJP1" s="21"/>
      <c r="EJQ1" s="21"/>
      <c r="EJR1" s="21"/>
      <c r="EJS1" s="21"/>
      <c r="EJT1" s="21"/>
      <c r="EJU1" s="21"/>
      <c r="EJV1" s="21"/>
      <c r="EJW1" s="21"/>
      <c r="EJX1" s="21"/>
      <c r="EJY1" s="20" t="s">
        <v>297</v>
      </c>
      <c r="EJZ1" s="21"/>
      <c r="EKA1" s="21"/>
      <c r="EKB1" s="21"/>
      <c r="EKC1" s="21"/>
      <c r="EKD1" s="21"/>
      <c r="EKE1" s="21"/>
      <c r="EKF1" s="21"/>
      <c r="EKG1" s="21"/>
      <c r="EKH1" s="21"/>
      <c r="EKI1" s="21"/>
      <c r="EKJ1" s="21"/>
      <c r="EKK1" s="21"/>
      <c r="EKL1" s="21"/>
      <c r="EKM1" s="21"/>
      <c r="EKN1" s="21"/>
      <c r="EKO1" s="20" t="s">
        <v>297</v>
      </c>
      <c r="EKP1" s="21"/>
      <c r="EKQ1" s="21"/>
      <c r="EKR1" s="21"/>
      <c r="EKS1" s="21"/>
      <c r="EKT1" s="21"/>
      <c r="EKU1" s="21"/>
      <c r="EKV1" s="21"/>
      <c r="EKW1" s="21"/>
      <c r="EKX1" s="21"/>
      <c r="EKY1" s="21"/>
      <c r="EKZ1" s="21"/>
      <c r="ELA1" s="21"/>
      <c r="ELB1" s="21"/>
      <c r="ELC1" s="21"/>
      <c r="ELD1" s="21"/>
      <c r="ELE1" s="20" t="s">
        <v>297</v>
      </c>
      <c r="ELF1" s="21"/>
      <c r="ELG1" s="21"/>
      <c r="ELH1" s="21"/>
      <c r="ELI1" s="21"/>
      <c r="ELJ1" s="21"/>
      <c r="ELK1" s="21"/>
      <c r="ELL1" s="21"/>
      <c r="ELM1" s="21"/>
      <c r="ELN1" s="21"/>
      <c r="ELO1" s="21"/>
      <c r="ELP1" s="21"/>
      <c r="ELQ1" s="21"/>
      <c r="ELR1" s="21"/>
      <c r="ELS1" s="21"/>
      <c r="ELT1" s="21"/>
      <c r="ELU1" s="20" t="s">
        <v>297</v>
      </c>
      <c r="ELV1" s="21"/>
      <c r="ELW1" s="21"/>
      <c r="ELX1" s="21"/>
      <c r="ELY1" s="21"/>
      <c r="ELZ1" s="21"/>
      <c r="EMA1" s="21"/>
      <c r="EMB1" s="21"/>
      <c r="EMC1" s="21"/>
      <c r="EMD1" s="21"/>
      <c r="EME1" s="21"/>
      <c r="EMF1" s="21"/>
      <c r="EMG1" s="21"/>
      <c r="EMH1" s="21"/>
      <c r="EMI1" s="21"/>
      <c r="EMJ1" s="21"/>
      <c r="EMK1" s="20" t="s">
        <v>297</v>
      </c>
      <c r="EML1" s="21"/>
      <c r="EMM1" s="21"/>
      <c r="EMN1" s="21"/>
      <c r="EMO1" s="21"/>
      <c r="EMP1" s="21"/>
      <c r="EMQ1" s="21"/>
      <c r="EMR1" s="21"/>
      <c r="EMS1" s="21"/>
      <c r="EMT1" s="21"/>
      <c r="EMU1" s="21"/>
      <c r="EMV1" s="21"/>
      <c r="EMW1" s="21"/>
      <c r="EMX1" s="21"/>
      <c r="EMY1" s="21"/>
      <c r="EMZ1" s="21"/>
      <c r="ENA1" s="20" t="s">
        <v>297</v>
      </c>
      <c r="ENB1" s="21"/>
      <c r="ENC1" s="21"/>
      <c r="END1" s="21"/>
      <c r="ENE1" s="21"/>
      <c r="ENF1" s="21"/>
      <c r="ENG1" s="21"/>
      <c r="ENH1" s="21"/>
      <c r="ENI1" s="21"/>
      <c r="ENJ1" s="21"/>
      <c r="ENK1" s="21"/>
      <c r="ENL1" s="21"/>
      <c r="ENM1" s="21"/>
      <c r="ENN1" s="21"/>
      <c r="ENO1" s="21"/>
      <c r="ENP1" s="21"/>
      <c r="ENQ1" s="20" t="s">
        <v>297</v>
      </c>
      <c r="ENR1" s="21"/>
      <c r="ENS1" s="21"/>
      <c r="ENT1" s="21"/>
      <c r="ENU1" s="21"/>
      <c r="ENV1" s="21"/>
      <c r="ENW1" s="21"/>
      <c r="ENX1" s="21"/>
      <c r="ENY1" s="21"/>
      <c r="ENZ1" s="21"/>
      <c r="EOA1" s="21"/>
      <c r="EOB1" s="21"/>
      <c r="EOC1" s="21"/>
      <c r="EOD1" s="21"/>
      <c r="EOE1" s="21"/>
      <c r="EOF1" s="21"/>
      <c r="EOG1" s="20" t="s">
        <v>297</v>
      </c>
      <c r="EOH1" s="21"/>
      <c r="EOI1" s="21"/>
      <c r="EOJ1" s="21"/>
      <c r="EOK1" s="21"/>
      <c r="EOL1" s="21"/>
      <c r="EOM1" s="21"/>
      <c r="EON1" s="21"/>
      <c r="EOO1" s="21"/>
      <c r="EOP1" s="21"/>
      <c r="EOQ1" s="21"/>
      <c r="EOR1" s="21"/>
      <c r="EOS1" s="21"/>
      <c r="EOT1" s="21"/>
      <c r="EOU1" s="21"/>
      <c r="EOV1" s="21"/>
      <c r="EOW1" s="20" t="s">
        <v>297</v>
      </c>
      <c r="EOX1" s="21"/>
      <c r="EOY1" s="21"/>
      <c r="EOZ1" s="21"/>
      <c r="EPA1" s="21"/>
      <c r="EPB1" s="21"/>
      <c r="EPC1" s="21"/>
      <c r="EPD1" s="21"/>
      <c r="EPE1" s="21"/>
      <c r="EPF1" s="21"/>
      <c r="EPG1" s="21"/>
      <c r="EPH1" s="21"/>
      <c r="EPI1" s="21"/>
      <c r="EPJ1" s="21"/>
      <c r="EPK1" s="21"/>
      <c r="EPL1" s="21"/>
      <c r="EPM1" s="20" t="s">
        <v>297</v>
      </c>
      <c r="EPN1" s="21"/>
      <c r="EPO1" s="21"/>
      <c r="EPP1" s="21"/>
      <c r="EPQ1" s="21"/>
      <c r="EPR1" s="21"/>
      <c r="EPS1" s="21"/>
      <c r="EPT1" s="21"/>
      <c r="EPU1" s="21"/>
      <c r="EPV1" s="21"/>
      <c r="EPW1" s="21"/>
      <c r="EPX1" s="21"/>
      <c r="EPY1" s="21"/>
      <c r="EPZ1" s="21"/>
      <c r="EQA1" s="21"/>
      <c r="EQB1" s="21"/>
      <c r="EQC1" s="20" t="s">
        <v>297</v>
      </c>
      <c r="EQD1" s="21"/>
      <c r="EQE1" s="21"/>
      <c r="EQF1" s="21"/>
      <c r="EQG1" s="21"/>
      <c r="EQH1" s="21"/>
      <c r="EQI1" s="21"/>
      <c r="EQJ1" s="21"/>
      <c r="EQK1" s="21"/>
      <c r="EQL1" s="21"/>
      <c r="EQM1" s="21"/>
      <c r="EQN1" s="21"/>
      <c r="EQO1" s="21"/>
      <c r="EQP1" s="21"/>
      <c r="EQQ1" s="21"/>
      <c r="EQR1" s="21"/>
      <c r="EQS1" s="20" t="s">
        <v>297</v>
      </c>
      <c r="EQT1" s="21"/>
      <c r="EQU1" s="21"/>
      <c r="EQV1" s="21"/>
      <c r="EQW1" s="21"/>
      <c r="EQX1" s="21"/>
      <c r="EQY1" s="21"/>
      <c r="EQZ1" s="21"/>
      <c r="ERA1" s="21"/>
      <c r="ERB1" s="21"/>
      <c r="ERC1" s="21"/>
      <c r="ERD1" s="21"/>
      <c r="ERE1" s="21"/>
      <c r="ERF1" s="21"/>
      <c r="ERG1" s="21"/>
      <c r="ERH1" s="21"/>
      <c r="ERI1" s="20" t="s">
        <v>297</v>
      </c>
      <c r="ERJ1" s="21"/>
      <c r="ERK1" s="21"/>
      <c r="ERL1" s="21"/>
      <c r="ERM1" s="21"/>
      <c r="ERN1" s="21"/>
      <c r="ERO1" s="21"/>
      <c r="ERP1" s="21"/>
      <c r="ERQ1" s="21"/>
      <c r="ERR1" s="21"/>
      <c r="ERS1" s="21"/>
      <c r="ERT1" s="21"/>
      <c r="ERU1" s="21"/>
      <c r="ERV1" s="21"/>
      <c r="ERW1" s="21"/>
      <c r="ERX1" s="21"/>
      <c r="ERY1" s="20" t="s">
        <v>297</v>
      </c>
      <c r="ERZ1" s="21"/>
      <c r="ESA1" s="21"/>
      <c r="ESB1" s="21"/>
      <c r="ESC1" s="21"/>
      <c r="ESD1" s="21"/>
      <c r="ESE1" s="21"/>
      <c r="ESF1" s="21"/>
      <c r="ESG1" s="21"/>
      <c r="ESH1" s="21"/>
      <c r="ESI1" s="21"/>
      <c r="ESJ1" s="21"/>
      <c r="ESK1" s="21"/>
      <c r="ESL1" s="21"/>
      <c r="ESM1" s="21"/>
      <c r="ESN1" s="21"/>
      <c r="ESO1" s="20" t="s">
        <v>297</v>
      </c>
      <c r="ESP1" s="21"/>
      <c r="ESQ1" s="21"/>
      <c r="ESR1" s="21"/>
      <c r="ESS1" s="21"/>
      <c r="EST1" s="21"/>
      <c r="ESU1" s="21"/>
      <c r="ESV1" s="21"/>
      <c r="ESW1" s="21"/>
      <c r="ESX1" s="21"/>
      <c r="ESY1" s="21"/>
      <c r="ESZ1" s="21"/>
      <c r="ETA1" s="21"/>
      <c r="ETB1" s="21"/>
      <c r="ETC1" s="21"/>
      <c r="ETD1" s="21"/>
      <c r="ETE1" s="20" t="s">
        <v>297</v>
      </c>
      <c r="ETF1" s="21"/>
      <c r="ETG1" s="21"/>
      <c r="ETH1" s="21"/>
      <c r="ETI1" s="21"/>
      <c r="ETJ1" s="21"/>
      <c r="ETK1" s="21"/>
      <c r="ETL1" s="21"/>
      <c r="ETM1" s="21"/>
      <c r="ETN1" s="21"/>
      <c r="ETO1" s="21"/>
      <c r="ETP1" s="21"/>
      <c r="ETQ1" s="21"/>
      <c r="ETR1" s="21"/>
      <c r="ETS1" s="21"/>
      <c r="ETT1" s="21"/>
      <c r="ETU1" s="20" t="s">
        <v>297</v>
      </c>
      <c r="ETV1" s="21"/>
      <c r="ETW1" s="21"/>
      <c r="ETX1" s="21"/>
      <c r="ETY1" s="21"/>
      <c r="ETZ1" s="21"/>
      <c r="EUA1" s="21"/>
      <c r="EUB1" s="21"/>
      <c r="EUC1" s="21"/>
      <c r="EUD1" s="21"/>
      <c r="EUE1" s="21"/>
      <c r="EUF1" s="21"/>
      <c r="EUG1" s="21"/>
      <c r="EUH1" s="21"/>
      <c r="EUI1" s="21"/>
      <c r="EUJ1" s="21"/>
      <c r="EUK1" s="20" t="s">
        <v>297</v>
      </c>
      <c r="EUL1" s="21"/>
      <c r="EUM1" s="21"/>
      <c r="EUN1" s="21"/>
      <c r="EUO1" s="21"/>
      <c r="EUP1" s="21"/>
      <c r="EUQ1" s="21"/>
      <c r="EUR1" s="21"/>
      <c r="EUS1" s="21"/>
      <c r="EUT1" s="21"/>
      <c r="EUU1" s="21"/>
      <c r="EUV1" s="21"/>
      <c r="EUW1" s="21"/>
      <c r="EUX1" s="21"/>
      <c r="EUY1" s="21"/>
      <c r="EUZ1" s="21"/>
      <c r="EVA1" s="20" t="s">
        <v>297</v>
      </c>
      <c r="EVB1" s="21"/>
      <c r="EVC1" s="21"/>
      <c r="EVD1" s="21"/>
      <c r="EVE1" s="21"/>
      <c r="EVF1" s="21"/>
      <c r="EVG1" s="21"/>
      <c r="EVH1" s="21"/>
      <c r="EVI1" s="21"/>
      <c r="EVJ1" s="21"/>
      <c r="EVK1" s="21"/>
      <c r="EVL1" s="21"/>
      <c r="EVM1" s="21"/>
      <c r="EVN1" s="21"/>
      <c r="EVO1" s="21"/>
      <c r="EVP1" s="21"/>
      <c r="EVQ1" s="20" t="s">
        <v>297</v>
      </c>
      <c r="EVR1" s="21"/>
      <c r="EVS1" s="21"/>
      <c r="EVT1" s="21"/>
      <c r="EVU1" s="21"/>
      <c r="EVV1" s="21"/>
      <c r="EVW1" s="21"/>
      <c r="EVX1" s="21"/>
      <c r="EVY1" s="21"/>
      <c r="EVZ1" s="21"/>
      <c r="EWA1" s="21"/>
      <c r="EWB1" s="21"/>
      <c r="EWC1" s="21"/>
      <c r="EWD1" s="21"/>
      <c r="EWE1" s="21"/>
      <c r="EWF1" s="21"/>
      <c r="EWG1" s="20" t="s">
        <v>297</v>
      </c>
      <c r="EWH1" s="21"/>
      <c r="EWI1" s="21"/>
      <c r="EWJ1" s="21"/>
      <c r="EWK1" s="21"/>
      <c r="EWL1" s="21"/>
      <c r="EWM1" s="21"/>
      <c r="EWN1" s="21"/>
      <c r="EWO1" s="21"/>
      <c r="EWP1" s="21"/>
      <c r="EWQ1" s="21"/>
      <c r="EWR1" s="21"/>
      <c r="EWS1" s="21"/>
      <c r="EWT1" s="21"/>
      <c r="EWU1" s="21"/>
      <c r="EWV1" s="21"/>
      <c r="EWW1" s="20" t="s">
        <v>297</v>
      </c>
      <c r="EWX1" s="21"/>
      <c r="EWY1" s="21"/>
      <c r="EWZ1" s="21"/>
      <c r="EXA1" s="21"/>
      <c r="EXB1" s="21"/>
      <c r="EXC1" s="21"/>
      <c r="EXD1" s="21"/>
      <c r="EXE1" s="21"/>
      <c r="EXF1" s="21"/>
      <c r="EXG1" s="21"/>
      <c r="EXH1" s="21"/>
      <c r="EXI1" s="21"/>
      <c r="EXJ1" s="21"/>
      <c r="EXK1" s="21"/>
      <c r="EXL1" s="21"/>
      <c r="EXM1" s="20" t="s">
        <v>297</v>
      </c>
      <c r="EXN1" s="21"/>
      <c r="EXO1" s="21"/>
      <c r="EXP1" s="21"/>
      <c r="EXQ1" s="21"/>
      <c r="EXR1" s="21"/>
      <c r="EXS1" s="21"/>
      <c r="EXT1" s="21"/>
      <c r="EXU1" s="21"/>
      <c r="EXV1" s="21"/>
      <c r="EXW1" s="21"/>
      <c r="EXX1" s="21"/>
      <c r="EXY1" s="21"/>
      <c r="EXZ1" s="21"/>
      <c r="EYA1" s="21"/>
      <c r="EYB1" s="21"/>
      <c r="EYC1" s="20" t="s">
        <v>297</v>
      </c>
      <c r="EYD1" s="21"/>
      <c r="EYE1" s="21"/>
      <c r="EYF1" s="21"/>
      <c r="EYG1" s="21"/>
      <c r="EYH1" s="21"/>
      <c r="EYI1" s="21"/>
      <c r="EYJ1" s="21"/>
      <c r="EYK1" s="21"/>
      <c r="EYL1" s="21"/>
      <c r="EYM1" s="21"/>
      <c r="EYN1" s="21"/>
      <c r="EYO1" s="21"/>
      <c r="EYP1" s="21"/>
      <c r="EYQ1" s="21"/>
      <c r="EYR1" s="21"/>
      <c r="EYS1" s="20" t="s">
        <v>297</v>
      </c>
      <c r="EYT1" s="21"/>
      <c r="EYU1" s="21"/>
      <c r="EYV1" s="21"/>
      <c r="EYW1" s="21"/>
      <c r="EYX1" s="21"/>
      <c r="EYY1" s="21"/>
      <c r="EYZ1" s="21"/>
      <c r="EZA1" s="21"/>
      <c r="EZB1" s="21"/>
      <c r="EZC1" s="21"/>
      <c r="EZD1" s="21"/>
      <c r="EZE1" s="21"/>
      <c r="EZF1" s="21"/>
      <c r="EZG1" s="21"/>
      <c r="EZH1" s="21"/>
      <c r="EZI1" s="20" t="s">
        <v>297</v>
      </c>
      <c r="EZJ1" s="21"/>
      <c r="EZK1" s="21"/>
      <c r="EZL1" s="21"/>
      <c r="EZM1" s="21"/>
      <c r="EZN1" s="21"/>
      <c r="EZO1" s="21"/>
      <c r="EZP1" s="21"/>
      <c r="EZQ1" s="21"/>
      <c r="EZR1" s="21"/>
      <c r="EZS1" s="21"/>
      <c r="EZT1" s="21"/>
      <c r="EZU1" s="21"/>
      <c r="EZV1" s="21"/>
      <c r="EZW1" s="21"/>
      <c r="EZX1" s="21"/>
      <c r="EZY1" s="20" t="s">
        <v>297</v>
      </c>
      <c r="EZZ1" s="21"/>
      <c r="FAA1" s="21"/>
      <c r="FAB1" s="21"/>
      <c r="FAC1" s="21"/>
      <c r="FAD1" s="21"/>
      <c r="FAE1" s="21"/>
      <c r="FAF1" s="21"/>
      <c r="FAG1" s="21"/>
      <c r="FAH1" s="21"/>
      <c r="FAI1" s="21"/>
      <c r="FAJ1" s="21"/>
      <c r="FAK1" s="21"/>
      <c r="FAL1" s="21"/>
      <c r="FAM1" s="21"/>
      <c r="FAN1" s="21"/>
      <c r="FAO1" s="20" t="s">
        <v>297</v>
      </c>
      <c r="FAP1" s="21"/>
      <c r="FAQ1" s="21"/>
      <c r="FAR1" s="21"/>
      <c r="FAS1" s="21"/>
      <c r="FAT1" s="21"/>
      <c r="FAU1" s="21"/>
      <c r="FAV1" s="21"/>
      <c r="FAW1" s="21"/>
      <c r="FAX1" s="21"/>
      <c r="FAY1" s="21"/>
      <c r="FAZ1" s="21"/>
      <c r="FBA1" s="21"/>
      <c r="FBB1" s="21"/>
      <c r="FBC1" s="21"/>
      <c r="FBD1" s="21"/>
      <c r="FBE1" s="20" t="s">
        <v>297</v>
      </c>
      <c r="FBF1" s="21"/>
      <c r="FBG1" s="21"/>
      <c r="FBH1" s="21"/>
      <c r="FBI1" s="21"/>
      <c r="FBJ1" s="21"/>
      <c r="FBK1" s="21"/>
      <c r="FBL1" s="21"/>
      <c r="FBM1" s="21"/>
      <c r="FBN1" s="21"/>
      <c r="FBO1" s="21"/>
      <c r="FBP1" s="21"/>
      <c r="FBQ1" s="21"/>
      <c r="FBR1" s="21"/>
      <c r="FBS1" s="21"/>
      <c r="FBT1" s="21"/>
      <c r="FBU1" s="20" t="s">
        <v>297</v>
      </c>
      <c r="FBV1" s="21"/>
      <c r="FBW1" s="21"/>
      <c r="FBX1" s="21"/>
      <c r="FBY1" s="21"/>
      <c r="FBZ1" s="21"/>
      <c r="FCA1" s="21"/>
      <c r="FCB1" s="21"/>
      <c r="FCC1" s="21"/>
      <c r="FCD1" s="21"/>
      <c r="FCE1" s="21"/>
      <c r="FCF1" s="21"/>
      <c r="FCG1" s="21"/>
      <c r="FCH1" s="21"/>
      <c r="FCI1" s="21"/>
      <c r="FCJ1" s="21"/>
      <c r="FCK1" s="20" t="s">
        <v>297</v>
      </c>
      <c r="FCL1" s="21"/>
      <c r="FCM1" s="21"/>
      <c r="FCN1" s="21"/>
      <c r="FCO1" s="21"/>
      <c r="FCP1" s="21"/>
      <c r="FCQ1" s="21"/>
      <c r="FCR1" s="21"/>
      <c r="FCS1" s="21"/>
      <c r="FCT1" s="21"/>
      <c r="FCU1" s="21"/>
      <c r="FCV1" s="21"/>
      <c r="FCW1" s="21"/>
      <c r="FCX1" s="21"/>
      <c r="FCY1" s="21"/>
      <c r="FCZ1" s="21"/>
      <c r="FDA1" s="20" t="s">
        <v>297</v>
      </c>
      <c r="FDB1" s="21"/>
      <c r="FDC1" s="21"/>
      <c r="FDD1" s="21"/>
      <c r="FDE1" s="21"/>
      <c r="FDF1" s="21"/>
      <c r="FDG1" s="21"/>
      <c r="FDH1" s="21"/>
      <c r="FDI1" s="21"/>
      <c r="FDJ1" s="21"/>
      <c r="FDK1" s="21"/>
      <c r="FDL1" s="21"/>
      <c r="FDM1" s="21"/>
      <c r="FDN1" s="21"/>
      <c r="FDO1" s="21"/>
      <c r="FDP1" s="21"/>
      <c r="FDQ1" s="20" t="s">
        <v>297</v>
      </c>
      <c r="FDR1" s="21"/>
      <c r="FDS1" s="21"/>
      <c r="FDT1" s="21"/>
      <c r="FDU1" s="21"/>
      <c r="FDV1" s="21"/>
      <c r="FDW1" s="21"/>
      <c r="FDX1" s="21"/>
      <c r="FDY1" s="21"/>
      <c r="FDZ1" s="21"/>
      <c r="FEA1" s="21"/>
      <c r="FEB1" s="21"/>
      <c r="FEC1" s="21"/>
      <c r="FED1" s="21"/>
      <c r="FEE1" s="21"/>
      <c r="FEF1" s="21"/>
      <c r="FEG1" s="20" t="s">
        <v>297</v>
      </c>
      <c r="FEH1" s="21"/>
      <c r="FEI1" s="21"/>
      <c r="FEJ1" s="21"/>
      <c r="FEK1" s="21"/>
      <c r="FEL1" s="21"/>
      <c r="FEM1" s="21"/>
      <c r="FEN1" s="21"/>
      <c r="FEO1" s="21"/>
      <c r="FEP1" s="21"/>
      <c r="FEQ1" s="21"/>
      <c r="FER1" s="21"/>
      <c r="FES1" s="21"/>
      <c r="FET1" s="21"/>
      <c r="FEU1" s="21"/>
      <c r="FEV1" s="21"/>
      <c r="FEW1" s="20" t="s">
        <v>297</v>
      </c>
      <c r="FEX1" s="21"/>
      <c r="FEY1" s="21"/>
      <c r="FEZ1" s="21"/>
      <c r="FFA1" s="21"/>
      <c r="FFB1" s="21"/>
      <c r="FFC1" s="21"/>
      <c r="FFD1" s="21"/>
      <c r="FFE1" s="21"/>
      <c r="FFF1" s="21"/>
      <c r="FFG1" s="21"/>
      <c r="FFH1" s="21"/>
      <c r="FFI1" s="21"/>
      <c r="FFJ1" s="21"/>
      <c r="FFK1" s="21"/>
      <c r="FFL1" s="21"/>
      <c r="FFM1" s="20" t="s">
        <v>297</v>
      </c>
      <c r="FFN1" s="21"/>
      <c r="FFO1" s="21"/>
      <c r="FFP1" s="21"/>
      <c r="FFQ1" s="21"/>
      <c r="FFR1" s="21"/>
      <c r="FFS1" s="21"/>
      <c r="FFT1" s="21"/>
      <c r="FFU1" s="21"/>
      <c r="FFV1" s="21"/>
      <c r="FFW1" s="21"/>
      <c r="FFX1" s="21"/>
      <c r="FFY1" s="21"/>
      <c r="FFZ1" s="21"/>
      <c r="FGA1" s="21"/>
      <c r="FGB1" s="21"/>
      <c r="FGC1" s="20" t="s">
        <v>297</v>
      </c>
      <c r="FGD1" s="21"/>
      <c r="FGE1" s="21"/>
      <c r="FGF1" s="21"/>
      <c r="FGG1" s="21"/>
      <c r="FGH1" s="21"/>
      <c r="FGI1" s="21"/>
      <c r="FGJ1" s="21"/>
      <c r="FGK1" s="21"/>
      <c r="FGL1" s="21"/>
      <c r="FGM1" s="21"/>
      <c r="FGN1" s="21"/>
      <c r="FGO1" s="21"/>
      <c r="FGP1" s="21"/>
      <c r="FGQ1" s="21"/>
      <c r="FGR1" s="21"/>
      <c r="FGS1" s="20" t="s">
        <v>297</v>
      </c>
      <c r="FGT1" s="21"/>
      <c r="FGU1" s="21"/>
      <c r="FGV1" s="21"/>
      <c r="FGW1" s="21"/>
      <c r="FGX1" s="21"/>
      <c r="FGY1" s="21"/>
      <c r="FGZ1" s="21"/>
      <c r="FHA1" s="21"/>
      <c r="FHB1" s="21"/>
      <c r="FHC1" s="21"/>
      <c r="FHD1" s="21"/>
      <c r="FHE1" s="21"/>
      <c r="FHF1" s="21"/>
      <c r="FHG1" s="21"/>
      <c r="FHH1" s="21"/>
      <c r="FHI1" s="20" t="s">
        <v>297</v>
      </c>
      <c r="FHJ1" s="21"/>
      <c r="FHK1" s="21"/>
      <c r="FHL1" s="21"/>
      <c r="FHM1" s="21"/>
      <c r="FHN1" s="21"/>
      <c r="FHO1" s="21"/>
      <c r="FHP1" s="21"/>
      <c r="FHQ1" s="21"/>
      <c r="FHR1" s="21"/>
      <c r="FHS1" s="21"/>
      <c r="FHT1" s="21"/>
      <c r="FHU1" s="21"/>
      <c r="FHV1" s="21"/>
      <c r="FHW1" s="21"/>
      <c r="FHX1" s="21"/>
      <c r="FHY1" s="20" t="s">
        <v>297</v>
      </c>
      <c r="FHZ1" s="21"/>
      <c r="FIA1" s="21"/>
      <c r="FIB1" s="21"/>
      <c r="FIC1" s="21"/>
      <c r="FID1" s="21"/>
      <c r="FIE1" s="21"/>
      <c r="FIF1" s="21"/>
      <c r="FIG1" s="21"/>
      <c r="FIH1" s="21"/>
      <c r="FII1" s="21"/>
      <c r="FIJ1" s="21"/>
      <c r="FIK1" s="21"/>
      <c r="FIL1" s="21"/>
      <c r="FIM1" s="21"/>
      <c r="FIN1" s="21"/>
      <c r="FIO1" s="20" t="s">
        <v>297</v>
      </c>
      <c r="FIP1" s="21"/>
      <c r="FIQ1" s="21"/>
      <c r="FIR1" s="21"/>
      <c r="FIS1" s="21"/>
      <c r="FIT1" s="21"/>
      <c r="FIU1" s="21"/>
      <c r="FIV1" s="21"/>
      <c r="FIW1" s="21"/>
      <c r="FIX1" s="21"/>
      <c r="FIY1" s="21"/>
      <c r="FIZ1" s="21"/>
      <c r="FJA1" s="21"/>
      <c r="FJB1" s="21"/>
      <c r="FJC1" s="21"/>
      <c r="FJD1" s="21"/>
      <c r="FJE1" s="20" t="s">
        <v>297</v>
      </c>
      <c r="FJF1" s="21"/>
      <c r="FJG1" s="21"/>
      <c r="FJH1" s="21"/>
      <c r="FJI1" s="21"/>
      <c r="FJJ1" s="21"/>
      <c r="FJK1" s="21"/>
      <c r="FJL1" s="21"/>
      <c r="FJM1" s="21"/>
      <c r="FJN1" s="21"/>
      <c r="FJO1" s="21"/>
      <c r="FJP1" s="21"/>
      <c r="FJQ1" s="21"/>
      <c r="FJR1" s="21"/>
      <c r="FJS1" s="21"/>
      <c r="FJT1" s="21"/>
      <c r="FJU1" s="20" t="s">
        <v>297</v>
      </c>
      <c r="FJV1" s="21"/>
      <c r="FJW1" s="21"/>
      <c r="FJX1" s="21"/>
      <c r="FJY1" s="21"/>
      <c r="FJZ1" s="21"/>
      <c r="FKA1" s="21"/>
      <c r="FKB1" s="21"/>
      <c r="FKC1" s="21"/>
      <c r="FKD1" s="21"/>
      <c r="FKE1" s="21"/>
      <c r="FKF1" s="21"/>
      <c r="FKG1" s="21"/>
      <c r="FKH1" s="21"/>
      <c r="FKI1" s="21"/>
      <c r="FKJ1" s="21"/>
      <c r="FKK1" s="20" t="s">
        <v>297</v>
      </c>
      <c r="FKL1" s="21"/>
      <c r="FKM1" s="21"/>
      <c r="FKN1" s="21"/>
      <c r="FKO1" s="21"/>
      <c r="FKP1" s="21"/>
      <c r="FKQ1" s="21"/>
      <c r="FKR1" s="21"/>
      <c r="FKS1" s="21"/>
      <c r="FKT1" s="21"/>
      <c r="FKU1" s="21"/>
      <c r="FKV1" s="21"/>
      <c r="FKW1" s="21"/>
      <c r="FKX1" s="21"/>
      <c r="FKY1" s="21"/>
      <c r="FKZ1" s="21"/>
      <c r="FLA1" s="20" t="s">
        <v>297</v>
      </c>
      <c r="FLB1" s="21"/>
      <c r="FLC1" s="21"/>
      <c r="FLD1" s="21"/>
      <c r="FLE1" s="21"/>
      <c r="FLF1" s="21"/>
      <c r="FLG1" s="21"/>
      <c r="FLH1" s="21"/>
      <c r="FLI1" s="21"/>
      <c r="FLJ1" s="21"/>
      <c r="FLK1" s="21"/>
      <c r="FLL1" s="21"/>
      <c r="FLM1" s="21"/>
      <c r="FLN1" s="21"/>
      <c r="FLO1" s="21"/>
      <c r="FLP1" s="21"/>
      <c r="FLQ1" s="20" t="s">
        <v>297</v>
      </c>
      <c r="FLR1" s="21"/>
      <c r="FLS1" s="21"/>
      <c r="FLT1" s="21"/>
      <c r="FLU1" s="21"/>
      <c r="FLV1" s="21"/>
      <c r="FLW1" s="21"/>
      <c r="FLX1" s="21"/>
      <c r="FLY1" s="21"/>
      <c r="FLZ1" s="21"/>
      <c r="FMA1" s="21"/>
      <c r="FMB1" s="21"/>
      <c r="FMC1" s="21"/>
      <c r="FMD1" s="21"/>
      <c r="FME1" s="21"/>
      <c r="FMF1" s="21"/>
      <c r="FMG1" s="20" t="s">
        <v>297</v>
      </c>
      <c r="FMH1" s="21"/>
      <c r="FMI1" s="21"/>
      <c r="FMJ1" s="21"/>
      <c r="FMK1" s="21"/>
      <c r="FML1" s="21"/>
      <c r="FMM1" s="21"/>
      <c r="FMN1" s="21"/>
      <c r="FMO1" s="21"/>
      <c r="FMP1" s="21"/>
      <c r="FMQ1" s="21"/>
      <c r="FMR1" s="21"/>
      <c r="FMS1" s="21"/>
      <c r="FMT1" s="21"/>
      <c r="FMU1" s="21"/>
      <c r="FMV1" s="21"/>
      <c r="FMW1" s="20" t="s">
        <v>297</v>
      </c>
      <c r="FMX1" s="21"/>
      <c r="FMY1" s="21"/>
      <c r="FMZ1" s="21"/>
      <c r="FNA1" s="21"/>
      <c r="FNB1" s="21"/>
      <c r="FNC1" s="21"/>
      <c r="FND1" s="21"/>
      <c r="FNE1" s="21"/>
      <c r="FNF1" s="21"/>
      <c r="FNG1" s="21"/>
      <c r="FNH1" s="21"/>
      <c r="FNI1" s="21"/>
      <c r="FNJ1" s="21"/>
      <c r="FNK1" s="21"/>
      <c r="FNL1" s="21"/>
      <c r="FNM1" s="20" t="s">
        <v>297</v>
      </c>
      <c r="FNN1" s="21"/>
      <c r="FNO1" s="21"/>
      <c r="FNP1" s="21"/>
      <c r="FNQ1" s="21"/>
      <c r="FNR1" s="21"/>
      <c r="FNS1" s="21"/>
      <c r="FNT1" s="21"/>
      <c r="FNU1" s="21"/>
      <c r="FNV1" s="21"/>
      <c r="FNW1" s="21"/>
      <c r="FNX1" s="21"/>
      <c r="FNY1" s="21"/>
      <c r="FNZ1" s="21"/>
      <c r="FOA1" s="21"/>
      <c r="FOB1" s="21"/>
      <c r="FOC1" s="20" t="s">
        <v>297</v>
      </c>
      <c r="FOD1" s="21"/>
      <c r="FOE1" s="21"/>
      <c r="FOF1" s="21"/>
      <c r="FOG1" s="21"/>
      <c r="FOH1" s="21"/>
      <c r="FOI1" s="21"/>
      <c r="FOJ1" s="21"/>
      <c r="FOK1" s="21"/>
      <c r="FOL1" s="21"/>
      <c r="FOM1" s="21"/>
      <c r="FON1" s="21"/>
      <c r="FOO1" s="21"/>
      <c r="FOP1" s="21"/>
      <c r="FOQ1" s="21"/>
      <c r="FOR1" s="21"/>
      <c r="FOS1" s="20" t="s">
        <v>297</v>
      </c>
      <c r="FOT1" s="21"/>
      <c r="FOU1" s="21"/>
      <c r="FOV1" s="21"/>
      <c r="FOW1" s="21"/>
      <c r="FOX1" s="21"/>
      <c r="FOY1" s="21"/>
      <c r="FOZ1" s="21"/>
      <c r="FPA1" s="21"/>
      <c r="FPB1" s="21"/>
      <c r="FPC1" s="21"/>
      <c r="FPD1" s="21"/>
      <c r="FPE1" s="21"/>
      <c r="FPF1" s="21"/>
      <c r="FPG1" s="21"/>
      <c r="FPH1" s="21"/>
      <c r="FPI1" s="20" t="s">
        <v>297</v>
      </c>
      <c r="FPJ1" s="21"/>
      <c r="FPK1" s="21"/>
      <c r="FPL1" s="21"/>
      <c r="FPM1" s="21"/>
      <c r="FPN1" s="21"/>
      <c r="FPO1" s="21"/>
      <c r="FPP1" s="21"/>
      <c r="FPQ1" s="21"/>
      <c r="FPR1" s="21"/>
      <c r="FPS1" s="21"/>
      <c r="FPT1" s="21"/>
      <c r="FPU1" s="21"/>
      <c r="FPV1" s="21"/>
      <c r="FPW1" s="21"/>
      <c r="FPX1" s="21"/>
      <c r="FPY1" s="20" t="s">
        <v>297</v>
      </c>
      <c r="FPZ1" s="21"/>
      <c r="FQA1" s="21"/>
      <c r="FQB1" s="21"/>
      <c r="FQC1" s="21"/>
      <c r="FQD1" s="21"/>
      <c r="FQE1" s="21"/>
      <c r="FQF1" s="21"/>
      <c r="FQG1" s="21"/>
      <c r="FQH1" s="21"/>
      <c r="FQI1" s="21"/>
      <c r="FQJ1" s="21"/>
      <c r="FQK1" s="21"/>
      <c r="FQL1" s="21"/>
      <c r="FQM1" s="21"/>
      <c r="FQN1" s="21"/>
      <c r="FQO1" s="20" t="s">
        <v>297</v>
      </c>
      <c r="FQP1" s="21"/>
      <c r="FQQ1" s="21"/>
      <c r="FQR1" s="21"/>
      <c r="FQS1" s="21"/>
      <c r="FQT1" s="21"/>
      <c r="FQU1" s="21"/>
      <c r="FQV1" s="21"/>
      <c r="FQW1" s="21"/>
      <c r="FQX1" s="21"/>
      <c r="FQY1" s="21"/>
      <c r="FQZ1" s="21"/>
      <c r="FRA1" s="21"/>
      <c r="FRB1" s="21"/>
      <c r="FRC1" s="21"/>
      <c r="FRD1" s="21"/>
      <c r="FRE1" s="20" t="s">
        <v>297</v>
      </c>
      <c r="FRF1" s="21"/>
      <c r="FRG1" s="21"/>
      <c r="FRH1" s="21"/>
      <c r="FRI1" s="21"/>
      <c r="FRJ1" s="21"/>
      <c r="FRK1" s="21"/>
      <c r="FRL1" s="21"/>
      <c r="FRM1" s="21"/>
      <c r="FRN1" s="21"/>
      <c r="FRO1" s="21"/>
      <c r="FRP1" s="21"/>
      <c r="FRQ1" s="21"/>
      <c r="FRR1" s="21"/>
      <c r="FRS1" s="21"/>
      <c r="FRT1" s="21"/>
      <c r="FRU1" s="20" t="s">
        <v>297</v>
      </c>
      <c r="FRV1" s="21"/>
      <c r="FRW1" s="21"/>
      <c r="FRX1" s="21"/>
      <c r="FRY1" s="21"/>
      <c r="FRZ1" s="21"/>
      <c r="FSA1" s="21"/>
      <c r="FSB1" s="21"/>
      <c r="FSC1" s="21"/>
      <c r="FSD1" s="21"/>
      <c r="FSE1" s="21"/>
      <c r="FSF1" s="21"/>
      <c r="FSG1" s="21"/>
      <c r="FSH1" s="21"/>
      <c r="FSI1" s="21"/>
      <c r="FSJ1" s="21"/>
      <c r="FSK1" s="20" t="s">
        <v>297</v>
      </c>
      <c r="FSL1" s="21"/>
      <c r="FSM1" s="21"/>
      <c r="FSN1" s="21"/>
      <c r="FSO1" s="21"/>
      <c r="FSP1" s="21"/>
      <c r="FSQ1" s="21"/>
      <c r="FSR1" s="21"/>
      <c r="FSS1" s="21"/>
      <c r="FST1" s="21"/>
      <c r="FSU1" s="21"/>
      <c r="FSV1" s="21"/>
      <c r="FSW1" s="21"/>
      <c r="FSX1" s="21"/>
      <c r="FSY1" s="21"/>
      <c r="FSZ1" s="21"/>
      <c r="FTA1" s="20" t="s">
        <v>297</v>
      </c>
      <c r="FTB1" s="21"/>
      <c r="FTC1" s="21"/>
      <c r="FTD1" s="21"/>
      <c r="FTE1" s="21"/>
      <c r="FTF1" s="21"/>
      <c r="FTG1" s="21"/>
      <c r="FTH1" s="21"/>
      <c r="FTI1" s="21"/>
      <c r="FTJ1" s="21"/>
      <c r="FTK1" s="21"/>
      <c r="FTL1" s="21"/>
      <c r="FTM1" s="21"/>
      <c r="FTN1" s="21"/>
      <c r="FTO1" s="21"/>
      <c r="FTP1" s="21"/>
      <c r="FTQ1" s="20" t="s">
        <v>297</v>
      </c>
      <c r="FTR1" s="21"/>
      <c r="FTS1" s="21"/>
      <c r="FTT1" s="21"/>
      <c r="FTU1" s="21"/>
      <c r="FTV1" s="21"/>
      <c r="FTW1" s="21"/>
      <c r="FTX1" s="21"/>
      <c r="FTY1" s="21"/>
      <c r="FTZ1" s="21"/>
      <c r="FUA1" s="21"/>
      <c r="FUB1" s="21"/>
      <c r="FUC1" s="21"/>
      <c r="FUD1" s="21"/>
      <c r="FUE1" s="21"/>
      <c r="FUF1" s="21"/>
      <c r="FUG1" s="20" t="s">
        <v>297</v>
      </c>
      <c r="FUH1" s="21"/>
      <c r="FUI1" s="21"/>
      <c r="FUJ1" s="21"/>
      <c r="FUK1" s="21"/>
      <c r="FUL1" s="21"/>
      <c r="FUM1" s="21"/>
      <c r="FUN1" s="21"/>
      <c r="FUO1" s="21"/>
      <c r="FUP1" s="21"/>
      <c r="FUQ1" s="21"/>
      <c r="FUR1" s="21"/>
      <c r="FUS1" s="21"/>
      <c r="FUT1" s="21"/>
      <c r="FUU1" s="21"/>
      <c r="FUV1" s="21"/>
      <c r="FUW1" s="20" t="s">
        <v>297</v>
      </c>
      <c r="FUX1" s="21"/>
      <c r="FUY1" s="21"/>
      <c r="FUZ1" s="21"/>
      <c r="FVA1" s="21"/>
      <c r="FVB1" s="21"/>
      <c r="FVC1" s="21"/>
      <c r="FVD1" s="21"/>
      <c r="FVE1" s="21"/>
      <c r="FVF1" s="21"/>
      <c r="FVG1" s="21"/>
      <c r="FVH1" s="21"/>
      <c r="FVI1" s="21"/>
      <c r="FVJ1" s="21"/>
      <c r="FVK1" s="21"/>
      <c r="FVL1" s="21"/>
      <c r="FVM1" s="20" t="s">
        <v>297</v>
      </c>
      <c r="FVN1" s="21"/>
      <c r="FVO1" s="21"/>
      <c r="FVP1" s="21"/>
      <c r="FVQ1" s="21"/>
      <c r="FVR1" s="21"/>
      <c r="FVS1" s="21"/>
      <c r="FVT1" s="21"/>
      <c r="FVU1" s="21"/>
      <c r="FVV1" s="21"/>
      <c r="FVW1" s="21"/>
      <c r="FVX1" s="21"/>
      <c r="FVY1" s="21"/>
      <c r="FVZ1" s="21"/>
      <c r="FWA1" s="21"/>
      <c r="FWB1" s="21"/>
      <c r="FWC1" s="20" t="s">
        <v>297</v>
      </c>
      <c r="FWD1" s="21"/>
      <c r="FWE1" s="21"/>
      <c r="FWF1" s="21"/>
      <c r="FWG1" s="21"/>
      <c r="FWH1" s="21"/>
      <c r="FWI1" s="21"/>
      <c r="FWJ1" s="21"/>
      <c r="FWK1" s="21"/>
      <c r="FWL1" s="21"/>
      <c r="FWM1" s="21"/>
      <c r="FWN1" s="21"/>
      <c r="FWO1" s="21"/>
      <c r="FWP1" s="21"/>
      <c r="FWQ1" s="21"/>
      <c r="FWR1" s="21"/>
      <c r="FWS1" s="20" t="s">
        <v>297</v>
      </c>
      <c r="FWT1" s="21"/>
      <c r="FWU1" s="21"/>
      <c r="FWV1" s="21"/>
      <c r="FWW1" s="21"/>
      <c r="FWX1" s="21"/>
      <c r="FWY1" s="21"/>
      <c r="FWZ1" s="21"/>
      <c r="FXA1" s="21"/>
      <c r="FXB1" s="21"/>
      <c r="FXC1" s="21"/>
      <c r="FXD1" s="21"/>
      <c r="FXE1" s="21"/>
      <c r="FXF1" s="21"/>
      <c r="FXG1" s="21"/>
      <c r="FXH1" s="21"/>
      <c r="FXI1" s="20" t="s">
        <v>297</v>
      </c>
      <c r="FXJ1" s="21"/>
      <c r="FXK1" s="21"/>
      <c r="FXL1" s="21"/>
      <c r="FXM1" s="21"/>
      <c r="FXN1" s="21"/>
      <c r="FXO1" s="21"/>
      <c r="FXP1" s="21"/>
      <c r="FXQ1" s="21"/>
      <c r="FXR1" s="21"/>
      <c r="FXS1" s="21"/>
      <c r="FXT1" s="21"/>
      <c r="FXU1" s="21"/>
      <c r="FXV1" s="21"/>
      <c r="FXW1" s="21"/>
      <c r="FXX1" s="21"/>
      <c r="FXY1" s="20" t="s">
        <v>297</v>
      </c>
      <c r="FXZ1" s="21"/>
      <c r="FYA1" s="21"/>
      <c r="FYB1" s="21"/>
      <c r="FYC1" s="21"/>
      <c r="FYD1" s="21"/>
      <c r="FYE1" s="21"/>
      <c r="FYF1" s="21"/>
      <c r="FYG1" s="21"/>
      <c r="FYH1" s="21"/>
      <c r="FYI1" s="21"/>
      <c r="FYJ1" s="21"/>
      <c r="FYK1" s="21"/>
      <c r="FYL1" s="21"/>
      <c r="FYM1" s="21"/>
      <c r="FYN1" s="21"/>
      <c r="FYO1" s="20" t="s">
        <v>297</v>
      </c>
      <c r="FYP1" s="21"/>
      <c r="FYQ1" s="21"/>
      <c r="FYR1" s="21"/>
      <c r="FYS1" s="21"/>
      <c r="FYT1" s="21"/>
      <c r="FYU1" s="21"/>
      <c r="FYV1" s="21"/>
      <c r="FYW1" s="21"/>
      <c r="FYX1" s="21"/>
      <c r="FYY1" s="21"/>
      <c r="FYZ1" s="21"/>
      <c r="FZA1" s="21"/>
      <c r="FZB1" s="21"/>
      <c r="FZC1" s="21"/>
      <c r="FZD1" s="21"/>
      <c r="FZE1" s="20" t="s">
        <v>297</v>
      </c>
      <c r="FZF1" s="21"/>
      <c r="FZG1" s="21"/>
      <c r="FZH1" s="21"/>
      <c r="FZI1" s="21"/>
      <c r="FZJ1" s="21"/>
      <c r="FZK1" s="21"/>
      <c r="FZL1" s="21"/>
      <c r="FZM1" s="21"/>
      <c r="FZN1" s="21"/>
      <c r="FZO1" s="21"/>
      <c r="FZP1" s="21"/>
      <c r="FZQ1" s="21"/>
      <c r="FZR1" s="21"/>
      <c r="FZS1" s="21"/>
      <c r="FZT1" s="21"/>
      <c r="FZU1" s="20" t="s">
        <v>297</v>
      </c>
      <c r="FZV1" s="21"/>
      <c r="FZW1" s="21"/>
      <c r="FZX1" s="21"/>
      <c r="FZY1" s="21"/>
      <c r="FZZ1" s="21"/>
      <c r="GAA1" s="21"/>
      <c r="GAB1" s="21"/>
      <c r="GAC1" s="21"/>
      <c r="GAD1" s="21"/>
      <c r="GAE1" s="21"/>
      <c r="GAF1" s="21"/>
      <c r="GAG1" s="21"/>
      <c r="GAH1" s="21"/>
      <c r="GAI1" s="21"/>
      <c r="GAJ1" s="21"/>
      <c r="GAK1" s="20" t="s">
        <v>297</v>
      </c>
      <c r="GAL1" s="21"/>
      <c r="GAM1" s="21"/>
      <c r="GAN1" s="21"/>
      <c r="GAO1" s="21"/>
      <c r="GAP1" s="21"/>
      <c r="GAQ1" s="21"/>
      <c r="GAR1" s="21"/>
      <c r="GAS1" s="21"/>
      <c r="GAT1" s="21"/>
      <c r="GAU1" s="21"/>
      <c r="GAV1" s="21"/>
      <c r="GAW1" s="21"/>
      <c r="GAX1" s="21"/>
      <c r="GAY1" s="21"/>
      <c r="GAZ1" s="21"/>
      <c r="GBA1" s="20" t="s">
        <v>297</v>
      </c>
      <c r="GBB1" s="21"/>
      <c r="GBC1" s="21"/>
      <c r="GBD1" s="21"/>
      <c r="GBE1" s="21"/>
      <c r="GBF1" s="21"/>
      <c r="GBG1" s="21"/>
      <c r="GBH1" s="21"/>
      <c r="GBI1" s="21"/>
      <c r="GBJ1" s="21"/>
      <c r="GBK1" s="21"/>
      <c r="GBL1" s="21"/>
      <c r="GBM1" s="21"/>
      <c r="GBN1" s="21"/>
      <c r="GBO1" s="21"/>
      <c r="GBP1" s="21"/>
      <c r="GBQ1" s="20" t="s">
        <v>297</v>
      </c>
      <c r="GBR1" s="21"/>
      <c r="GBS1" s="21"/>
      <c r="GBT1" s="21"/>
      <c r="GBU1" s="21"/>
      <c r="GBV1" s="21"/>
      <c r="GBW1" s="21"/>
      <c r="GBX1" s="21"/>
      <c r="GBY1" s="21"/>
      <c r="GBZ1" s="21"/>
      <c r="GCA1" s="21"/>
      <c r="GCB1" s="21"/>
      <c r="GCC1" s="21"/>
      <c r="GCD1" s="21"/>
      <c r="GCE1" s="21"/>
      <c r="GCF1" s="21"/>
      <c r="GCG1" s="20" t="s">
        <v>297</v>
      </c>
      <c r="GCH1" s="21"/>
      <c r="GCI1" s="21"/>
      <c r="GCJ1" s="21"/>
      <c r="GCK1" s="21"/>
      <c r="GCL1" s="21"/>
      <c r="GCM1" s="21"/>
      <c r="GCN1" s="21"/>
      <c r="GCO1" s="21"/>
      <c r="GCP1" s="21"/>
      <c r="GCQ1" s="21"/>
      <c r="GCR1" s="21"/>
      <c r="GCS1" s="21"/>
      <c r="GCT1" s="21"/>
      <c r="GCU1" s="21"/>
      <c r="GCV1" s="21"/>
      <c r="GCW1" s="20" t="s">
        <v>297</v>
      </c>
      <c r="GCX1" s="21"/>
      <c r="GCY1" s="21"/>
      <c r="GCZ1" s="21"/>
      <c r="GDA1" s="21"/>
      <c r="GDB1" s="21"/>
      <c r="GDC1" s="21"/>
      <c r="GDD1" s="21"/>
      <c r="GDE1" s="21"/>
      <c r="GDF1" s="21"/>
      <c r="GDG1" s="21"/>
      <c r="GDH1" s="21"/>
      <c r="GDI1" s="21"/>
      <c r="GDJ1" s="21"/>
      <c r="GDK1" s="21"/>
      <c r="GDL1" s="21"/>
      <c r="GDM1" s="20" t="s">
        <v>297</v>
      </c>
      <c r="GDN1" s="21"/>
      <c r="GDO1" s="21"/>
      <c r="GDP1" s="21"/>
      <c r="GDQ1" s="21"/>
      <c r="GDR1" s="21"/>
      <c r="GDS1" s="21"/>
      <c r="GDT1" s="21"/>
      <c r="GDU1" s="21"/>
      <c r="GDV1" s="21"/>
      <c r="GDW1" s="21"/>
      <c r="GDX1" s="21"/>
      <c r="GDY1" s="21"/>
      <c r="GDZ1" s="21"/>
      <c r="GEA1" s="21"/>
      <c r="GEB1" s="21"/>
      <c r="GEC1" s="20" t="s">
        <v>297</v>
      </c>
      <c r="GED1" s="21"/>
      <c r="GEE1" s="21"/>
      <c r="GEF1" s="21"/>
      <c r="GEG1" s="21"/>
      <c r="GEH1" s="21"/>
      <c r="GEI1" s="21"/>
      <c r="GEJ1" s="21"/>
      <c r="GEK1" s="21"/>
      <c r="GEL1" s="21"/>
      <c r="GEM1" s="21"/>
      <c r="GEN1" s="21"/>
      <c r="GEO1" s="21"/>
      <c r="GEP1" s="21"/>
      <c r="GEQ1" s="21"/>
      <c r="GER1" s="21"/>
      <c r="GES1" s="20" t="s">
        <v>297</v>
      </c>
      <c r="GET1" s="21"/>
      <c r="GEU1" s="21"/>
      <c r="GEV1" s="21"/>
      <c r="GEW1" s="21"/>
      <c r="GEX1" s="21"/>
      <c r="GEY1" s="21"/>
      <c r="GEZ1" s="21"/>
      <c r="GFA1" s="21"/>
      <c r="GFB1" s="21"/>
      <c r="GFC1" s="21"/>
      <c r="GFD1" s="21"/>
      <c r="GFE1" s="21"/>
      <c r="GFF1" s="21"/>
      <c r="GFG1" s="21"/>
      <c r="GFH1" s="21"/>
      <c r="GFI1" s="20" t="s">
        <v>297</v>
      </c>
      <c r="GFJ1" s="21"/>
      <c r="GFK1" s="21"/>
      <c r="GFL1" s="21"/>
      <c r="GFM1" s="21"/>
      <c r="GFN1" s="21"/>
      <c r="GFO1" s="21"/>
      <c r="GFP1" s="21"/>
      <c r="GFQ1" s="21"/>
      <c r="GFR1" s="21"/>
      <c r="GFS1" s="21"/>
      <c r="GFT1" s="21"/>
      <c r="GFU1" s="21"/>
      <c r="GFV1" s="21"/>
      <c r="GFW1" s="21"/>
      <c r="GFX1" s="21"/>
      <c r="GFY1" s="20" t="s">
        <v>297</v>
      </c>
      <c r="GFZ1" s="21"/>
      <c r="GGA1" s="21"/>
      <c r="GGB1" s="21"/>
      <c r="GGC1" s="21"/>
      <c r="GGD1" s="21"/>
      <c r="GGE1" s="21"/>
      <c r="GGF1" s="21"/>
      <c r="GGG1" s="21"/>
      <c r="GGH1" s="21"/>
      <c r="GGI1" s="21"/>
      <c r="GGJ1" s="21"/>
      <c r="GGK1" s="21"/>
      <c r="GGL1" s="21"/>
      <c r="GGM1" s="21"/>
      <c r="GGN1" s="21"/>
      <c r="GGO1" s="20" t="s">
        <v>297</v>
      </c>
      <c r="GGP1" s="21"/>
      <c r="GGQ1" s="21"/>
      <c r="GGR1" s="21"/>
      <c r="GGS1" s="21"/>
      <c r="GGT1" s="21"/>
      <c r="GGU1" s="21"/>
      <c r="GGV1" s="21"/>
      <c r="GGW1" s="21"/>
      <c r="GGX1" s="21"/>
      <c r="GGY1" s="21"/>
      <c r="GGZ1" s="21"/>
      <c r="GHA1" s="21"/>
      <c r="GHB1" s="21"/>
      <c r="GHC1" s="21"/>
      <c r="GHD1" s="21"/>
      <c r="GHE1" s="20" t="s">
        <v>297</v>
      </c>
      <c r="GHF1" s="21"/>
      <c r="GHG1" s="21"/>
      <c r="GHH1" s="21"/>
      <c r="GHI1" s="21"/>
      <c r="GHJ1" s="21"/>
      <c r="GHK1" s="21"/>
      <c r="GHL1" s="21"/>
      <c r="GHM1" s="21"/>
      <c r="GHN1" s="21"/>
      <c r="GHO1" s="21"/>
      <c r="GHP1" s="21"/>
      <c r="GHQ1" s="21"/>
      <c r="GHR1" s="21"/>
      <c r="GHS1" s="21"/>
      <c r="GHT1" s="21"/>
      <c r="GHU1" s="20" t="s">
        <v>297</v>
      </c>
      <c r="GHV1" s="21"/>
      <c r="GHW1" s="21"/>
      <c r="GHX1" s="21"/>
      <c r="GHY1" s="21"/>
      <c r="GHZ1" s="21"/>
      <c r="GIA1" s="21"/>
      <c r="GIB1" s="21"/>
      <c r="GIC1" s="21"/>
      <c r="GID1" s="21"/>
      <c r="GIE1" s="21"/>
      <c r="GIF1" s="21"/>
      <c r="GIG1" s="21"/>
      <c r="GIH1" s="21"/>
      <c r="GII1" s="21"/>
      <c r="GIJ1" s="21"/>
      <c r="GIK1" s="20" t="s">
        <v>297</v>
      </c>
      <c r="GIL1" s="21"/>
      <c r="GIM1" s="21"/>
      <c r="GIN1" s="21"/>
      <c r="GIO1" s="21"/>
      <c r="GIP1" s="21"/>
      <c r="GIQ1" s="21"/>
      <c r="GIR1" s="21"/>
      <c r="GIS1" s="21"/>
      <c r="GIT1" s="21"/>
      <c r="GIU1" s="21"/>
      <c r="GIV1" s="21"/>
      <c r="GIW1" s="21"/>
      <c r="GIX1" s="21"/>
      <c r="GIY1" s="21"/>
      <c r="GIZ1" s="21"/>
      <c r="GJA1" s="20" t="s">
        <v>297</v>
      </c>
      <c r="GJB1" s="21"/>
      <c r="GJC1" s="21"/>
      <c r="GJD1" s="21"/>
      <c r="GJE1" s="21"/>
      <c r="GJF1" s="21"/>
      <c r="GJG1" s="21"/>
      <c r="GJH1" s="21"/>
      <c r="GJI1" s="21"/>
      <c r="GJJ1" s="21"/>
      <c r="GJK1" s="21"/>
      <c r="GJL1" s="21"/>
      <c r="GJM1" s="21"/>
      <c r="GJN1" s="21"/>
      <c r="GJO1" s="21"/>
      <c r="GJP1" s="21"/>
      <c r="GJQ1" s="20" t="s">
        <v>297</v>
      </c>
      <c r="GJR1" s="21"/>
      <c r="GJS1" s="21"/>
      <c r="GJT1" s="21"/>
      <c r="GJU1" s="21"/>
      <c r="GJV1" s="21"/>
      <c r="GJW1" s="21"/>
      <c r="GJX1" s="21"/>
      <c r="GJY1" s="21"/>
      <c r="GJZ1" s="21"/>
      <c r="GKA1" s="21"/>
      <c r="GKB1" s="21"/>
      <c r="GKC1" s="21"/>
      <c r="GKD1" s="21"/>
      <c r="GKE1" s="21"/>
      <c r="GKF1" s="21"/>
      <c r="GKG1" s="20" t="s">
        <v>297</v>
      </c>
      <c r="GKH1" s="21"/>
      <c r="GKI1" s="21"/>
      <c r="GKJ1" s="21"/>
      <c r="GKK1" s="21"/>
      <c r="GKL1" s="21"/>
      <c r="GKM1" s="21"/>
      <c r="GKN1" s="21"/>
      <c r="GKO1" s="21"/>
      <c r="GKP1" s="21"/>
      <c r="GKQ1" s="21"/>
      <c r="GKR1" s="21"/>
      <c r="GKS1" s="21"/>
      <c r="GKT1" s="21"/>
      <c r="GKU1" s="21"/>
      <c r="GKV1" s="21"/>
      <c r="GKW1" s="20" t="s">
        <v>297</v>
      </c>
      <c r="GKX1" s="21"/>
      <c r="GKY1" s="21"/>
      <c r="GKZ1" s="21"/>
      <c r="GLA1" s="21"/>
      <c r="GLB1" s="21"/>
      <c r="GLC1" s="21"/>
      <c r="GLD1" s="21"/>
      <c r="GLE1" s="21"/>
      <c r="GLF1" s="21"/>
      <c r="GLG1" s="21"/>
      <c r="GLH1" s="21"/>
      <c r="GLI1" s="21"/>
      <c r="GLJ1" s="21"/>
      <c r="GLK1" s="21"/>
      <c r="GLL1" s="21"/>
      <c r="GLM1" s="20" t="s">
        <v>297</v>
      </c>
      <c r="GLN1" s="21"/>
      <c r="GLO1" s="21"/>
      <c r="GLP1" s="21"/>
      <c r="GLQ1" s="21"/>
      <c r="GLR1" s="21"/>
      <c r="GLS1" s="21"/>
      <c r="GLT1" s="21"/>
      <c r="GLU1" s="21"/>
      <c r="GLV1" s="21"/>
      <c r="GLW1" s="21"/>
      <c r="GLX1" s="21"/>
      <c r="GLY1" s="21"/>
      <c r="GLZ1" s="21"/>
      <c r="GMA1" s="21"/>
      <c r="GMB1" s="21"/>
      <c r="GMC1" s="20" t="s">
        <v>297</v>
      </c>
      <c r="GMD1" s="21"/>
      <c r="GME1" s="21"/>
      <c r="GMF1" s="21"/>
      <c r="GMG1" s="21"/>
      <c r="GMH1" s="21"/>
      <c r="GMI1" s="21"/>
      <c r="GMJ1" s="21"/>
      <c r="GMK1" s="21"/>
      <c r="GML1" s="21"/>
      <c r="GMM1" s="21"/>
      <c r="GMN1" s="21"/>
      <c r="GMO1" s="21"/>
      <c r="GMP1" s="21"/>
      <c r="GMQ1" s="21"/>
      <c r="GMR1" s="21"/>
      <c r="GMS1" s="20" t="s">
        <v>297</v>
      </c>
      <c r="GMT1" s="21"/>
      <c r="GMU1" s="21"/>
      <c r="GMV1" s="21"/>
      <c r="GMW1" s="21"/>
      <c r="GMX1" s="21"/>
      <c r="GMY1" s="21"/>
      <c r="GMZ1" s="21"/>
      <c r="GNA1" s="21"/>
      <c r="GNB1" s="21"/>
      <c r="GNC1" s="21"/>
      <c r="GND1" s="21"/>
      <c r="GNE1" s="21"/>
      <c r="GNF1" s="21"/>
      <c r="GNG1" s="21"/>
      <c r="GNH1" s="21"/>
      <c r="GNI1" s="20" t="s">
        <v>297</v>
      </c>
      <c r="GNJ1" s="21"/>
      <c r="GNK1" s="21"/>
      <c r="GNL1" s="21"/>
      <c r="GNM1" s="21"/>
      <c r="GNN1" s="21"/>
      <c r="GNO1" s="21"/>
      <c r="GNP1" s="21"/>
      <c r="GNQ1" s="21"/>
      <c r="GNR1" s="21"/>
      <c r="GNS1" s="21"/>
      <c r="GNT1" s="21"/>
      <c r="GNU1" s="21"/>
      <c r="GNV1" s="21"/>
      <c r="GNW1" s="21"/>
      <c r="GNX1" s="21"/>
      <c r="GNY1" s="20" t="s">
        <v>297</v>
      </c>
      <c r="GNZ1" s="21"/>
      <c r="GOA1" s="21"/>
      <c r="GOB1" s="21"/>
      <c r="GOC1" s="21"/>
      <c r="GOD1" s="21"/>
      <c r="GOE1" s="21"/>
      <c r="GOF1" s="21"/>
      <c r="GOG1" s="21"/>
      <c r="GOH1" s="21"/>
      <c r="GOI1" s="21"/>
      <c r="GOJ1" s="21"/>
      <c r="GOK1" s="21"/>
      <c r="GOL1" s="21"/>
      <c r="GOM1" s="21"/>
      <c r="GON1" s="21"/>
      <c r="GOO1" s="20" t="s">
        <v>297</v>
      </c>
      <c r="GOP1" s="21"/>
      <c r="GOQ1" s="21"/>
      <c r="GOR1" s="21"/>
      <c r="GOS1" s="21"/>
      <c r="GOT1" s="21"/>
      <c r="GOU1" s="21"/>
      <c r="GOV1" s="21"/>
      <c r="GOW1" s="21"/>
      <c r="GOX1" s="21"/>
      <c r="GOY1" s="21"/>
      <c r="GOZ1" s="21"/>
      <c r="GPA1" s="21"/>
      <c r="GPB1" s="21"/>
      <c r="GPC1" s="21"/>
      <c r="GPD1" s="21"/>
      <c r="GPE1" s="20" t="s">
        <v>297</v>
      </c>
      <c r="GPF1" s="21"/>
      <c r="GPG1" s="21"/>
      <c r="GPH1" s="21"/>
      <c r="GPI1" s="21"/>
      <c r="GPJ1" s="21"/>
      <c r="GPK1" s="21"/>
      <c r="GPL1" s="21"/>
      <c r="GPM1" s="21"/>
      <c r="GPN1" s="21"/>
      <c r="GPO1" s="21"/>
      <c r="GPP1" s="21"/>
      <c r="GPQ1" s="21"/>
      <c r="GPR1" s="21"/>
      <c r="GPS1" s="21"/>
      <c r="GPT1" s="21"/>
      <c r="GPU1" s="20" t="s">
        <v>297</v>
      </c>
      <c r="GPV1" s="21"/>
      <c r="GPW1" s="21"/>
      <c r="GPX1" s="21"/>
      <c r="GPY1" s="21"/>
      <c r="GPZ1" s="21"/>
      <c r="GQA1" s="21"/>
      <c r="GQB1" s="21"/>
      <c r="GQC1" s="21"/>
      <c r="GQD1" s="21"/>
      <c r="GQE1" s="21"/>
      <c r="GQF1" s="21"/>
      <c r="GQG1" s="21"/>
      <c r="GQH1" s="21"/>
      <c r="GQI1" s="21"/>
      <c r="GQJ1" s="21"/>
      <c r="GQK1" s="20" t="s">
        <v>297</v>
      </c>
      <c r="GQL1" s="21"/>
      <c r="GQM1" s="21"/>
      <c r="GQN1" s="21"/>
      <c r="GQO1" s="21"/>
      <c r="GQP1" s="21"/>
      <c r="GQQ1" s="21"/>
      <c r="GQR1" s="21"/>
      <c r="GQS1" s="21"/>
      <c r="GQT1" s="21"/>
      <c r="GQU1" s="21"/>
      <c r="GQV1" s="21"/>
      <c r="GQW1" s="21"/>
      <c r="GQX1" s="21"/>
      <c r="GQY1" s="21"/>
      <c r="GQZ1" s="21"/>
      <c r="GRA1" s="20" t="s">
        <v>297</v>
      </c>
      <c r="GRB1" s="21"/>
      <c r="GRC1" s="21"/>
      <c r="GRD1" s="21"/>
      <c r="GRE1" s="21"/>
      <c r="GRF1" s="21"/>
      <c r="GRG1" s="21"/>
      <c r="GRH1" s="21"/>
      <c r="GRI1" s="21"/>
      <c r="GRJ1" s="21"/>
      <c r="GRK1" s="21"/>
      <c r="GRL1" s="21"/>
      <c r="GRM1" s="21"/>
      <c r="GRN1" s="21"/>
      <c r="GRO1" s="21"/>
      <c r="GRP1" s="21"/>
      <c r="GRQ1" s="20" t="s">
        <v>297</v>
      </c>
      <c r="GRR1" s="21"/>
      <c r="GRS1" s="21"/>
      <c r="GRT1" s="21"/>
      <c r="GRU1" s="21"/>
      <c r="GRV1" s="21"/>
      <c r="GRW1" s="21"/>
      <c r="GRX1" s="21"/>
      <c r="GRY1" s="21"/>
      <c r="GRZ1" s="21"/>
      <c r="GSA1" s="21"/>
      <c r="GSB1" s="21"/>
      <c r="GSC1" s="21"/>
      <c r="GSD1" s="21"/>
      <c r="GSE1" s="21"/>
      <c r="GSF1" s="21"/>
      <c r="GSG1" s="20" t="s">
        <v>297</v>
      </c>
      <c r="GSH1" s="21"/>
      <c r="GSI1" s="21"/>
      <c r="GSJ1" s="21"/>
      <c r="GSK1" s="21"/>
      <c r="GSL1" s="21"/>
      <c r="GSM1" s="21"/>
      <c r="GSN1" s="21"/>
      <c r="GSO1" s="21"/>
      <c r="GSP1" s="21"/>
      <c r="GSQ1" s="21"/>
      <c r="GSR1" s="21"/>
      <c r="GSS1" s="21"/>
      <c r="GST1" s="21"/>
      <c r="GSU1" s="21"/>
      <c r="GSV1" s="21"/>
      <c r="GSW1" s="20" t="s">
        <v>297</v>
      </c>
      <c r="GSX1" s="21"/>
      <c r="GSY1" s="21"/>
      <c r="GSZ1" s="21"/>
      <c r="GTA1" s="21"/>
      <c r="GTB1" s="21"/>
      <c r="GTC1" s="21"/>
      <c r="GTD1" s="21"/>
      <c r="GTE1" s="21"/>
      <c r="GTF1" s="21"/>
      <c r="GTG1" s="21"/>
      <c r="GTH1" s="21"/>
      <c r="GTI1" s="21"/>
      <c r="GTJ1" s="21"/>
      <c r="GTK1" s="21"/>
      <c r="GTL1" s="21"/>
      <c r="GTM1" s="20" t="s">
        <v>297</v>
      </c>
      <c r="GTN1" s="21"/>
      <c r="GTO1" s="21"/>
      <c r="GTP1" s="21"/>
      <c r="GTQ1" s="21"/>
      <c r="GTR1" s="21"/>
      <c r="GTS1" s="21"/>
      <c r="GTT1" s="21"/>
      <c r="GTU1" s="21"/>
      <c r="GTV1" s="21"/>
      <c r="GTW1" s="21"/>
      <c r="GTX1" s="21"/>
      <c r="GTY1" s="21"/>
      <c r="GTZ1" s="21"/>
      <c r="GUA1" s="21"/>
      <c r="GUB1" s="21"/>
      <c r="GUC1" s="20" t="s">
        <v>297</v>
      </c>
      <c r="GUD1" s="21"/>
      <c r="GUE1" s="21"/>
      <c r="GUF1" s="21"/>
      <c r="GUG1" s="21"/>
      <c r="GUH1" s="21"/>
      <c r="GUI1" s="21"/>
      <c r="GUJ1" s="21"/>
      <c r="GUK1" s="21"/>
      <c r="GUL1" s="21"/>
      <c r="GUM1" s="21"/>
      <c r="GUN1" s="21"/>
      <c r="GUO1" s="21"/>
      <c r="GUP1" s="21"/>
      <c r="GUQ1" s="21"/>
      <c r="GUR1" s="21"/>
      <c r="GUS1" s="20" t="s">
        <v>297</v>
      </c>
      <c r="GUT1" s="21"/>
      <c r="GUU1" s="21"/>
      <c r="GUV1" s="21"/>
      <c r="GUW1" s="21"/>
      <c r="GUX1" s="21"/>
      <c r="GUY1" s="21"/>
      <c r="GUZ1" s="21"/>
      <c r="GVA1" s="21"/>
      <c r="GVB1" s="21"/>
      <c r="GVC1" s="21"/>
      <c r="GVD1" s="21"/>
      <c r="GVE1" s="21"/>
      <c r="GVF1" s="21"/>
      <c r="GVG1" s="21"/>
      <c r="GVH1" s="21"/>
      <c r="GVI1" s="20" t="s">
        <v>297</v>
      </c>
      <c r="GVJ1" s="21"/>
      <c r="GVK1" s="21"/>
      <c r="GVL1" s="21"/>
      <c r="GVM1" s="21"/>
      <c r="GVN1" s="21"/>
      <c r="GVO1" s="21"/>
      <c r="GVP1" s="21"/>
      <c r="GVQ1" s="21"/>
      <c r="GVR1" s="21"/>
      <c r="GVS1" s="21"/>
      <c r="GVT1" s="21"/>
      <c r="GVU1" s="21"/>
      <c r="GVV1" s="21"/>
      <c r="GVW1" s="21"/>
      <c r="GVX1" s="21"/>
      <c r="GVY1" s="20" t="s">
        <v>297</v>
      </c>
      <c r="GVZ1" s="21"/>
      <c r="GWA1" s="21"/>
      <c r="GWB1" s="21"/>
      <c r="GWC1" s="21"/>
      <c r="GWD1" s="21"/>
      <c r="GWE1" s="21"/>
      <c r="GWF1" s="21"/>
      <c r="GWG1" s="21"/>
      <c r="GWH1" s="21"/>
      <c r="GWI1" s="21"/>
      <c r="GWJ1" s="21"/>
      <c r="GWK1" s="21"/>
      <c r="GWL1" s="21"/>
      <c r="GWM1" s="21"/>
      <c r="GWN1" s="21"/>
      <c r="GWO1" s="20" t="s">
        <v>297</v>
      </c>
      <c r="GWP1" s="21"/>
      <c r="GWQ1" s="21"/>
      <c r="GWR1" s="21"/>
      <c r="GWS1" s="21"/>
      <c r="GWT1" s="21"/>
      <c r="GWU1" s="21"/>
      <c r="GWV1" s="21"/>
      <c r="GWW1" s="21"/>
      <c r="GWX1" s="21"/>
      <c r="GWY1" s="21"/>
      <c r="GWZ1" s="21"/>
      <c r="GXA1" s="21"/>
      <c r="GXB1" s="21"/>
      <c r="GXC1" s="21"/>
      <c r="GXD1" s="21"/>
      <c r="GXE1" s="20" t="s">
        <v>297</v>
      </c>
      <c r="GXF1" s="21"/>
      <c r="GXG1" s="21"/>
      <c r="GXH1" s="21"/>
      <c r="GXI1" s="21"/>
      <c r="GXJ1" s="21"/>
      <c r="GXK1" s="21"/>
      <c r="GXL1" s="21"/>
      <c r="GXM1" s="21"/>
      <c r="GXN1" s="21"/>
      <c r="GXO1" s="21"/>
      <c r="GXP1" s="21"/>
      <c r="GXQ1" s="21"/>
      <c r="GXR1" s="21"/>
      <c r="GXS1" s="21"/>
      <c r="GXT1" s="21"/>
      <c r="GXU1" s="20" t="s">
        <v>297</v>
      </c>
      <c r="GXV1" s="21"/>
      <c r="GXW1" s="21"/>
      <c r="GXX1" s="21"/>
      <c r="GXY1" s="21"/>
      <c r="GXZ1" s="21"/>
      <c r="GYA1" s="21"/>
      <c r="GYB1" s="21"/>
      <c r="GYC1" s="21"/>
      <c r="GYD1" s="21"/>
      <c r="GYE1" s="21"/>
      <c r="GYF1" s="21"/>
      <c r="GYG1" s="21"/>
      <c r="GYH1" s="21"/>
      <c r="GYI1" s="21"/>
      <c r="GYJ1" s="21"/>
      <c r="GYK1" s="20" t="s">
        <v>297</v>
      </c>
      <c r="GYL1" s="21"/>
      <c r="GYM1" s="21"/>
      <c r="GYN1" s="21"/>
      <c r="GYO1" s="21"/>
      <c r="GYP1" s="21"/>
      <c r="GYQ1" s="21"/>
      <c r="GYR1" s="21"/>
      <c r="GYS1" s="21"/>
      <c r="GYT1" s="21"/>
      <c r="GYU1" s="21"/>
      <c r="GYV1" s="21"/>
      <c r="GYW1" s="21"/>
      <c r="GYX1" s="21"/>
      <c r="GYY1" s="21"/>
      <c r="GYZ1" s="21"/>
      <c r="GZA1" s="20" t="s">
        <v>297</v>
      </c>
      <c r="GZB1" s="21"/>
      <c r="GZC1" s="21"/>
      <c r="GZD1" s="21"/>
      <c r="GZE1" s="21"/>
      <c r="GZF1" s="21"/>
      <c r="GZG1" s="21"/>
      <c r="GZH1" s="21"/>
      <c r="GZI1" s="21"/>
      <c r="GZJ1" s="21"/>
      <c r="GZK1" s="21"/>
      <c r="GZL1" s="21"/>
      <c r="GZM1" s="21"/>
      <c r="GZN1" s="21"/>
      <c r="GZO1" s="21"/>
      <c r="GZP1" s="21"/>
      <c r="GZQ1" s="20" t="s">
        <v>297</v>
      </c>
      <c r="GZR1" s="21"/>
      <c r="GZS1" s="21"/>
      <c r="GZT1" s="21"/>
      <c r="GZU1" s="21"/>
      <c r="GZV1" s="21"/>
      <c r="GZW1" s="21"/>
      <c r="GZX1" s="21"/>
      <c r="GZY1" s="21"/>
      <c r="GZZ1" s="21"/>
      <c r="HAA1" s="21"/>
      <c r="HAB1" s="21"/>
      <c r="HAC1" s="21"/>
      <c r="HAD1" s="21"/>
      <c r="HAE1" s="21"/>
      <c r="HAF1" s="21"/>
      <c r="HAG1" s="20" t="s">
        <v>297</v>
      </c>
      <c r="HAH1" s="21"/>
      <c r="HAI1" s="21"/>
      <c r="HAJ1" s="21"/>
      <c r="HAK1" s="21"/>
      <c r="HAL1" s="21"/>
      <c r="HAM1" s="21"/>
      <c r="HAN1" s="21"/>
      <c r="HAO1" s="21"/>
      <c r="HAP1" s="21"/>
      <c r="HAQ1" s="21"/>
      <c r="HAR1" s="21"/>
      <c r="HAS1" s="21"/>
      <c r="HAT1" s="21"/>
      <c r="HAU1" s="21"/>
      <c r="HAV1" s="21"/>
      <c r="HAW1" s="20" t="s">
        <v>297</v>
      </c>
      <c r="HAX1" s="21"/>
      <c r="HAY1" s="21"/>
      <c r="HAZ1" s="21"/>
      <c r="HBA1" s="21"/>
      <c r="HBB1" s="21"/>
      <c r="HBC1" s="21"/>
      <c r="HBD1" s="21"/>
      <c r="HBE1" s="21"/>
      <c r="HBF1" s="21"/>
      <c r="HBG1" s="21"/>
      <c r="HBH1" s="21"/>
      <c r="HBI1" s="21"/>
      <c r="HBJ1" s="21"/>
      <c r="HBK1" s="21"/>
      <c r="HBL1" s="21"/>
      <c r="HBM1" s="20" t="s">
        <v>297</v>
      </c>
      <c r="HBN1" s="21"/>
      <c r="HBO1" s="21"/>
      <c r="HBP1" s="21"/>
      <c r="HBQ1" s="21"/>
      <c r="HBR1" s="21"/>
      <c r="HBS1" s="21"/>
      <c r="HBT1" s="21"/>
      <c r="HBU1" s="21"/>
      <c r="HBV1" s="21"/>
      <c r="HBW1" s="21"/>
      <c r="HBX1" s="21"/>
      <c r="HBY1" s="21"/>
      <c r="HBZ1" s="21"/>
      <c r="HCA1" s="21"/>
      <c r="HCB1" s="21"/>
      <c r="HCC1" s="20" t="s">
        <v>297</v>
      </c>
      <c r="HCD1" s="21"/>
      <c r="HCE1" s="21"/>
      <c r="HCF1" s="21"/>
      <c r="HCG1" s="21"/>
      <c r="HCH1" s="21"/>
      <c r="HCI1" s="21"/>
      <c r="HCJ1" s="21"/>
      <c r="HCK1" s="21"/>
      <c r="HCL1" s="21"/>
      <c r="HCM1" s="21"/>
      <c r="HCN1" s="21"/>
      <c r="HCO1" s="21"/>
      <c r="HCP1" s="21"/>
      <c r="HCQ1" s="21"/>
      <c r="HCR1" s="21"/>
      <c r="HCS1" s="20" t="s">
        <v>297</v>
      </c>
      <c r="HCT1" s="21"/>
      <c r="HCU1" s="21"/>
      <c r="HCV1" s="21"/>
      <c r="HCW1" s="21"/>
      <c r="HCX1" s="21"/>
      <c r="HCY1" s="21"/>
      <c r="HCZ1" s="21"/>
      <c r="HDA1" s="21"/>
      <c r="HDB1" s="21"/>
      <c r="HDC1" s="21"/>
      <c r="HDD1" s="21"/>
      <c r="HDE1" s="21"/>
      <c r="HDF1" s="21"/>
      <c r="HDG1" s="21"/>
      <c r="HDH1" s="21"/>
      <c r="HDI1" s="20" t="s">
        <v>297</v>
      </c>
      <c r="HDJ1" s="21"/>
      <c r="HDK1" s="21"/>
      <c r="HDL1" s="21"/>
      <c r="HDM1" s="21"/>
      <c r="HDN1" s="21"/>
      <c r="HDO1" s="21"/>
      <c r="HDP1" s="21"/>
      <c r="HDQ1" s="21"/>
      <c r="HDR1" s="21"/>
      <c r="HDS1" s="21"/>
      <c r="HDT1" s="21"/>
      <c r="HDU1" s="21"/>
      <c r="HDV1" s="21"/>
      <c r="HDW1" s="21"/>
      <c r="HDX1" s="21"/>
      <c r="HDY1" s="20" t="s">
        <v>297</v>
      </c>
      <c r="HDZ1" s="21"/>
      <c r="HEA1" s="21"/>
      <c r="HEB1" s="21"/>
      <c r="HEC1" s="21"/>
      <c r="HED1" s="21"/>
      <c r="HEE1" s="21"/>
      <c r="HEF1" s="21"/>
      <c r="HEG1" s="21"/>
      <c r="HEH1" s="21"/>
      <c r="HEI1" s="21"/>
      <c r="HEJ1" s="21"/>
      <c r="HEK1" s="21"/>
      <c r="HEL1" s="21"/>
      <c r="HEM1" s="21"/>
      <c r="HEN1" s="21"/>
      <c r="HEO1" s="20" t="s">
        <v>297</v>
      </c>
      <c r="HEP1" s="21"/>
      <c r="HEQ1" s="21"/>
      <c r="HER1" s="21"/>
      <c r="HES1" s="21"/>
      <c r="HET1" s="21"/>
      <c r="HEU1" s="21"/>
      <c r="HEV1" s="21"/>
      <c r="HEW1" s="21"/>
      <c r="HEX1" s="21"/>
      <c r="HEY1" s="21"/>
      <c r="HEZ1" s="21"/>
      <c r="HFA1" s="21"/>
      <c r="HFB1" s="21"/>
      <c r="HFC1" s="21"/>
      <c r="HFD1" s="21"/>
      <c r="HFE1" s="20" t="s">
        <v>297</v>
      </c>
      <c r="HFF1" s="21"/>
      <c r="HFG1" s="21"/>
      <c r="HFH1" s="21"/>
      <c r="HFI1" s="21"/>
      <c r="HFJ1" s="21"/>
      <c r="HFK1" s="21"/>
      <c r="HFL1" s="21"/>
      <c r="HFM1" s="21"/>
      <c r="HFN1" s="21"/>
      <c r="HFO1" s="21"/>
      <c r="HFP1" s="21"/>
      <c r="HFQ1" s="21"/>
      <c r="HFR1" s="21"/>
      <c r="HFS1" s="21"/>
      <c r="HFT1" s="21"/>
      <c r="HFU1" s="20" t="s">
        <v>297</v>
      </c>
      <c r="HFV1" s="21"/>
      <c r="HFW1" s="21"/>
      <c r="HFX1" s="21"/>
      <c r="HFY1" s="21"/>
      <c r="HFZ1" s="21"/>
      <c r="HGA1" s="21"/>
      <c r="HGB1" s="21"/>
      <c r="HGC1" s="21"/>
      <c r="HGD1" s="21"/>
      <c r="HGE1" s="21"/>
      <c r="HGF1" s="21"/>
      <c r="HGG1" s="21"/>
      <c r="HGH1" s="21"/>
      <c r="HGI1" s="21"/>
      <c r="HGJ1" s="21"/>
      <c r="HGK1" s="20" t="s">
        <v>297</v>
      </c>
      <c r="HGL1" s="21"/>
      <c r="HGM1" s="21"/>
      <c r="HGN1" s="21"/>
      <c r="HGO1" s="21"/>
      <c r="HGP1" s="21"/>
      <c r="HGQ1" s="21"/>
      <c r="HGR1" s="21"/>
      <c r="HGS1" s="21"/>
      <c r="HGT1" s="21"/>
      <c r="HGU1" s="21"/>
      <c r="HGV1" s="21"/>
      <c r="HGW1" s="21"/>
      <c r="HGX1" s="21"/>
      <c r="HGY1" s="21"/>
      <c r="HGZ1" s="21"/>
      <c r="HHA1" s="20" t="s">
        <v>297</v>
      </c>
      <c r="HHB1" s="21"/>
      <c r="HHC1" s="21"/>
      <c r="HHD1" s="21"/>
      <c r="HHE1" s="21"/>
      <c r="HHF1" s="21"/>
      <c r="HHG1" s="21"/>
      <c r="HHH1" s="21"/>
      <c r="HHI1" s="21"/>
      <c r="HHJ1" s="21"/>
      <c r="HHK1" s="21"/>
      <c r="HHL1" s="21"/>
      <c r="HHM1" s="21"/>
      <c r="HHN1" s="21"/>
      <c r="HHO1" s="21"/>
      <c r="HHP1" s="21"/>
      <c r="HHQ1" s="20" t="s">
        <v>297</v>
      </c>
      <c r="HHR1" s="21"/>
      <c r="HHS1" s="21"/>
      <c r="HHT1" s="21"/>
      <c r="HHU1" s="21"/>
      <c r="HHV1" s="21"/>
      <c r="HHW1" s="21"/>
      <c r="HHX1" s="21"/>
      <c r="HHY1" s="21"/>
      <c r="HHZ1" s="21"/>
      <c r="HIA1" s="21"/>
      <c r="HIB1" s="21"/>
      <c r="HIC1" s="21"/>
      <c r="HID1" s="21"/>
      <c r="HIE1" s="21"/>
      <c r="HIF1" s="21"/>
      <c r="HIG1" s="20" t="s">
        <v>297</v>
      </c>
      <c r="HIH1" s="21"/>
      <c r="HII1" s="21"/>
      <c r="HIJ1" s="21"/>
      <c r="HIK1" s="21"/>
      <c r="HIL1" s="21"/>
      <c r="HIM1" s="21"/>
      <c r="HIN1" s="21"/>
      <c r="HIO1" s="21"/>
      <c r="HIP1" s="21"/>
      <c r="HIQ1" s="21"/>
      <c r="HIR1" s="21"/>
      <c r="HIS1" s="21"/>
      <c r="HIT1" s="21"/>
      <c r="HIU1" s="21"/>
      <c r="HIV1" s="21"/>
      <c r="HIW1" s="20" t="s">
        <v>297</v>
      </c>
      <c r="HIX1" s="21"/>
      <c r="HIY1" s="21"/>
      <c r="HIZ1" s="21"/>
      <c r="HJA1" s="21"/>
      <c r="HJB1" s="21"/>
      <c r="HJC1" s="21"/>
      <c r="HJD1" s="21"/>
      <c r="HJE1" s="21"/>
      <c r="HJF1" s="21"/>
      <c r="HJG1" s="21"/>
      <c r="HJH1" s="21"/>
      <c r="HJI1" s="21"/>
      <c r="HJJ1" s="21"/>
      <c r="HJK1" s="21"/>
      <c r="HJL1" s="21"/>
      <c r="HJM1" s="20" t="s">
        <v>297</v>
      </c>
      <c r="HJN1" s="21"/>
      <c r="HJO1" s="21"/>
      <c r="HJP1" s="21"/>
      <c r="HJQ1" s="21"/>
      <c r="HJR1" s="21"/>
      <c r="HJS1" s="21"/>
      <c r="HJT1" s="21"/>
      <c r="HJU1" s="21"/>
      <c r="HJV1" s="21"/>
      <c r="HJW1" s="21"/>
      <c r="HJX1" s="21"/>
      <c r="HJY1" s="21"/>
      <c r="HJZ1" s="21"/>
      <c r="HKA1" s="21"/>
      <c r="HKB1" s="21"/>
      <c r="HKC1" s="20" t="s">
        <v>297</v>
      </c>
      <c r="HKD1" s="21"/>
      <c r="HKE1" s="21"/>
      <c r="HKF1" s="21"/>
      <c r="HKG1" s="21"/>
      <c r="HKH1" s="21"/>
      <c r="HKI1" s="21"/>
      <c r="HKJ1" s="21"/>
      <c r="HKK1" s="21"/>
      <c r="HKL1" s="21"/>
      <c r="HKM1" s="21"/>
      <c r="HKN1" s="21"/>
      <c r="HKO1" s="21"/>
      <c r="HKP1" s="21"/>
      <c r="HKQ1" s="21"/>
      <c r="HKR1" s="21"/>
      <c r="HKS1" s="20" t="s">
        <v>297</v>
      </c>
      <c r="HKT1" s="21"/>
      <c r="HKU1" s="21"/>
      <c r="HKV1" s="21"/>
      <c r="HKW1" s="21"/>
      <c r="HKX1" s="21"/>
      <c r="HKY1" s="21"/>
      <c r="HKZ1" s="21"/>
      <c r="HLA1" s="21"/>
      <c r="HLB1" s="21"/>
      <c r="HLC1" s="21"/>
      <c r="HLD1" s="21"/>
      <c r="HLE1" s="21"/>
      <c r="HLF1" s="21"/>
      <c r="HLG1" s="21"/>
      <c r="HLH1" s="21"/>
      <c r="HLI1" s="20" t="s">
        <v>297</v>
      </c>
      <c r="HLJ1" s="21"/>
      <c r="HLK1" s="21"/>
      <c r="HLL1" s="21"/>
      <c r="HLM1" s="21"/>
      <c r="HLN1" s="21"/>
      <c r="HLO1" s="21"/>
      <c r="HLP1" s="21"/>
      <c r="HLQ1" s="21"/>
      <c r="HLR1" s="21"/>
      <c r="HLS1" s="21"/>
      <c r="HLT1" s="21"/>
      <c r="HLU1" s="21"/>
      <c r="HLV1" s="21"/>
      <c r="HLW1" s="21"/>
      <c r="HLX1" s="21"/>
      <c r="HLY1" s="20" t="s">
        <v>297</v>
      </c>
      <c r="HLZ1" s="21"/>
      <c r="HMA1" s="21"/>
      <c r="HMB1" s="21"/>
      <c r="HMC1" s="21"/>
      <c r="HMD1" s="21"/>
      <c r="HME1" s="21"/>
      <c r="HMF1" s="21"/>
      <c r="HMG1" s="21"/>
      <c r="HMH1" s="21"/>
      <c r="HMI1" s="21"/>
      <c r="HMJ1" s="21"/>
      <c r="HMK1" s="21"/>
      <c r="HML1" s="21"/>
      <c r="HMM1" s="21"/>
      <c r="HMN1" s="21"/>
      <c r="HMO1" s="20" t="s">
        <v>297</v>
      </c>
      <c r="HMP1" s="21"/>
      <c r="HMQ1" s="21"/>
      <c r="HMR1" s="21"/>
      <c r="HMS1" s="21"/>
      <c r="HMT1" s="21"/>
      <c r="HMU1" s="21"/>
      <c r="HMV1" s="21"/>
      <c r="HMW1" s="21"/>
      <c r="HMX1" s="21"/>
      <c r="HMY1" s="21"/>
      <c r="HMZ1" s="21"/>
      <c r="HNA1" s="21"/>
      <c r="HNB1" s="21"/>
      <c r="HNC1" s="21"/>
      <c r="HND1" s="21"/>
      <c r="HNE1" s="20" t="s">
        <v>297</v>
      </c>
      <c r="HNF1" s="21"/>
      <c r="HNG1" s="21"/>
      <c r="HNH1" s="21"/>
      <c r="HNI1" s="21"/>
      <c r="HNJ1" s="21"/>
      <c r="HNK1" s="21"/>
      <c r="HNL1" s="21"/>
      <c r="HNM1" s="21"/>
      <c r="HNN1" s="21"/>
      <c r="HNO1" s="21"/>
      <c r="HNP1" s="21"/>
      <c r="HNQ1" s="21"/>
      <c r="HNR1" s="21"/>
      <c r="HNS1" s="21"/>
      <c r="HNT1" s="21"/>
      <c r="HNU1" s="20" t="s">
        <v>297</v>
      </c>
      <c r="HNV1" s="21"/>
      <c r="HNW1" s="21"/>
      <c r="HNX1" s="21"/>
      <c r="HNY1" s="21"/>
      <c r="HNZ1" s="21"/>
      <c r="HOA1" s="21"/>
      <c r="HOB1" s="21"/>
      <c r="HOC1" s="21"/>
      <c r="HOD1" s="21"/>
      <c r="HOE1" s="21"/>
      <c r="HOF1" s="21"/>
      <c r="HOG1" s="21"/>
      <c r="HOH1" s="21"/>
      <c r="HOI1" s="21"/>
      <c r="HOJ1" s="21"/>
      <c r="HOK1" s="20" t="s">
        <v>297</v>
      </c>
      <c r="HOL1" s="21"/>
      <c r="HOM1" s="21"/>
      <c r="HON1" s="21"/>
      <c r="HOO1" s="21"/>
      <c r="HOP1" s="21"/>
      <c r="HOQ1" s="21"/>
      <c r="HOR1" s="21"/>
      <c r="HOS1" s="21"/>
      <c r="HOT1" s="21"/>
      <c r="HOU1" s="21"/>
      <c r="HOV1" s="21"/>
      <c r="HOW1" s="21"/>
      <c r="HOX1" s="21"/>
      <c r="HOY1" s="21"/>
      <c r="HOZ1" s="21"/>
      <c r="HPA1" s="20" t="s">
        <v>297</v>
      </c>
      <c r="HPB1" s="21"/>
      <c r="HPC1" s="21"/>
      <c r="HPD1" s="21"/>
      <c r="HPE1" s="21"/>
      <c r="HPF1" s="21"/>
      <c r="HPG1" s="21"/>
      <c r="HPH1" s="21"/>
      <c r="HPI1" s="21"/>
      <c r="HPJ1" s="21"/>
      <c r="HPK1" s="21"/>
      <c r="HPL1" s="21"/>
      <c r="HPM1" s="21"/>
      <c r="HPN1" s="21"/>
      <c r="HPO1" s="21"/>
      <c r="HPP1" s="21"/>
      <c r="HPQ1" s="20" t="s">
        <v>297</v>
      </c>
      <c r="HPR1" s="21"/>
      <c r="HPS1" s="21"/>
      <c r="HPT1" s="21"/>
      <c r="HPU1" s="21"/>
      <c r="HPV1" s="21"/>
      <c r="HPW1" s="21"/>
      <c r="HPX1" s="21"/>
      <c r="HPY1" s="21"/>
      <c r="HPZ1" s="21"/>
      <c r="HQA1" s="21"/>
      <c r="HQB1" s="21"/>
      <c r="HQC1" s="21"/>
      <c r="HQD1" s="21"/>
      <c r="HQE1" s="21"/>
      <c r="HQF1" s="21"/>
      <c r="HQG1" s="20" t="s">
        <v>297</v>
      </c>
      <c r="HQH1" s="21"/>
      <c r="HQI1" s="21"/>
      <c r="HQJ1" s="21"/>
      <c r="HQK1" s="21"/>
      <c r="HQL1" s="21"/>
      <c r="HQM1" s="21"/>
      <c r="HQN1" s="21"/>
      <c r="HQO1" s="21"/>
      <c r="HQP1" s="21"/>
      <c r="HQQ1" s="21"/>
      <c r="HQR1" s="21"/>
      <c r="HQS1" s="21"/>
      <c r="HQT1" s="21"/>
      <c r="HQU1" s="21"/>
      <c r="HQV1" s="21"/>
      <c r="HQW1" s="20" t="s">
        <v>297</v>
      </c>
      <c r="HQX1" s="21"/>
      <c r="HQY1" s="21"/>
      <c r="HQZ1" s="21"/>
      <c r="HRA1" s="21"/>
      <c r="HRB1" s="21"/>
      <c r="HRC1" s="21"/>
      <c r="HRD1" s="21"/>
      <c r="HRE1" s="21"/>
      <c r="HRF1" s="21"/>
      <c r="HRG1" s="21"/>
      <c r="HRH1" s="21"/>
      <c r="HRI1" s="21"/>
      <c r="HRJ1" s="21"/>
      <c r="HRK1" s="21"/>
      <c r="HRL1" s="21"/>
      <c r="HRM1" s="20" t="s">
        <v>297</v>
      </c>
      <c r="HRN1" s="21"/>
      <c r="HRO1" s="21"/>
      <c r="HRP1" s="21"/>
      <c r="HRQ1" s="21"/>
      <c r="HRR1" s="21"/>
      <c r="HRS1" s="21"/>
      <c r="HRT1" s="21"/>
      <c r="HRU1" s="21"/>
      <c r="HRV1" s="21"/>
      <c r="HRW1" s="21"/>
      <c r="HRX1" s="21"/>
      <c r="HRY1" s="21"/>
      <c r="HRZ1" s="21"/>
      <c r="HSA1" s="21"/>
      <c r="HSB1" s="21"/>
      <c r="HSC1" s="20" t="s">
        <v>297</v>
      </c>
      <c r="HSD1" s="21"/>
      <c r="HSE1" s="21"/>
      <c r="HSF1" s="21"/>
      <c r="HSG1" s="21"/>
      <c r="HSH1" s="21"/>
      <c r="HSI1" s="21"/>
      <c r="HSJ1" s="21"/>
      <c r="HSK1" s="21"/>
      <c r="HSL1" s="21"/>
      <c r="HSM1" s="21"/>
      <c r="HSN1" s="21"/>
      <c r="HSO1" s="21"/>
      <c r="HSP1" s="21"/>
      <c r="HSQ1" s="21"/>
      <c r="HSR1" s="21"/>
      <c r="HSS1" s="20" t="s">
        <v>297</v>
      </c>
      <c r="HST1" s="21"/>
      <c r="HSU1" s="21"/>
      <c r="HSV1" s="21"/>
      <c r="HSW1" s="21"/>
      <c r="HSX1" s="21"/>
      <c r="HSY1" s="21"/>
      <c r="HSZ1" s="21"/>
      <c r="HTA1" s="21"/>
      <c r="HTB1" s="21"/>
      <c r="HTC1" s="21"/>
      <c r="HTD1" s="21"/>
      <c r="HTE1" s="21"/>
      <c r="HTF1" s="21"/>
      <c r="HTG1" s="21"/>
      <c r="HTH1" s="21"/>
      <c r="HTI1" s="20" t="s">
        <v>297</v>
      </c>
      <c r="HTJ1" s="21"/>
      <c r="HTK1" s="21"/>
      <c r="HTL1" s="21"/>
      <c r="HTM1" s="21"/>
      <c r="HTN1" s="21"/>
      <c r="HTO1" s="21"/>
      <c r="HTP1" s="21"/>
      <c r="HTQ1" s="21"/>
      <c r="HTR1" s="21"/>
      <c r="HTS1" s="21"/>
      <c r="HTT1" s="21"/>
      <c r="HTU1" s="21"/>
      <c r="HTV1" s="21"/>
      <c r="HTW1" s="21"/>
      <c r="HTX1" s="21"/>
      <c r="HTY1" s="20" t="s">
        <v>297</v>
      </c>
      <c r="HTZ1" s="21"/>
      <c r="HUA1" s="21"/>
      <c r="HUB1" s="21"/>
      <c r="HUC1" s="21"/>
      <c r="HUD1" s="21"/>
      <c r="HUE1" s="21"/>
      <c r="HUF1" s="21"/>
      <c r="HUG1" s="21"/>
      <c r="HUH1" s="21"/>
      <c r="HUI1" s="21"/>
      <c r="HUJ1" s="21"/>
      <c r="HUK1" s="21"/>
      <c r="HUL1" s="21"/>
      <c r="HUM1" s="21"/>
      <c r="HUN1" s="21"/>
      <c r="HUO1" s="20" t="s">
        <v>297</v>
      </c>
      <c r="HUP1" s="21"/>
      <c r="HUQ1" s="21"/>
      <c r="HUR1" s="21"/>
      <c r="HUS1" s="21"/>
      <c r="HUT1" s="21"/>
      <c r="HUU1" s="21"/>
      <c r="HUV1" s="21"/>
      <c r="HUW1" s="21"/>
      <c r="HUX1" s="21"/>
      <c r="HUY1" s="21"/>
      <c r="HUZ1" s="21"/>
      <c r="HVA1" s="21"/>
      <c r="HVB1" s="21"/>
      <c r="HVC1" s="21"/>
      <c r="HVD1" s="21"/>
      <c r="HVE1" s="20" t="s">
        <v>297</v>
      </c>
      <c r="HVF1" s="21"/>
      <c r="HVG1" s="21"/>
      <c r="HVH1" s="21"/>
      <c r="HVI1" s="21"/>
      <c r="HVJ1" s="21"/>
      <c r="HVK1" s="21"/>
      <c r="HVL1" s="21"/>
      <c r="HVM1" s="21"/>
      <c r="HVN1" s="21"/>
      <c r="HVO1" s="21"/>
      <c r="HVP1" s="21"/>
      <c r="HVQ1" s="21"/>
      <c r="HVR1" s="21"/>
      <c r="HVS1" s="21"/>
      <c r="HVT1" s="21"/>
      <c r="HVU1" s="20" t="s">
        <v>297</v>
      </c>
      <c r="HVV1" s="21"/>
      <c r="HVW1" s="21"/>
      <c r="HVX1" s="21"/>
      <c r="HVY1" s="21"/>
      <c r="HVZ1" s="21"/>
      <c r="HWA1" s="21"/>
      <c r="HWB1" s="21"/>
      <c r="HWC1" s="21"/>
      <c r="HWD1" s="21"/>
      <c r="HWE1" s="21"/>
      <c r="HWF1" s="21"/>
      <c r="HWG1" s="21"/>
      <c r="HWH1" s="21"/>
      <c r="HWI1" s="21"/>
      <c r="HWJ1" s="21"/>
      <c r="HWK1" s="20" t="s">
        <v>297</v>
      </c>
      <c r="HWL1" s="21"/>
      <c r="HWM1" s="21"/>
      <c r="HWN1" s="21"/>
      <c r="HWO1" s="21"/>
      <c r="HWP1" s="21"/>
      <c r="HWQ1" s="21"/>
      <c r="HWR1" s="21"/>
      <c r="HWS1" s="21"/>
      <c r="HWT1" s="21"/>
      <c r="HWU1" s="21"/>
      <c r="HWV1" s="21"/>
      <c r="HWW1" s="21"/>
      <c r="HWX1" s="21"/>
      <c r="HWY1" s="21"/>
      <c r="HWZ1" s="21"/>
      <c r="HXA1" s="20" t="s">
        <v>297</v>
      </c>
      <c r="HXB1" s="21"/>
      <c r="HXC1" s="21"/>
      <c r="HXD1" s="21"/>
      <c r="HXE1" s="21"/>
      <c r="HXF1" s="21"/>
      <c r="HXG1" s="21"/>
      <c r="HXH1" s="21"/>
      <c r="HXI1" s="21"/>
      <c r="HXJ1" s="21"/>
      <c r="HXK1" s="21"/>
      <c r="HXL1" s="21"/>
      <c r="HXM1" s="21"/>
      <c r="HXN1" s="21"/>
      <c r="HXO1" s="21"/>
      <c r="HXP1" s="21"/>
      <c r="HXQ1" s="20" t="s">
        <v>297</v>
      </c>
      <c r="HXR1" s="21"/>
      <c r="HXS1" s="21"/>
      <c r="HXT1" s="21"/>
      <c r="HXU1" s="21"/>
      <c r="HXV1" s="21"/>
      <c r="HXW1" s="21"/>
      <c r="HXX1" s="21"/>
      <c r="HXY1" s="21"/>
      <c r="HXZ1" s="21"/>
      <c r="HYA1" s="21"/>
      <c r="HYB1" s="21"/>
      <c r="HYC1" s="21"/>
      <c r="HYD1" s="21"/>
      <c r="HYE1" s="21"/>
      <c r="HYF1" s="21"/>
      <c r="HYG1" s="20" t="s">
        <v>297</v>
      </c>
      <c r="HYH1" s="21"/>
      <c r="HYI1" s="21"/>
      <c r="HYJ1" s="21"/>
      <c r="HYK1" s="21"/>
      <c r="HYL1" s="21"/>
      <c r="HYM1" s="21"/>
      <c r="HYN1" s="21"/>
      <c r="HYO1" s="21"/>
      <c r="HYP1" s="21"/>
      <c r="HYQ1" s="21"/>
      <c r="HYR1" s="21"/>
      <c r="HYS1" s="21"/>
      <c r="HYT1" s="21"/>
      <c r="HYU1" s="21"/>
      <c r="HYV1" s="21"/>
      <c r="HYW1" s="20" t="s">
        <v>297</v>
      </c>
      <c r="HYX1" s="21"/>
      <c r="HYY1" s="21"/>
      <c r="HYZ1" s="21"/>
      <c r="HZA1" s="21"/>
      <c r="HZB1" s="21"/>
      <c r="HZC1" s="21"/>
      <c r="HZD1" s="21"/>
      <c r="HZE1" s="21"/>
      <c r="HZF1" s="21"/>
      <c r="HZG1" s="21"/>
      <c r="HZH1" s="21"/>
      <c r="HZI1" s="21"/>
      <c r="HZJ1" s="21"/>
      <c r="HZK1" s="21"/>
      <c r="HZL1" s="21"/>
      <c r="HZM1" s="20" t="s">
        <v>297</v>
      </c>
      <c r="HZN1" s="21"/>
      <c r="HZO1" s="21"/>
      <c r="HZP1" s="21"/>
      <c r="HZQ1" s="21"/>
      <c r="HZR1" s="21"/>
      <c r="HZS1" s="21"/>
      <c r="HZT1" s="21"/>
      <c r="HZU1" s="21"/>
      <c r="HZV1" s="21"/>
      <c r="HZW1" s="21"/>
      <c r="HZX1" s="21"/>
      <c r="HZY1" s="21"/>
      <c r="HZZ1" s="21"/>
      <c r="IAA1" s="21"/>
      <c r="IAB1" s="21"/>
      <c r="IAC1" s="20" t="s">
        <v>297</v>
      </c>
      <c r="IAD1" s="21"/>
      <c r="IAE1" s="21"/>
      <c r="IAF1" s="21"/>
      <c r="IAG1" s="21"/>
      <c r="IAH1" s="21"/>
      <c r="IAI1" s="21"/>
      <c r="IAJ1" s="21"/>
      <c r="IAK1" s="21"/>
      <c r="IAL1" s="21"/>
      <c r="IAM1" s="21"/>
      <c r="IAN1" s="21"/>
      <c r="IAO1" s="21"/>
      <c r="IAP1" s="21"/>
      <c r="IAQ1" s="21"/>
      <c r="IAR1" s="21"/>
      <c r="IAS1" s="20" t="s">
        <v>297</v>
      </c>
      <c r="IAT1" s="21"/>
      <c r="IAU1" s="21"/>
      <c r="IAV1" s="21"/>
      <c r="IAW1" s="21"/>
      <c r="IAX1" s="21"/>
      <c r="IAY1" s="21"/>
      <c r="IAZ1" s="21"/>
      <c r="IBA1" s="21"/>
      <c r="IBB1" s="21"/>
      <c r="IBC1" s="21"/>
      <c r="IBD1" s="21"/>
      <c r="IBE1" s="21"/>
      <c r="IBF1" s="21"/>
      <c r="IBG1" s="21"/>
      <c r="IBH1" s="21"/>
      <c r="IBI1" s="20" t="s">
        <v>297</v>
      </c>
      <c r="IBJ1" s="21"/>
      <c r="IBK1" s="21"/>
      <c r="IBL1" s="21"/>
      <c r="IBM1" s="21"/>
      <c r="IBN1" s="21"/>
      <c r="IBO1" s="21"/>
      <c r="IBP1" s="21"/>
      <c r="IBQ1" s="21"/>
      <c r="IBR1" s="21"/>
      <c r="IBS1" s="21"/>
      <c r="IBT1" s="21"/>
      <c r="IBU1" s="21"/>
      <c r="IBV1" s="21"/>
      <c r="IBW1" s="21"/>
      <c r="IBX1" s="21"/>
      <c r="IBY1" s="20" t="s">
        <v>297</v>
      </c>
      <c r="IBZ1" s="21"/>
      <c r="ICA1" s="21"/>
      <c r="ICB1" s="21"/>
      <c r="ICC1" s="21"/>
      <c r="ICD1" s="21"/>
      <c r="ICE1" s="21"/>
      <c r="ICF1" s="21"/>
      <c r="ICG1" s="21"/>
      <c r="ICH1" s="21"/>
      <c r="ICI1" s="21"/>
      <c r="ICJ1" s="21"/>
      <c r="ICK1" s="21"/>
      <c r="ICL1" s="21"/>
      <c r="ICM1" s="21"/>
      <c r="ICN1" s="21"/>
      <c r="ICO1" s="20" t="s">
        <v>297</v>
      </c>
      <c r="ICP1" s="21"/>
      <c r="ICQ1" s="21"/>
      <c r="ICR1" s="21"/>
      <c r="ICS1" s="21"/>
      <c r="ICT1" s="21"/>
      <c r="ICU1" s="21"/>
      <c r="ICV1" s="21"/>
      <c r="ICW1" s="21"/>
      <c r="ICX1" s="21"/>
      <c r="ICY1" s="21"/>
      <c r="ICZ1" s="21"/>
      <c r="IDA1" s="21"/>
      <c r="IDB1" s="21"/>
      <c r="IDC1" s="21"/>
      <c r="IDD1" s="21"/>
      <c r="IDE1" s="20" t="s">
        <v>297</v>
      </c>
      <c r="IDF1" s="21"/>
      <c r="IDG1" s="21"/>
      <c r="IDH1" s="21"/>
      <c r="IDI1" s="21"/>
      <c r="IDJ1" s="21"/>
      <c r="IDK1" s="21"/>
      <c r="IDL1" s="21"/>
      <c r="IDM1" s="21"/>
      <c r="IDN1" s="21"/>
      <c r="IDO1" s="21"/>
      <c r="IDP1" s="21"/>
      <c r="IDQ1" s="21"/>
      <c r="IDR1" s="21"/>
      <c r="IDS1" s="21"/>
      <c r="IDT1" s="21"/>
      <c r="IDU1" s="20" t="s">
        <v>297</v>
      </c>
      <c r="IDV1" s="21"/>
      <c r="IDW1" s="21"/>
      <c r="IDX1" s="21"/>
      <c r="IDY1" s="21"/>
      <c r="IDZ1" s="21"/>
      <c r="IEA1" s="21"/>
      <c r="IEB1" s="21"/>
      <c r="IEC1" s="21"/>
      <c r="IED1" s="21"/>
      <c r="IEE1" s="21"/>
      <c r="IEF1" s="21"/>
      <c r="IEG1" s="21"/>
      <c r="IEH1" s="21"/>
      <c r="IEI1" s="21"/>
      <c r="IEJ1" s="21"/>
      <c r="IEK1" s="20" t="s">
        <v>297</v>
      </c>
      <c r="IEL1" s="21"/>
      <c r="IEM1" s="21"/>
      <c r="IEN1" s="21"/>
      <c r="IEO1" s="21"/>
      <c r="IEP1" s="21"/>
      <c r="IEQ1" s="21"/>
      <c r="IER1" s="21"/>
      <c r="IES1" s="21"/>
      <c r="IET1" s="21"/>
      <c r="IEU1" s="21"/>
      <c r="IEV1" s="21"/>
      <c r="IEW1" s="21"/>
      <c r="IEX1" s="21"/>
      <c r="IEY1" s="21"/>
      <c r="IEZ1" s="21"/>
      <c r="IFA1" s="20" t="s">
        <v>297</v>
      </c>
      <c r="IFB1" s="21"/>
      <c r="IFC1" s="21"/>
      <c r="IFD1" s="21"/>
      <c r="IFE1" s="21"/>
      <c r="IFF1" s="21"/>
      <c r="IFG1" s="21"/>
      <c r="IFH1" s="21"/>
      <c r="IFI1" s="21"/>
      <c r="IFJ1" s="21"/>
      <c r="IFK1" s="21"/>
      <c r="IFL1" s="21"/>
      <c r="IFM1" s="21"/>
      <c r="IFN1" s="21"/>
      <c r="IFO1" s="21"/>
      <c r="IFP1" s="21"/>
      <c r="IFQ1" s="20" t="s">
        <v>297</v>
      </c>
      <c r="IFR1" s="21"/>
      <c r="IFS1" s="21"/>
      <c r="IFT1" s="21"/>
      <c r="IFU1" s="21"/>
      <c r="IFV1" s="21"/>
      <c r="IFW1" s="21"/>
      <c r="IFX1" s="21"/>
      <c r="IFY1" s="21"/>
      <c r="IFZ1" s="21"/>
      <c r="IGA1" s="21"/>
      <c r="IGB1" s="21"/>
      <c r="IGC1" s="21"/>
      <c r="IGD1" s="21"/>
      <c r="IGE1" s="21"/>
      <c r="IGF1" s="21"/>
      <c r="IGG1" s="20" t="s">
        <v>297</v>
      </c>
      <c r="IGH1" s="21"/>
      <c r="IGI1" s="21"/>
      <c r="IGJ1" s="21"/>
      <c r="IGK1" s="21"/>
      <c r="IGL1" s="21"/>
      <c r="IGM1" s="21"/>
      <c r="IGN1" s="21"/>
      <c r="IGO1" s="21"/>
      <c r="IGP1" s="21"/>
      <c r="IGQ1" s="21"/>
      <c r="IGR1" s="21"/>
      <c r="IGS1" s="21"/>
      <c r="IGT1" s="21"/>
      <c r="IGU1" s="21"/>
      <c r="IGV1" s="21"/>
      <c r="IGW1" s="20" t="s">
        <v>297</v>
      </c>
      <c r="IGX1" s="21"/>
      <c r="IGY1" s="21"/>
      <c r="IGZ1" s="21"/>
      <c r="IHA1" s="21"/>
      <c r="IHB1" s="21"/>
      <c r="IHC1" s="21"/>
      <c r="IHD1" s="21"/>
      <c r="IHE1" s="21"/>
      <c r="IHF1" s="21"/>
      <c r="IHG1" s="21"/>
      <c r="IHH1" s="21"/>
      <c r="IHI1" s="21"/>
      <c r="IHJ1" s="21"/>
      <c r="IHK1" s="21"/>
      <c r="IHL1" s="21"/>
      <c r="IHM1" s="20" t="s">
        <v>297</v>
      </c>
      <c r="IHN1" s="21"/>
      <c r="IHO1" s="21"/>
      <c r="IHP1" s="21"/>
      <c r="IHQ1" s="21"/>
      <c r="IHR1" s="21"/>
      <c r="IHS1" s="21"/>
      <c r="IHT1" s="21"/>
      <c r="IHU1" s="21"/>
      <c r="IHV1" s="21"/>
      <c r="IHW1" s="21"/>
      <c r="IHX1" s="21"/>
      <c r="IHY1" s="21"/>
      <c r="IHZ1" s="21"/>
      <c r="IIA1" s="21"/>
      <c r="IIB1" s="21"/>
      <c r="IIC1" s="20" t="s">
        <v>297</v>
      </c>
      <c r="IID1" s="21"/>
      <c r="IIE1" s="21"/>
      <c r="IIF1" s="21"/>
      <c r="IIG1" s="21"/>
      <c r="IIH1" s="21"/>
      <c r="III1" s="21"/>
      <c r="IIJ1" s="21"/>
      <c r="IIK1" s="21"/>
      <c r="IIL1" s="21"/>
      <c r="IIM1" s="21"/>
      <c r="IIN1" s="21"/>
      <c r="IIO1" s="21"/>
      <c r="IIP1" s="21"/>
      <c r="IIQ1" s="21"/>
      <c r="IIR1" s="21"/>
      <c r="IIS1" s="20" t="s">
        <v>297</v>
      </c>
      <c r="IIT1" s="21"/>
      <c r="IIU1" s="21"/>
      <c r="IIV1" s="21"/>
      <c r="IIW1" s="21"/>
      <c r="IIX1" s="21"/>
      <c r="IIY1" s="21"/>
      <c r="IIZ1" s="21"/>
      <c r="IJA1" s="21"/>
      <c r="IJB1" s="21"/>
      <c r="IJC1" s="21"/>
      <c r="IJD1" s="21"/>
      <c r="IJE1" s="21"/>
      <c r="IJF1" s="21"/>
      <c r="IJG1" s="21"/>
      <c r="IJH1" s="21"/>
      <c r="IJI1" s="20" t="s">
        <v>297</v>
      </c>
      <c r="IJJ1" s="21"/>
      <c r="IJK1" s="21"/>
      <c r="IJL1" s="21"/>
      <c r="IJM1" s="21"/>
      <c r="IJN1" s="21"/>
      <c r="IJO1" s="21"/>
      <c r="IJP1" s="21"/>
      <c r="IJQ1" s="21"/>
      <c r="IJR1" s="21"/>
      <c r="IJS1" s="21"/>
      <c r="IJT1" s="21"/>
      <c r="IJU1" s="21"/>
      <c r="IJV1" s="21"/>
      <c r="IJW1" s="21"/>
      <c r="IJX1" s="21"/>
      <c r="IJY1" s="20" t="s">
        <v>297</v>
      </c>
      <c r="IJZ1" s="21"/>
      <c r="IKA1" s="21"/>
      <c r="IKB1" s="21"/>
      <c r="IKC1" s="21"/>
      <c r="IKD1" s="21"/>
      <c r="IKE1" s="21"/>
      <c r="IKF1" s="21"/>
      <c r="IKG1" s="21"/>
      <c r="IKH1" s="21"/>
      <c r="IKI1" s="21"/>
      <c r="IKJ1" s="21"/>
      <c r="IKK1" s="21"/>
      <c r="IKL1" s="21"/>
      <c r="IKM1" s="21"/>
      <c r="IKN1" s="21"/>
      <c r="IKO1" s="20" t="s">
        <v>297</v>
      </c>
      <c r="IKP1" s="21"/>
      <c r="IKQ1" s="21"/>
      <c r="IKR1" s="21"/>
      <c r="IKS1" s="21"/>
      <c r="IKT1" s="21"/>
      <c r="IKU1" s="21"/>
      <c r="IKV1" s="21"/>
      <c r="IKW1" s="21"/>
      <c r="IKX1" s="21"/>
      <c r="IKY1" s="21"/>
      <c r="IKZ1" s="21"/>
      <c r="ILA1" s="21"/>
      <c r="ILB1" s="21"/>
      <c r="ILC1" s="21"/>
      <c r="ILD1" s="21"/>
      <c r="ILE1" s="20" t="s">
        <v>297</v>
      </c>
      <c r="ILF1" s="21"/>
      <c r="ILG1" s="21"/>
      <c r="ILH1" s="21"/>
      <c r="ILI1" s="21"/>
      <c r="ILJ1" s="21"/>
      <c r="ILK1" s="21"/>
      <c r="ILL1" s="21"/>
      <c r="ILM1" s="21"/>
      <c r="ILN1" s="21"/>
      <c r="ILO1" s="21"/>
      <c r="ILP1" s="21"/>
      <c r="ILQ1" s="21"/>
      <c r="ILR1" s="21"/>
      <c r="ILS1" s="21"/>
      <c r="ILT1" s="21"/>
      <c r="ILU1" s="20" t="s">
        <v>297</v>
      </c>
      <c r="ILV1" s="21"/>
      <c r="ILW1" s="21"/>
      <c r="ILX1" s="21"/>
      <c r="ILY1" s="21"/>
      <c r="ILZ1" s="21"/>
      <c r="IMA1" s="21"/>
      <c r="IMB1" s="21"/>
      <c r="IMC1" s="21"/>
      <c r="IMD1" s="21"/>
      <c r="IME1" s="21"/>
      <c r="IMF1" s="21"/>
      <c r="IMG1" s="21"/>
      <c r="IMH1" s="21"/>
      <c r="IMI1" s="21"/>
      <c r="IMJ1" s="21"/>
      <c r="IMK1" s="20" t="s">
        <v>297</v>
      </c>
      <c r="IML1" s="21"/>
      <c r="IMM1" s="21"/>
      <c r="IMN1" s="21"/>
      <c r="IMO1" s="21"/>
      <c r="IMP1" s="21"/>
      <c r="IMQ1" s="21"/>
      <c r="IMR1" s="21"/>
      <c r="IMS1" s="21"/>
      <c r="IMT1" s="21"/>
      <c r="IMU1" s="21"/>
      <c r="IMV1" s="21"/>
      <c r="IMW1" s="21"/>
      <c r="IMX1" s="21"/>
      <c r="IMY1" s="21"/>
      <c r="IMZ1" s="21"/>
      <c r="INA1" s="20" t="s">
        <v>297</v>
      </c>
      <c r="INB1" s="21"/>
      <c r="INC1" s="21"/>
      <c r="IND1" s="21"/>
      <c r="INE1" s="21"/>
      <c r="INF1" s="21"/>
      <c r="ING1" s="21"/>
      <c r="INH1" s="21"/>
      <c r="INI1" s="21"/>
      <c r="INJ1" s="21"/>
      <c r="INK1" s="21"/>
      <c r="INL1" s="21"/>
      <c r="INM1" s="21"/>
      <c r="INN1" s="21"/>
      <c r="INO1" s="21"/>
      <c r="INP1" s="21"/>
      <c r="INQ1" s="20" t="s">
        <v>297</v>
      </c>
      <c r="INR1" s="21"/>
      <c r="INS1" s="21"/>
      <c r="INT1" s="21"/>
      <c r="INU1" s="21"/>
      <c r="INV1" s="21"/>
      <c r="INW1" s="21"/>
      <c r="INX1" s="21"/>
      <c r="INY1" s="21"/>
      <c r="INZ1" s="21"/>
      <c r="IOA1" s="21"/>
      <c r="IOB1" s="21"/>
      <c r="IOC1" s="21"/>
      <c r="IOD1" s="21"/>
      <c r="IOE1" s="21"/>
      <c r="IOF1" s="21"/>
      <c r="IOG1" s="20" t="s">
        <v>297</v>
      </c>
      <c r="IOH1" s="21"/>
      <c r="IOI1" s="21"/>
      <c r="IOJ1" s="21"/>
      <c r="IOK1" s="21"/>
      <c r="IOL1" s="21"/>
      <c r="IOM1" s="21"/>
      <c r="ION1" s="21"/>
      <c r="IOO1" s="21"/>
      <c r="IOP1" s="21"/>
      <c r="IOQ1" s="21"/>
      <c r="IOR1" s="21"/>
      <c r="IOS1" s="21"/>
      <c r="IOT1" s="21"/>
      <c r="IOU1" s="21"/>
      <c r="IOV1" s="21"/>
      <c r="IOW1" s="20" t="s">
        <v>297</v>
      </c>
      <c r="IOX1" s="21"/>
      <c r="IOY1" s="21"/>
      <c r="IOZ1" s="21"/>
      <c r="IPA1" s="21"/>
      <c r="IPB1" s="21"/>
      <c r="IPC1" s="21"/>
      <c r="IPD1" s="21"/>
      <c r="IPE1" s="21"/>
      <c r="IPF1" s="21"/>
      <c r="IPG1" s="21"/>
      <c r="IPH1" s="21"/>
      <c r="IPI1" s="21"/>
      <c r="IPJ1" s="21"/>
      <c r="IPK1" s="21"/>
      <c r="IPL1" s="21"/>
      <c r="IPM1" s="20" t="s">
        <v>297</v>
      </c>
      <c r="IPN1" s="21"/>
      <c r="IPO1" s="21"/>
      <c r="IPP1" s="21"/>
      <c r="IPQ1" s="21"/>
      <c r="IPR1" s="21"/>
      <c r="IPS1" s="21"/>
      <c r="IPT1" s="21"/>
      <c r="IPU1" s="21"/>
      <c r="IPV1" s="21"/>
      <c r="IPW1" s="21"/>
      <c r="IPX1" s="21"/>
      <c r="IPY1" s="21"/>
      <c r="IPZ1" s="21"/>
      <c r="IQA1" s="21"/>
      <c r="IQB1" s="21"/>
      <c r="IQC1" s="20" t="s">
        <v>297</v>
      </c>
      <c r="IQD1" s="21"/>
      <c r="IQE1" s="21"/>
      <c r="IQF1" s="21"/>
      <c r="IQG1" s="21"/>
      <c r="IQH1" s="21"/>
      <c r="IQI1" s="21"/>
      <c r="IQJ1" s="21"/>
      <c r="IQK1" s="21"/>
      <c r="IQL1" s="21"/>
      <c r="IQM1" s="21"/>
      <c r="IQN1" s="21"/>
      <c r="IQO1" s="21"/>
      <c r="IQP1" s="21"/>
      <c r="IQQ1" s="21"/>
      <c r="IQR1" s="21"/>
      <c r="IQS1" s="20" t="s">
        <v>297</v>
      </c>
      <c r="IQT1" s="21"/>
      <c r="IQU1" s="21"/>
      <c r="IQV1" s="21"/>
      <c r="IQW1" s="21"/>
      <c r="IQX1" s="21"/>
      <c r="IQY1" s="21"/>
      <c r="IQZ1" s="21"/>
      <c r="IRA1" s="21"/>
      <c r="IRB1" s="21"/>
      <c r="IRC1" s="21"/>
      <c r="IRD1" s="21"/>
      <c r="IRE1" s="21"/>
      <c r="IRF1" s="21"/>
      <c r="IRG1" s="21"/>
      <c r="IRH1" s="21"/>
      <c r="IRI1" s="20" t="s">
        <v>297</v>
      </c>
      <c r="IRJ1" s="21"/>
      <c r="IRK1" s="21"/>
      <c r="IRL1" s="21"/>
      <c r="IRM1" s="21"/>
      <c r="IRN1" s="21"/>
      <c r="IRO1" s="21"/>
      <c r="IRP1" s="21"/>
      <c r="IRQ1" s="21"/>
      <c r="IRR1" s="21"/>
      <c r="IRS1" s="21"/>
      <c r="IRT1" s="21"/>
      <c r="IRU1" s="21"/>
      <c r="IRV1" s="21"/>
      <c r="IRW1" s="21"/>
      <c r="IRX1" s="21"/>
      <c r="IRY1" s="20" t="s">
        <v>297</v>
      </c>
      <c r="IRZ1" s="21"/>
      <c r="ISA1" s="21"/>
      <c r="ISB1" s="21"/>
      <c r="ISC1" s="21"/>
      <c r="ISD1" s="21"/>
      <c r="ISE1" s="21"/>
      <c r="ISF1" s="21"/>
      <c r="ISG1" s="21"/>
      <c r="ISH1" s="21"/>
      <c r="ISI1" s="21"/>
      <c r="ISJ1" s="21"/>
      <c r="ISK1" s="21"/>
      <c r="ISL1" s="21"/>
      <c r="ISM1" s="21"/>
      <c r="ISN1" s="21"/>
      <c r="ISO1" s="20" t="s">
        <v>297</v>
      </c>
      <c r="ISP1" s="21"/>
      <c r="ISQ1" s="21"/>
      <c r="ISR1" s="21"/>
      <c r="ISS1" s="21"/>
      <c r="IST1" s="21"/>
      <c r="ISU1" s="21"/>
      <c r="ISV1" s="21"/>
      <c r="ISW1" s="21"/>
      <c r="ISX1" s="21"/>
      <c r="ISY1" s="21"/>
      <c r="ISZ1" s="21"/>
      <c r="ITA1" s="21"/>
      <c r="ITB1" s="21"/>
      <c r="ITC1" s="21"/>
      <c r="ITD1" s="21"/>
      <c r="ITE1" s="20" t="s">
        <v>297</v>
      </c>
      <c r="ITF1" s="21"/>
      <c r="ITG1" s="21"/>
      <c r="ITH1" s="21"/>
      <c r="ITI1" s="21"/>
      <c r="ITJ1" s="21"/>
      <c r="ITK1" s="21"/>
      <c r="ITL1" s="21"/>
      <c r="ITM1" s="21"/>
      <c r="ITN1" s="21"/>
      <c r="ITO1" s="21"/>
      <c r="ITP1" s="21"/>
      <c r="ITQ1" s="21"/>
      <c r="ITR1" s="21"/>
      <c r="ITS1" s="21"/>
      <c r="ITT1" s="21"/>
      <c r="ITU1" s="20" t="s">
        <v>297</v>
      </c>
      <c r="ITV1" s="21"/>
      <c r="ITW1" s="21"/>
      <c r="ITX1" s="21"/>
      <c r="ITY1" s="21"/>
      <c r="ITZ1" s="21"/>
      <c r="IUA1" s="21"/>
      <c r="IUB1" s="21"/>
      <c r="IUC1" s="21"/>
      <c r="IUD1" s="21"/>
      <c r="IUE1" s="21"/>
      <c r="IUF1" s="21"/>
      <c r="IUG1" s="21"/>
      <c r="IUH1" s="21"/>
      <c r="IUI1" s="21"/>
      <c r="IUJ1" s="21"/>
      <c r="IUK1" s="20" t="s">
        <v>297</v>
      </c>
      <c r="IUL1" s="21"/>
      <c r="IUM1" s="21"/>
      <c r="IUN1" s="21"/>
      <c r="IUO1" s="21"/>
      <c r="IUP1" s="21"/>
      <c r="IUQ1" s="21"/>
      <c r="IUR1" s="21"/>
      <c r="IUS1" s="21"/>
      <c r="IUT1" s="21"/>
      <c r="IUU1" s="21"/>
      <c r="IUV1" s="21"/>
      <c r="IUW1" s="21"/>
      <c r="IUX1" s="21"/>
      <c r="IUY1" s="21"/>
      <c r="IUZ1" s="21"/>
      <c r="IVA1" s="20" t="s">
        <v>297</v>
      </c>
      <c r="IVB1" s="21"/>
      <c r="IVC1" s="21"/>
      <c r="IVD1" s="21"/>
      <c r="IVE1" s="21"/>
      <c r="IVF1" s="21"/>
      <c r="IVG1" s="21"/>
      <c r="IVH1" s="21"/>
      <c r="IVI1" s="21"/>
      <c r="IVJ1" s="21"/>
      <c r="IVK1" s="21"/>
      <c r="IVL1" s="21"/>
      <c r="IVM1" s="21"/>
      <c r="IVN1" s="21"/>
      <c r="IVO1" s="21"/>
      <c r="IVP1" s="21"/>
      <c r="IVQ1" s="20" t="s">
        <v>297</v>
      </c>
      <c r="IVR1" s="21"/>
      <c r="IVS1" s="21"/>
      <c r="IVT1" s="21"/>
      <c r="IVU1" s="21"/>
      <c r="IVV1" s="21"/>
      <c r="IVW1" s="21"/>
      <c r="IVX1" s="21"/>
      <c r="IVY1" s="21"/>
      <c r="IVZ1" s="21"/>
      <c r="IWA1" s="21"/>
      <c r="IWB1" s="21"/>
      <c r="IWC1" s="21"/>
      <c r="IWD1" s="21"/>
      <c r="IWE1" s="21"/>
      <c r="IWF1" s="21"/>
      <c r="IWG1" s="20" t="s">
        <v>297</v>
      </c>
      <c r="IWH1" s="21"/>
      <c r="IWI1" s="21"/>
      <c r="IWJ1" s="21"/>
      <c r="IWK1" s="21"/>
      <c r="IWL1" s="21"/>
      <c r="IWM1" s="21"/>
      <c r="IWN1" s="21"/>
      <c r="IWO1" s="21"/>
      <c r="IWP1" s="21"/>
      <c r="IWQ1" s="21"/>
      <c r="IWR1" s="21"/>
      <c r="IWS1" s="21"/>
      <c r="IWT1" s="21"/>
      <c r="IWU1" s="21"/>
      <c r="IWV1" s="21"/>
      <c r="IWW1" s="20" t="s">
        <v>297</v>
      </c>
      <c r="IWX1" s="21"/>
      <c r="IWY1" s="21"/>
      <c r="IWZ1" s="21"/>
      <c r="IXA1" s="21"/>
      <c r="IXB1" s="21"/>
      <c r="IXC1" s="21"/>
      <c r="IXD1" s="21"/>
      <c r="IXE1" s="21"/>
      <c r="IXF1" s="21"/>
      <c r="IXG1" s="21"/>
      <c r="IXH1" s="21"/>
      <c r="IXI1" s="21"/>
      <c r="IXJ1" s="21"/>
      <c r="IXK1" s="21"/>
      <c r="IXL1" s="21"/>
      <c r="IXM1" s="20" t="s">
        <v>297</v>
      </c>
      <c r="IXN1" s="21"/>
      <c r="IXO1" s="21"/>
      <c r="IXP1" s="21"/>
      <c r="IXQ1" s="21"/>
      <c r="IXR1" s="21"/>
      <c r="IXS1" s="21"/>
      <c r="IXT1" s="21"/>
      <c r="IXU1" s="21"/>
      <c r="IXV1" s="21"/>
      <c r="IXW1" s="21"/>
      <c r="IXX1" s="21"/>
      <c r="IXY1" s="21"/>
      <c r="IXZ1" s="21"/>
      <c r="IYA1" s="21"/>
      <c r="IYB1" s="21"/>
      <c r="IYC1" s="20" t="s">
        <v>297</v>
      </c>
      <c r="IYD1" s="21"/>
      <c r="IYE1" s="21"/>
      <c r="IYF1" s="21"/>
      <c r="IYG1" s="21"/>
      <c r="IYH1" s="21"/>
      <c r="IYI1" s="21"/>
      <c r="IYJ1" s="21"/>
      <c r="IYK1" s="21"/>
      <c r="IYL1" s="21"/>
      <c r="IYM1" s="21"/>
      <c r="IYN1" s="21"/>
      <c r="IYO1" s="21"/>
      <c r="IYP1" s="21"/>
      <c r="IYQ1" s="21"/>
      <c r="IYR1" s="21"/>
      <c r="IYS1" s="20" t="s">
        <v>297</v>
      </c>
      <c r="IYT1" s="21"/>
      <c r="IYU1" s="21"/>
      <c r="IYV1" s="21"/>
      <c r="IYW1" s="21"/>
      <c r="IYX1" s="21"/>
      <c r="IYY1" s="21"/>
      <c r="IYZ1" s="21"/>
      <c r="IZA1" s="21"/>
      <c r="IZB1" s="21"/>
      <c r="IZC1" s="21"/>
      <c r="IZD1" s="21"/>
      <c r="IZE1" s="21"/>
      <c r="IZF1" s="21"/>
      <c r="IZG1" s="21"/>
      <c r="IZH1" s="21"/>
      <c r="IZI1" s="20" t="s">
        <v>297</v>
      </c>
      <c r="IZJ1" s="21"/>
      <c r="IZK1" s="21"/>
      <c r="IZL1" s="21"/>
      <c r="IZM1" s="21"/>
      <c r="IZN1" s="21"/>
      <c r="IZO1" s="21"/>
      <c r="IZP1" s="21"/>
      <c r="IZQ1" s="21"/>
      <c r="IZR1" s="21"/>
      <c r="IZS1" s="21"/>
      <c r="IZT1" s="21"/>
      <c r="IZU1" s="21"/>
      <c r="IZV1" s="21"/>
      <c r="IZW1" s="21"/>
      <c r="IZX1" s="21"/>
      <c r="IZY1" s="20" t="s">
        <v>297</v>
      </c>
      <c r="IZZ1" s="21"/>
      <c r="JAA1" s="21"/>
      <c r="JAB1" s="21"/>
      <c r="JAC1" s="21"/>
      <c r="JAD1" s="21"/>
      <c r="JAE1" s="21"/>
      <c r="JAF1" s="21"/>
      <c r="JAG1" s="21"/>
      <c r="JAH1" s="21"/>
      <c r="JAI1" s="21"/>
      <c r="JAJ1" s="21"/>
      <c r="JAK1" s="21"/>
      <c r="JAL1" s="21"/>
      <c r="JAM1" s="21"/>
      <c r="JAN1" s="21"/>
      <c r="JAO1" s="20" t="s">
        <v>297</v>
      </c>
      <c r="JAP1" s="21"/>
      <c r="JAQ1" s="21"/>
      <c r="JAR1" s="21"/>
      <c r="JAS1" s="21"/>
      <c r="JAT1" s="21"/>
      <c r="JAU1" s="21"/>
      <c r="JAV1" s="21"/>
      <c r="JAW1" s="21"/>
      <c r="JAX1" s="21"/>
      <c r="JAY1" s="21"/>
      <c r="JAZ1" s="21"/>
      <c r="JBA1" s="21"/>
      <c r="JBB1" s="21"/>
      <c r="JBC1" s="21"/>
      <c r="JBD1" s="21"/>
      <c r="JBE1" s="20" t="s">
        <v>297</v>
      </c>
      <c r="JBF1" s="21"/>
      <c r="JBG1" s="21"/>
      <c r="JBH1" s="21"/>
      <c r="JBI1" s="21"/>
      <c r="JBJ1" s="21"/>
      <c r="JBK1" s="21"/>
      <c r="JBL1" s="21"/>
      <c r="JBM1" s="21"/>
      <c r="JBN1" s="21"/>
      <c r="JBO1" s="21"/>
      <c r="JBP1" s="21"/>
      <c r="JBQ1" s="21"/>
      <c r="JBR1" s="21"/>
      <c r="JBS1" s="21"/>
      <c r="JBT1" s="21"/>
      <c r="JBU1" s="20" t="s">
        <v>297</v>
      </c>
      <c r="JBV1" s="21"/>
      <c r="JBW1" s="21"/>
      <c r="JBX1" s="21"/>
      <c r="JBY1" s="21"/>
      <c r="JBZ1" s="21"/>
      <c r="JCA1" s="21"/>
      <c r="JCB1" s="21"/>
      <c r="JCC1" s="21"/>
      <c r="JCD1" s="21"/>
      <c r="JCE1" s="21"/>
      <c r="JCF1" s="21"/>
      <c r="JCG1" s="21"/>
      <c r="JCH1" s="21"/>
      <c r="JCI1" s="21"/>
      <c r="JCJ1" s="21"/>
      <c r="JCK1" s="20" t="s">
        <v>297</v>
      </c>
      <c r="JCL1" s="21"/>
      <c r="JCM1" s="21"/>
      <c r="JCN1" s="21"/>
      <c r="JCO1" s="21"/>
      <c r="JCP1" s="21"/>
      <c r="JCQ1" s="21"/>
      <c r="JCR1" s="21"/>
      <c r="JCS1" s="21"/>
      <c r="JCT1" s="21"/>
      <c r="JCU1" s="21"/>
      <c r="JCV1" s="21"/>
      <c r="JCW1" s="21"/>
      <c r="JCX1" s="21"/>
      <c r="JCY1" s="21"/>
      <c r="JCZ1" s="21"/>
      <c r="JDA1" s="20" t="s">
        <v>297</v>
      </c>
      <c r="JDB1" s="21"/>
      <c r="JDC1" s="21"/>
      <c r="JDD1" s="21"/>
      <c r="JDE1" s="21"/>
      <c r="JDF1" s="21"/>
      <c r="JDG1" s="21"/>
      <c r="JDH1" s="21"/>
      <c r="JDI1" s="21"/>
      <c r="JDJ1" s="21"/>
      <c r="JDK1" s="21"/>
      <c r="JDL1" s="21"/>
      <c r="JDM1" s="21"/>
      <c r="JDN1" s="21"/>
      <c r="JDO1" s="21"/>
      <c r="JDP1" s="21"/>
      <c r="JDQ1" s="20" t="s">
        <v>297</v>
      </c>
      <c r="JDR1" s="21"/>
      <c r="JDS1" s="21"/>
      <c r="JDT1" s="21"/>
      <c r="JDU1" s="21"/>
      <c r="JDV1" s="21"/>
      <c r="JDW1" s="21"/>
      <c r="JDX1" s="21"/>
      <c r="JDY1" s="21"/>
      <c r="JDZ1" s="21"/>
      <c r="JEA1" s="21"/>
      <c r="JEB1" s="21"/>
      <c r="JEC1" s="21"/>
      <c r="JED1" s="21"/>
      <c r="JEE1" s="21"/>
      <c r="JEF1" s="21"/>
      <c r="JEG1" s="20" t="s">
        <v>297</v>
      </c>
      <c r="JEH1" s="21"/>
      <c r="JEI1" s="21"/>
      <c r="JEJ1" s="21"/>
      <c r="JEK1" s="21"/>
      <c r="JEL1" s="21"/>
      <c r="JEM1" s="21"/>
      <c r="JEN1" s="21"/>
      <c r="JEO1" s="21"/>
      <c r="JEP1" s="21"/>
      <c r="JEQ1" s="21"/>
      <c r="JER1" s="21"/>
      <c r="JES1" s="21"/>
      <c r="JET1" s="21"/>
      <c r="JEU1" s="21"/>
      <c r="JEV1" s="21"/>
      <c r="JEW1" s="20" t="s">
        <v>297</v>
      </c>
      <c r="JEX1" s="21"/>
      <c r="JEY1" s="21"/>
      <c r="JEZ1" s="21"/>
      <c r="JFA1" s="21"/>
      <c r="JFB1" s="21"/>
      <c r="JFC1" s="21"/>
      <c r="JFD1" s="21"/>
      <c r="JFE1" s="21"/>
      <c r="JFF1" s="21"/>
      <c r="JFG1" s="21"/>
      <c r="JFH1" s="21"/>
      <c r="JFI1" s="21"/>
      <c r="JFJ1" s="21"/>
      <c r="JFK1" s="21"/>
      <c r="JFL1" s="21"/>
      <c r="JFM1" s="20" t="s">
        <v>297</v>
      </c>
      <c r="JFN1" s="21"/>
      <c r="JFO1" s="21"/>
      <c r="JFP1" s="21"/>
      <c r="JFQ1" s="21"/>
      <c r="JFR1" s="21"/>
      <c r="JFS1" s="21"/>
      <c r="JFT1" s="21"/>
      <c r="JFU1" s="21"/>
      <c r="JFV1" s="21"/>
      <c r="JFW1" s="21"/>
      <c r="JFX1" s="21"/>
      <c r="JFY1" s="21"/>
      <c r="JFZ1" s="21"/>
      <c r="JGA1" s="21"/>
      <c r="JGB1" s="21"/>
      <c r="JGC1" s="20" t="s">
        <v>297</v>
      </c>
      <c r="JGD1" s="21"/>
      <c r="JGE1" s="21"/>
      <c r="JGF1" s="21"/>
      <c r="JGG1" s="21"/>
      <c r="JGH1" s="21"/>
      <c r="JGI1" s="21"/>
      <c r="JGJ1" s="21"/>
      <c r="JGK1" s="21"/>
      <c r="JGL1" s="21"/>
      <c r="JGM1" s="21"/>
      <c r="JGN1" s="21"/>
      <c r="JGO1" s="21"/>
      <c r="JGP1" s="21"/>
      <c r="JGQ1" s="21"/>
      <c r="JGR1" s="21"/>
      <c r="JGS1" s="20" t="s">
        <v>297</v>
      </c>
      <c r="JGT1" s="21"/>
      <c r="JGU1" s="21"/>
      <c r="JGV1" s="21"/>
      <c r="JGW1" s="21"/>
      <c r="JGX1" s="21"/>
      <c r="JGY1" s="21"/>
      <c r="JGZ1" s="21"/>
      <c r="JHA1" s="21"/>
      <c r="JHB1" s="21"/>
      <c r="JHC1" s="21"/>
      <c r="JHD1" s="21"/>
      <c r="JHE1" s="21"/>
      <c r="JHF1" s="21"/>
      <c r="JHG1" s="21"/>
      <c r="JHH1" s="21"/>
      <c r="JHI1" s="20" t="s">
        <v>297</v>
      </c>
      <c r="JHJ1" s="21"/>
      <c r="JHK1" s="21"/>
      <c r="JHL1" s="21"/>
      <c r="JHM1" s="21"/>
      <c r="JHN1" s="21"/>
      <c r="JHO1" s="21"/>
      <c r="JHP1" s="21"/>
      <c r="JHQ1" s="21"/>
      <c r="JHR1" s="21"/>
      <c r="JHS1" s="21"/>
      <c r="JHT1" s="21"/>
      <c r="JHU1" s="21"/>
      <c r="JHV1" s="21"/>
      <c r="JHW1" s="21"/>
      <c r="JHX1" s="21"/>
      <c r="JHY1" s="20" t="s">
        <v>297</v>
      </c>
      <c r="JHZ1" s="21"/>
      <c r="JIA1" s="21"/>
      <c r="JIB1" s="21"/>
      <c r="JIC1" s="21"/>
      <c r="JID1" s="21"/>
      <c r="JIE1" s="21"/>
      <c r="JIF1" s="21"/>
      <c r="JIG1" s="21"/>
      <c r="JIH1" s="21"/>
      <c r="JII1" s="21"/>
      <c r="JIJ1" s="21"/>
      <c r="JIK1" s="21"/>
      <c r="JIL1" s="21"/>
      <c r="JIM1" s="21"/>
      <c r="JIN1" s="21"/>
      <c r="JIO1" s="20" t="s">
        <v>297</v>
      </c>
      <c r="JIP1" s="21"/>
      <c r="JIQ1" s="21"/>
      <c r="JIR1" s="21"/>
      <c r="JIS1" s="21"/>
      <c r="JIT1" s="21"/>
      <c r="JIU1" s="21"/>
      <c r="JIV1" s="21"/>
      <c r="JIW1" s="21"/>
      <c r="JIX1" s="21"/>
      <c r="JIY1" s="21"/>
      <c r="JIZ1" s="21"/>
      <c r="JJA1" s="21"/>
      <c r="JJB1" s="21"/>
      <c r="JJC1" s="21"/>
      <c r="JJD1" s="21"/>
      <c r="JJE1" s="20" t="s">
        <v>297</v>
      </c>
      <c r="JJF1" s="21"/>
      <c r="JJG1" s="21"/>
      <c r="JJH1" s="21"/>
      <c r="JJI1" s="21"/>
      <c r="JJJ1" s="21"/>
      <c r="JJK1" s="21"/>
      <c r="JJL1" s="21"/>
      <c r="JJM1" s="21"/>
      <c r="JJN1" s="21"/>
      <c r="JJO1" s="21"/>
      <c r="JJP1" s="21"/>
      <c r="JJQ1" s="21"/>
      <c r="JJR1" s="21"/>
      <c r="JJS1" s="21"/>
      <c r="JJT1" s="21"/>
      <c r="JJU1" s="20" t="s">
        <v>297</v>
      </c>
      <c r="JJV1" s="21"/>
      <c r="JJW1" s="21"/>
      <c r="JJX1" s="21"/>
      <c r="JJY1" s="21"/>
      <c r="JJZ1" s="21"/>
      <c r="JKA1" s="21"/>
      <c r="JKB1" s="21"/>
      <c r="JKC1" s="21"/>
      <c r="JKD1" s="21"/>
      <c r="JKE1" s="21"/>
      <c r="JKF1" s="21"/>
      <c r="JKG1" s="21"/>
      <c r="JKH1" s="21"/>
      <c r="JKI1" s="21"/>
      <c r="JKJ1" s="21"/>
      <c r="JKK1" s="20" t="s">
        <v>297</v>
      </c>
      <c r="JKL1" s="21"/>
      <c r="JKM1" s="21"/>
      <c r="JKN1" s="21"/>
      <c r="JKO1" s="21"/>
      <c r="JKP1" s="21"/>
      <c r="JKQ1" s="21"/>
      <c r="JKR1" s="21"/>
      <c r="JKS1" s="21"/>
      <c r="JKT1" s="21"/>
      <c r="JKU1" s="21"/>
      <c r="JKV1" s="21"/>
      <c r="JKW1" s="21"/>
      <c r="JKX1" s="21"/>
      <c r="JKY1" s="21"/>
      <c r="JKZ1" s="21"/>
      <c r="JLA1" s="20" t="s">
        <v>297</v>
      </c>
      <c r="JLB1" s="21"/>
      <c r="JLC1" s="21"/>
      <c r="JLD1" s="21"/>
      <c r="JLE1" s="21"/>
      <c r="JLF1" s="21"/>
      <c r="JLG1" s="21"/>
      <c r="JLH1" s="21"/>
      <c r="JLI1" s="21"/>
      <c r="JLJ1" s="21"/>
      <c r="JLK1" s="21"/>
      <c r="JLL1" s="21"/>
      <c r="JLM1" s="21"/>
      <c r="JLN1" s="21"/>
      <c r="JLO1" s="21"/>
      <c r="JLP1" s="21"/>
      <c r="JLQ1" s="20" t="s">
        <v>297</v>
      </c>
      <c r="JLR1" s="21"/>
      <c r="JLS1" s="21"/>
      <c r="JLT1" s="21"/>
      <c r="JLU1" s="21"/>
      <c r="JLV1" s="21"/>
      <c r="JLW1" s="21"/>
      <c r="JLX1" s="21"/>
      <c r="JLY1" s="21"/>
      <c r="JLZ1" s="21"/>
      <c r="JMA1" s="21"/>
      <c r="JMB1" s="21"/>
      <c r="JMC1" s="21"/>
      <c r="JMD1" s="21"/>
      <c r="JME1" s="21"/>
      <c r="JMF1" s="21"/>
      <c r="JMG1" s="20" t="s">
        <v>297</v>
      </c>
      <c r="JMH1" s="21"/>
      <c r="JMI1" s="21"/>
      <c r="JMJ1" s="21"/>
      <c r="JMK1" s="21"/>
      <c r="JML1" s="21"/>
      <c r="JMM1" s="21"/>
      <c r="JMN1" s="21"/>
      <c r="JMO1" s="21"/>
      <c r="JMP1" s="21"/>
      <c r="JMQ1" s="21"/>
      <c r="JMR1" s="21"/>
      <c r="JMS1" s="21"/>
      <c r="JMT1" s="21"/>
      <c r="JMU1" s="21"/>
      <c r="JMV1" s="21"/>
      <c r="JMW1" s="20" t="s">
        <v>297</v>
      </c>
      <c r="JMX1" s="21"/>
      <c r="JMY1" s="21"/>
      <c r="JMZ1" s="21"/>
      <c r="JNA1" s="21"/>
      <c r="JNB1" s="21"/>
      <c r="JNC1" s="21"/>
      <c r="JND1" s="21"/>
      <c r="JNE1" s="21"/>
      <c r="JNF1" s="21"/>
      <c r="JNG1" s="21"/>
      <c r="JNH1" s="21"/>
      <c r="JNI1" s="21"/>
      <c r="JNJ1" s="21"/>
      <c r="JNK1" s="21"/>
      <c r="JNL1" s="21"/>
      <c r="JNM1" s="20" t="s">
        <v>297</v>
      </c>
      <c r="JNN1" s="21"/>
      <c r="JNO1" s="21"/>
      <c r="JNP1" s="21"/>
      <c r="JNQ1" s="21"/>
      <c r="JNR1" s="21"/>
      <c r="JNS1" s="21"/>
      <c r="JNT1" s="21"/>
      <c r="JNU1" s="21"/>
      <c r="JNV1" s="21"/>
      <c r="JNW1" s="21"/>
      <c r="JNX1" s="21"/>
      <c r="JNY1" s="21"/>
      <c r="JNZ1" s="21"/>
      <c r="JOA1" s="21"/>
      <c r="JOB1" s="21"/>
      <c r="JOC1" s="20" t="s">
        <v>297</v>
      </c>
      <c r="JOD1" s="21"/>
      <c r="JOE1" s="21"/>
      <c r="JOF1" s="21"/>
      <c r="JOG1" s="21"/>
      <c r="JOH1" s="21"/>
      <c r="JOI1" s="21"/>
      <c r="JOJ1" s="21"/>
      <c r="JOK1" s="21"/>
      <c r="JOL1" s="21"/>
      <c r="JOM1" s="21"/>
      <c r="JON1" s="21"/>
      <c r="JOO1" s="21"/>
      <c r="JOP1" s="21"/>
      <c r="JOQ1" s="21"/>
      <c r="JOR1" s="21"/>
      <c r="JOS1" s="20" t="s">
        <v>297</v>
      </c>
      <c r="JOT1" s="21"/>
      <c r="JOU1" s="21"/>
      <c r="JOV1" s="21"/>
      <c r="JOW1" s="21"/>
      <c r="JOX1" s="21"/>
      <c r="JOY1" s="21"/>
      <c r="JOZ1" s="21"/>
      <c r="JPA1" s="21"/>
      <c r="JPB1" s="21"/>
      <c r="JPC1" s="21"/>
      <c r="JPD1" s="21"/>
      <c r="JPE1" s="21"/>
      <c r="JPF1" s="21"/>
      <c r="JPG1" s="21"/>
      <c r="JPH1" s="21"/>
      <c r="JPI1" s="20" t="s">
        <v>297</v>
      </c>
      <c r="JPJ1" s="21"/>
      <c r="JPK1" s="21"/>
      <c r="JPL1" s="21"/>
      <c r="JPM1" s="21"/>
      <c r="JPN1" s="21"/>
      <c r="JPO1" s="21"/>
      <c r="JPP1" s="21"/>
      <c r="JPQ1" s="21"/>
      <c r="JPR1" s="21"/>
      <c r="JPS1" s="21"/>
      <c r="JPT1" s="21"/>
      <c r="JPU1" s="21"/>
      <c r="JPV1" s="21"/>
      <c r="JPW1" s="21"/>
      <c r="JPX1" s="21"/>
      <c r="JPY1" s="20" t="s">
        <v>297</v>
      </c>
      <c r="JPZ1" s="21"/>
      <c r="JQA1" s="21"/>
      <c r="JQB1" s="21"/>
      <c r="JQC1" s="21"/>
      <c r="JQD1" s="21"/>
      <c r="JQE1" s="21"/>
      <c r="JQF1" s="21"/>
      <c r="JQG1" s="21"/>
      <c r="JQH1" s="21"/>
      <c r="JQI1" s="21"/>
      <c r="JQJ1" s="21"/>
      <c r="JQK1" s="21"/>
      <c r="JQL1" s="21"/>
      <c r="JQM1" s="21"/>
      <c r="JQN1" s="21"/>
      <c r="JQO1" s="20" t="s">
        <v>297</v>
      </c>
      <c r="JQP1" s="21"/>
      <c r="JQQ1" s="21"/>
      <c r="JQR1" s="21"/>
      <c r="JQS1" s="21"/>
      <c r="JQT1" s="21"/>
      <c r="JQU1" s="21"/>
      <c r="JQV1" s="21"/>
      <c r="JQW1" s="21"/>
      <c r="JQX1" s="21"/>
      <c r="JQY1" s="21"/>
      <c r="JQZ1" s="21"/>
      <c r="JRA1" s="21"/>
      <c r="JRB1" s="21"/>
      <c r="JRC1" s="21"/>
      <c r="JRD1" s="21"/>
      <c r="JRE1" s="20" t="s">
        <v>297</v>
      </c>
      <c r="JRF1" s="21"/>
      <c r="JRG1" s="21"/>
      <c r="JRH1" s="21"/>
      <c r="JRI1" s="21"/>
      <c r="JRJ1" s="21"/>
      <c r="JRK1" s="21"/>
      <c r="JRL1" s="21"/>
      <c r="JRM1" s="21"/>
      <c r="JRN1" s="21"/>
      <c r="JRO1" s="21"/>
      <c r="JRP1" s="21"/>
      <c r="JRQ1" s="21"/>
      <c r="JRR1" s="21"/>
      <c r="JRS1" s="21"/>
      <c r="JRT1" s="21"/>
      <c r="JRU1" s="20" t="s">
        <v>297</v>
      </c>
      <c r="JRV1" s="21"/>
      <c r="JRW1" s="21"/>
      <c r="JRX1" s="21"/>
      <c r="JRY1" s="21"/>
      <c r="JRZ1" s="21"/>
      <c r="JSA1" s="21"/>
      <c r="JSB1" s="21"/>
      <c r="JSC1" s="21"/>
      <c r="JSD1" s="21"/>
      <c r="JSE1" s="21"/>
      <c r="JSF1" s="21"/>
      <c r="JSG1" s="21"/>
      <c r="JSH1" s="21"/>
      <c r="JSI1" s="21"/>
      <c r="JSJ1" s="21"/>
      <c r="JSK1" s="20" t="s">
        <v>297</v>
      </c>
      <c r="JSL1" s="21"/>
      <c r="JSM1" s="21"/>
      <c r="JSN1" s="21"/>
      <c r="JSO1" s="21"/>
      <c r="JSP1" s="21"/>
      <c r="JSQ1" s="21"/>
      <c r="JSR1" s="21"/>
      <c r="JSS1" s="21"/>
      <c r="JST1" s="21"/>
      <c r="JSU1" s="21"/>
      <c r="JSV1" s="21"/>
      <c r="JSW1" s="21"/>
      <c r="JSX1" s="21"/>
      <c r="JSY1" s="21"/>
      <c r="JSZ1" s="21"/>
      <c r="JTA1" s="20" t="s">
        <v>297</v>
      </c>
      <c r="JTB1" s="21"/>
      <c r="JTC1" s="21"/>
      <c r="JTD1" s="21"/>
      <c r="JTE1" s="21"/>
      <c r="JTF1" s="21"/>
      <c r="JTG1" s="21"/>
      <c r="JTH1" s="21"/>
      <c r="JTI1" s="21"/>
      <c r="JTJ1" s="21"/>
      <c r="JTK1" s="21"/>
      <c r="JTL1" s="21"/>
      <c r="JTM1" s="21"/>
      <c r="JTN1" s="21"/>
      <c r="JTO1" s="21"/>
      <c r="JTP1" s="21"/>
      <c r="JTQ1" s="20" t="s">
        <v>297</v>
      </c>
      <c r="JTR1" s="21"/>
      <c r="JTS1" s="21"/>
      <c r="JTT1" s="21"/>
      <c r="JTU1" s="21"/>
      <c r="JTV1" s="21"/>
      <c r="JTW1" s="21"/>
      <c r="JTX1" s="21"/>
      <c r="JTY1" s="21"/>
      <c r="JTZ1" s="21"/>
      <c r="JUA1" s="21"/>
      <c r="JUB1" s="21"/>
      <c r="JUC1" s="21"/>
      <c r="JUD1" s="21"/>
      <c r="JUE1" s="21"/>
      <c r="JUF1" s="21"/>
      <c r="JUG1" s="20" t="s">
        <v>297</v>
      </c>
      <c r="JUH1" s="21"/>
      <c r="JUI1" s="21"/>
      <c r="JUJ1" s="21"/>
      <c r="JUK1" s="21"/>
      <c r="JUL1" s="21"/>
      <c r="JUM1" s="21"/>
      <c r="JUN1" s="21"/>
      <c r="JUO1" s="21"/>
      <c r="JUP1" s="21"/>
      <c r="JUQ1" s="21"/>
      <c r="JUR1" s="21"/>
      <c r="JUS1" s="21"/>
      <c r="JUT1" s="21"/>
      <c r="JUU1" s="21"/>
      <c r="JUV1" s="21"/>
      <c r="JUW1" s="20" t="s">
        <v>297</v>
      </c>
      <c r="JUX1" s="21"/>
      <c r="JUY1" s="21"/>
      <c r="JUZ1" s="21"/>
      <c r="JVA1" s="21"/>
      <c r="JVB1" s="21"/>
      <c r="JVC1" s="21"/>
      <c r="JVD1" s="21"/>
      <c r="JVE1" s="21"/>
      <c r="JVF1" s="21"/>
      <c r="JVG1" s="21"/>
      <c r="JVH1" s="21"/>
      <c r="JVI1" s="21"/>
      <c r="JVJ1" s="21"/>
      <c r="JVK1" s="21"/>
      <c r="JVL1" s="21"/>
      <c r="JVM1" s="20" t="s">
        <v>297</v>
      </c>
      <c r="JVN1" s="21"/>
      <c r="JVO1" s="21"/>
      <c r="JVP1" s="21"/>
      <c r="JVQ1" s="21"/>
      <c r="JVR1" s="21"/>
      <c r="JVS1" s="21"/>
      <c r="JVT1" s="21"/>
      <c r="JVU1" s="21"/>
      <c r="JVV1" s="21"/>
      <c r="JVW1" s="21"/>
      <c r="JVX1" s="21"/>
      <c r="JVY1" s="21"/>
      <c r="JVZ1" s="21"/>
      <c r="JWA1" s="21"/>
      <c r="JWB1" s="21"/>
      <c r="JWC1" s="20" t="s">
        <v>297</v>
      </c>
      <c r="JWD1" s="21"/>
      <c r="JWE1" s="21"/>
      <c r="JWF1" s="21"/>
      <c r="JWG1" s="21"/>
      <c r="JWH1" s="21"/>
      <c r="JWI1" s="21"/>
      <c r="JWJ1" s="21"/>
      <c r="JWK1" s="21"/>
      <c r="JWL1" s="21"/>
      <c r="JWM1" s="21"/>
      <c r="JWN1" s="21"/>
      <c r="JWO1" s="21"/>
      <c r="JWP1" s="21"/>
      <c r="JWQ1" s="21"/>
      <c r="JWR1" s="21"/>
      <c r="JWS1" s="20" t="s">
        <v>297</v>
      </c>
      <c r="JWT1" s="21"/>
      <c r="JWU1" s="21"/>
      <c r="JWV1" s="21"/>
      <c r="JWW1" s="21"/>
      <c r="JWX1" s="21"/>
      <c r="JWY1" s="21"/>
      <c r="JWZ1" s="21"/>
      <c r="JXA1" s="21"/>
      <c r="JXB1" s="21"/>
      <c r="JXC1" s="21"/>
      <c r="JXD1" s="21"/>
      <c r="JXE1" s="21"/>
      <c r="JXF1" s="21"/>
      <c r="JXG1" s="21"/>
      <c r="JXH1" s="21"/>
      <c r="JXI1" s="20" t="s">
        <v>297</v>
      </c>
      <c r="JXJ1" s="21"/>
      <c r="JXK1" s="21"/>
      <c r="JXL1" s="21"/>
      <c r="JXM1" s="21"/>
      <c r="JXN1" s="21"/>
      <c r="JXO1" s="21"/>
      <c r="JXP1" s="21"/>
      <c r="JXQ1" s="21"/>
      <c r="JXR1" s="21"/>
      <c r="JXS1" s="21"/>
      <c r="JXT1" s="21"/>
      <c r="JXU1" s="21"/>
      <c r="JXV1" s="21"/>
      <c r="JXW1" s="21"/>
      <c r="JXX1" s="21"/>
      <c r="JXY1" s="20" t="s">
        <v>297</v>
      </c>
      <c r="JXZ1" s="21"/>
      <c r="JYA1" s="21"/>
      <c r="JYB1" s="21"/>
      <c r="JYC1" s="21"/>
      <c r="JYD1" s="21"/>
      <c r="JYE1" s="21"/>
      <c r="JYF1" s="21"/>
      <c r="JYG1" s="21"/>
      <c r="JYH1" s="21"/>
      <c r="JYI1" s="21"/>
      <c r="JYJ1" s="21"/>
      <c r="JYK1" s="21"/>
      <c r="JYL1" s="21"/>
      <c r="JYM1" s="21"/>
      <c r="JYN1" s="21"/>
      <c r="JYO1" s="20" t="s">
        <v>297</v>
      </c>
      <c r="JYP1" s="21"/>
      <c r="JYQ1" s="21"/>
      <c r="JYR1" s="21"/>
      <c r="JYS1" s="21"/>
      <c r="JYT1" s="21"/>
      <c r="JYU1" s="21"/>
      <c r="JYV1" s="21"/>
      <c r="JYW1" s="21"/>
      <c r="JYX1" s="21"/>
      <c r="JYY1" s="21"/>
      <c r="JYZ1" s="21"/>
      <c r="JZA1" s="21"/>
      <c r="JZB1" s="21"/>
      <c r="JZC1" s="21"/>
      <c r="JZD1" s="21"/>
      <c r="JZE1" s="20" t="s">
        <v>297</v>
      </c>
      <c r="JZF1" s="21"/>
      <c r="JZG1" s="21"/>
      <c r="JZH1" s="21"/>
      <c r="JZI1" s="21"/>
      <c r="JZJ1" s="21"/>
      <c r="JZK1" s="21"/>
      <c r="JZL1" s="21"/>
      <c r="JZM1" s="21"/>
      <c r="JZN1" s="21"/>
      <c r="JZO1" s="21"/>
      <c r="JZP1" s="21"/>
      <c r="JZQ1" s="21"/>
      <c r="JZR1" s="21"/>
      <c r="JZS1" s="21"/>
      <c r="JZT1" s="21"/>
      <c r="JZU1" s="20" t="s">
        <v>297</v>
      </c>
      <c r="JZV1" s="21"/>
      <c r="JZW1" s="21"/>
      <c r="JZX1" s="21"/>
      <c r="JZY1" s="21"/>
      <c r="JZZ1" s="21"/>
      <c r="KAA1" s="21"/>
      <c r="KAB1" s="21"/>
      <c r="KAC1" s="21"/>
      <c r="KAD1" s="21"/>
      <c r="KAE1" s="21"/>
      <c r="KAF1" s="21"/>
      <c r="KAG1" s="21"/>
      <c r="KAH1" s="21"/>
      <c r="KAI1" s="21"/>
      <c r="KAJ1" s="21"/>
      <c r="KAK1" s="20" t="s">
        <v>297</v>
      </c>
      <c r="KAL1" s="21"/>
      <c r="KAM1" s="21"/>
      <c r="KAN1" s="21"/>
      <c r="KAO1" s="21"/>
      <c r="KAP1" s="21"/>
      <c r="KAQ1" s="21"/>
      <c r="KAR1" s="21"/>
      <c r="KAS1" s="21"/>
      <c r="KAT1" s="21"/>
      <c r="KAU1" s="21"/>
      <c r="KAV1" s="21"/>
      <c r="KAW1" s="21"/>
      <c r="KAX1" s="21"/>
      <c r="KAY1" s="21"/>
      <c r="KAZ1" s="21"/>
      <c r="KBA1" s="20" t="s">
        <v>297</v>
      </c>
      <c r="KBB1" s="21"/>
      <c r="KBC1" s="21"/>
      <c r="KBD1" s="21"/>
      <c r="KBE1" s="21"/>
      <c r="KBF1" s="21"/>
      <c r="KBG1" s="21"/>
      <c r="KBH1" s="21"/>
      <c r="KBI1" s="21"/>
      <c r="KBJ1" s="21"/>
      <c r="KBK1" s="21"/>
      <c r="KBL1" s="21"/>
      <c r="KBM1" s="21"/>
      <c r="KBN1" s="21"/>
      <c r="KBO1" s="21"/>
      <c r="KBP1" s="21"/>
      <c r="KBQ1" s="20" t="s">
        <v>297</v>
      </c>
      <c r="KBR1" s="21"/>
      <c r="KBS1" s="21"/>
      <c r="KBT1" s="21"/>
      <c r="KBU1" s="21"/>
      <c r="KBV1" s="21"/>
      <c r="KBW1" s="21"/>
      <c r="KBX1" s="21"/>
      <c r="KBY1" s="21"/>
      <c r="KBZ1" s="21"/>
      <c r="KCA1" s="21"/>
      <c r="KCB1" s="21"/>
      <c r="KCC1" s="21"/>
      <c r="KCD1" s="21"/>
      <c r="KCE1" s="21"/>
      <c r="KCF1" s="21"/>
      <c r="KCG1" s="20" t="s">
        <v>297</v>
      </c>
      <c r="KCH1" s="21"/>
      <c r="KCI1" s="21"/>
      <c r="KCJ1" s="21"/>
      <c r="KCK1" s="21"/>
      <c r="KCL1" s="21"/>
      <c r="KCM1" s="21"/>
      <c r="KCN1" s="21"/>
      <c r="KCO1" s="21"/>
      <c r="KCP1" s="21"/>
      <c r="KCQ1" s="21"/>
      <c r="KCR1" s="21"/>
      <c r="KCS1" s="21"/>
      <c r="KCT1" s="21"/>
      <c r="KCU1" s="21"/>
      <c r="KCV1" s="21"/>
      <c r="KCW1" s="20" t="s">
        <v>297</v>
      </c>
      <c r="KCX1" s="21"/>
      <c r="KCY1" s="21"/>
      <c r="KCZ1" s="21"/>
      <c r="KDA1" s="21"/>
      <c r="KDB1" s="21"/>
      <c r="KDC1" s="21"/>
      <c r="KDD1" s="21"/>
      <c r="KDE1" s="21"/>
      <c r="KDF1" s="21"/>
      <c r="KDG1" s="21"/>
      <c r="KDH1" s="21"/>
      <c r="KDI1" s="21"/>
      <c r="KDJ1" s="21"/>
      <c r="KDK1" s="21"/>
      <c r="KDL1" s="21"/>
      <c r="KDM1" s="20" t="s">
        <v>297</v>
      </c>
      <c r="KDN1" s="21"/>
      <c r="KDO1" s="21"/>
      <c r="KDP1" s="21"/>
      <c r="KDQ1" s="21"/>
      <c r="KDR1" s="21"/>
      <c r="KDS1" s="21"/>
      <c r="KDT1" s="21"/>
      <c r="KDU1" s="21"/>
      <c r="KDV1" s="21"/>
      <c r="KDW1" s="21"/>
      <c r="KDX1" s="21"/>
      <c r="KDY1" s="21"/>
      <c r="KDZ1" s="21"/>
      <c r="KEA1" s="21"/>
      <c r="KEB1" s="21"/>
      <c r="KEC1" s="20" t="s">
        <v>297</v>
      </c>
      <c r="KED1" s="21"/>
      <c r="KEE1" s="21"/>
      <c r="KEF1" s="21"/>
      <c r="KEG1" s="21"/>
      <c r="KEH1" s="21"/>
      <c r="KEI1" s="21"/>
      <c r="KEJ1" s="21"/>
      <c r="KEK1" s="21"/>
      <c r="KEL1" s="21"/>
      <c r="KEM1" s="21"/>
      <c r="KEN1" s="21"/>
      <c r="KEO1" s="21"/>
      <c r="KEP1" s="21"/>
      <c r="KEQ1" s="21"/>
      <c r="KER1" s="21"/>
      <c r="KES1" s="20" t="s">
        <v>297</v>
      </c>
      <c r="KET1" s="21"/>
      <c r="KEU1" s="21"/>
      <c r="KEV1" s="21"/>
      <c r="KEW1" s="21"/>
      <c r="KEX1" s="21"/>
      <c r="KEY1" s="21"/>
      <c r="KEZ1" s="21"/>
      <c r="KFA1" s="21"/>
      <c r="KFB1" s="21"/>
      <c r="KFC1" s="21"/>
      <c r="KFD1" s="21"/>
      <c r="KFE1" s="21"/>
      <c r="KFF1" s="21"/>
      <c r="KFG1" s="21"/>
      <c r="KFH1" s="21"/>
      <c r="KFI1" s="20" t="s">
        <v>297</v>
      </c>
      <c r="KFJ1" s="21"/>
      <c r="KFK1" s="21"/>
      <c r="KFL1" s="21"/>
      <c r="KFM1" s="21"/>
      <c r="KFN1" s="21"/>
      <c r="KFO1" s="21"/>
      <c r="KFP1" s="21"/>
      <c r="KFQ1" s="21"/>
      <c r="KFR1" s="21"/>
      <c r="KFS1" s="21"/>
      <c r="KFT1" s="21"/>
      <c r="KFU1" s="21"/>
      <c r="KFV1" s="21"/>
      <c r="KFW1" s="21"/>
      <c r="KFX1" s="21"/>
      <c r="KFY1" s="20" t="s">
        <v>297</v>
      </c>
      <c r="KFZ1" s="21"/>
      <c r="KGA1" s="21"/>
      <c r="KGB1" s="21"/>
      <c r="KGC1" s="21"/>
      <c r="KGD1" s="21"/>
      <c r="KGE1" s="21"/>
      <c r="KGF1" s="21"/>
      <c r="KGG1" s="21"/>
      <c r="KGH1" s="21"/>
      <c r="KGI1" s="21"/>
      <c r="KGJ1" s="21"/>
      <c r="KGK1" s="21"/>
      <c r="KGL1" s="21"/>
      <c r="KGM1" s="21"/>
      <c r="KGN1" s="21"/>
      <c r="KGO1" s="20" t="s">
        <v>297</v>
      </c>
      <c r="KGP1" s="21"/>
      <c r="KGQ1" s="21"/>
      <c r="KGR1" s="21"/>
      <c r="KGS1" s="21"/>
      <c r="KGT1" s="21"/>
      <c r="KGU1" s="21"/>
      <c r="KGV1" s="21"/>
      <c r="KGW1" s="21"/>
      <c r="KGX1" s="21"/>
      <c r="KGY1" s="21"/>
      <c r="KGZ1" s="21"/>
      <c r="KHA1" s="21"/>
      <c r="KHB1" s="21"/>
      <c r="KHC1" s="21"/>
      <c r="KHD1" s="21"/>
      <c r="KHE1" s="20" t="s">
        <v>297</v>
      </c>
      <c r="KHF1" s="21"/>
      <c r="KHG1" s="21"/>
      <c r="KHH1" s="21"/>
      <c r="KHI1" s="21"/>
      <c r="KHJ1" s="21"/>
      <c r="KHK1" s="21"/>
      <c r="KHL1" s="21"/>
      <c r="KHM1" s="21"/>
      <c r="KHN1" s="21"/>
      <c r="KHO1" s="21"/>
      <c r="KHP1" s="21"/>
      <c r="KHQ1" s="21"/>
      <c r="KHR1" s="21"/>
      <c r="KHS1" s="21"/>
      <c r="KHT1" s="21"/>
      <c r="KHU1" s="20" t="s">
        <v>297</v>
      </c>
      <c r="KHV1" s="21"/>
      <c r="KHW1" s="21"/>
      <c r="KHX1" s="21"/>
      <c r="KHY1" s="21"/>
      <c r="KHZ1" s="21"/>
      <c r="KIA1" s="21"/>
      <c r="KIB1" s="21"/>
      <c r="KIC1" s="21"/>
      <c r="KID1" s="21"/>
      <c r="KIE1" s="21"/>
      <c r="KIF1" s="21"/>
      <c r="KIG1" s="21"/>
      <c r="KIH1" s="21"/>
      <c r="KII1" s="21"/>
      <c r="KIJ1" s="21"/>
      <c r="KIK1" s="20" t="s">
        <v>297</v>
      </c>
      <c r="KIL1" s="21"/>
      <c r="KIM1" s="21"/>
      <c r="KIN1" s="21"/>
      <c r="KIO1" s="21"/>
      <c r="KIP1" s="21"/>
      <c r="KIQ1" s="21"/>
      <c r="KIR1" s="21"/>
      <c r="KIS1" s="21"/>
      <c r="KIT1" s="21"/>
      <c r="KIU1" s="21"/>
      <c r="KIV1" s="21"/>
      <c r="KIW1" s="21"/>
      <c r="KIX1" s="21"/>
      <c r="KIY1" s="21"/>
      <c r="KIZ1" s="21"/>
      <c r="KJA1" s="20" t="s">
        <v>297</v>
      </c>
      <c r="KJB1" s="21"/>
      <c r="KJC1" s="21"/>
      <c r="KJD1" s="21"/>
      <c r="KJE1" s="21"/>
      <c r="KJF1" s="21"/>
      <c r="KJG1" s="21"/>
      <c r="KJH1" s="21"/>
      <c r="KJI1" s="21"/>
      <c r="KJJ1" s="21"/>
      <c r="KJK1" s="21"/>
      <c r="KJL1" s="21"/>
      <c r="KJM1" s="21"/>
      <c r="KJN1" s="21"/>
      <c r="KJO1" s="21"/>
      <c r="KJP1" s="21"/>
      <c r="KJQ1" s="20" t="s">
        <v>297</v>
      </c>
      <c r="KJR1" s="21"/>
      <c r="KJS1" s="21"/>
      <c r="KJT1" s="21"/>
      <c r="KJU1" s="21"/>
      <c r="KJV1" s="21"/>
      <c r="KJW1" s="21"/>
      <c r="KJX1" s="21"/>
      <c r="KJY1" s="21"/>
      <c r="KJZ1" s="21"/>
      <c r="KKA1" s="21"/>
      <c r="KKB1" s="21"/>
      <c r="KKC1" s="21"/>
      <c r="KKD1" s="21"/>
      <c r="KKE1" s="21"/>
      <c r="KKF1" s="21"/>
      <c r="KKG1" s="20" t="s">
        <v>297</v>
      </c>
      <c r="KKH1" s="21"/>
      <c r="KKI1" s="21"/>
      <c r="KKJ1" s="21"/>
      <c r="KKK1" s="21"/>
      <c r="KKL1" s="21"/>
      <c r="KKM1" s="21"/>
      <c r="KKN1" s="21"/>
      <c r="KKO1" s="21"/>
      <c r="KKP1" s="21"/>
      <c r="KKQ1" s="21"/>
      <c r="KKR1" s="21"/>
      <c r="KKS1" s="21"/>
      <c r="KKT1" s="21"/>
      <c r="KKU1" s="21"/>
      <c r="KKV1" s="21"/>
      <c r="KKW1" s="20" t="s">
        <v>297</v>
      </c>
      <c r="KKX1" s="21"/>
      <c r="KKY1" s="21"/>
      <c r="KKZ1" s="21"/>
      <c r="KLA1" s="21"/>
      <c r="KLB1" s="21"/>
      <c r="KLC1" s="21"/>
      <c r="KLD1" s="21"/>
      <c r="KLE1" s="21"/>
      <c r="KLF1" s="21"/>
      <c r="KLG1" s="21"/>
      <c r="KLH1" s="21"/>
      <c r="KLI1" s="21"/>
      <c r="KLJ1" s="21"/>
      <c r="KLK1" s="21"/>
      <c r="KLL1" s="21"/>
      <c r="KLM1" s="20" t="s">
        <v>297</v>
      </c>
      <c r="KLN1" s="21"/>
      <c r="KLO1" s="21"/>
      <c r="KLP1" s="21"/>
      <c r="KLQ1" s="21"/>
      <c r="KLR1" s="21"/>
      <c r="KLS1" s="21"/>
      <c r="KLT1" s="21"/>
      <c r="KLU1" s="21"/>
      <c r="KLV1" s="21"/>
      <c r="KLW1" s="21"/>
      <c r="KLX1" s="21"/>
      <c r="KLY1" s="21"/>
      <c r="KLZ1" s="21"/>
      <c r="KMA1" s="21"/>
      <c r="KMB1" s="21"/>
      <c r="KMC1" s="20" t="s">
        <v>297</v>
      </c>
      <c r="KMD1" s="21"/>
      <c r="KME1" s="21"/>
      <c r="KMF1" s="21"/>
      <c r="KMG1" s="21"/>
      <c r="KMH1" s="21"/>
      <c r="KMI1" s="21"/>
      <c r="KMJ1" s="21"/>
      <c r="KMK1" s="21"/>
      <c r="KML1" s="21"/>
      <c r="KMM1" s="21"/>
      <c r="KMN1" s="21"/>
      <c r="KMO1" s="21"/>
      <c r="KMP1" s="21"/>
      <c r="KMQ1" s="21"/>
      <c r="KMR1" s="21"/>
      <c r="KMS1" s="20" t="s">
        <v>297</v>
      </c>
      <c r="KMT1" s="21"/>
      <c r="KMU1" s="21"/>
      <c r="KMV1" s="21"/>
      <c r="KMW1" s="21"/>
      <c r="KMX1" s="21"/>
      <c r="KMY1" s="21"/>
      <c r="KMZ1" s="21"/>
      <c r="KNA1" s="21"/>
      <c r="KNB1" s="21"/>
      <c r="KNC1" s="21"/>
      <c r="KND1" s="21"/>
      <c r="KNE1" s="21"/>
      <c r="KNF1" s="21"/>
      <c r="KNG1" s="21"/>
      <c r="KNH1" s="21"/>
      <c r="KNI1" s="20" t="s">
        <v>297</v>
      </c>
      <c r="KNJ1" s="21"/>
      <c r="KNK1" s="21"/>
      <c r="KNL1" s="21"/>
      <c r="KNM1" s="21"/>
      <c r="KNN1" s="21"/>
      <c r="KNO1" s="21"/>
      <c r="KNP1" s="21"/>
      <c r="KNQ1" s="21"/>
      <c r="KNR1" s="21"/>
      <c r="KNS1" s="21"/>
      <c r="KNT1" s="21"/>
      <c r="KNU1" s="21"/>
      <c r="KNV1" s="21"/>
      <c r="KNW1" s="21"/>
      <c r="KNX1" s="21"/>
      <c r="KNY1" s="20" t="s">
        <v>297</v>
      </c>
      <c r="KNZ1" s="21"/>
      <c r="KOA1" s="21"/>
      <c r="KOB1" s="21"/>
      <c r="KOC1" s="21"/>
      <c r="KOD1" s="21"/>
      <c r="KOE1" s="21"/>
      <c r="KOF1" s="21"/>
      <c r="KOG1" s="21"/>
      <c r="KOH1" s="21"/>
      <c r="KOI1" s="21"/>
      <c r="KOJ1" s="21"/>
      <c r="KOK1" s="21"/>
      <c r="KOL1" s="21"/>
      <c r="KOM1" s="21"/>
      <c r="KON1" s="21"/>
      <c r="KOO1" s="20" t="s">
        <v>297</v>
      </c>
      <c r="KOP1" s="21"/>
      <c r="KOQ1" s="21"/>
      <c r="KOR1" s="21"/>
      <c r="KOS1" s="21"/>
      <c r="KOT1" s="21"/>
      <c r="KOU1" s="21"/>
      <c r="KOV1" s="21"/>
      <c r="KOW1" s="21"/>
      <c r="KOX1" s="21"/>
      <c r="KOY1" s="21"/>
      <c r="KOZ1" s="21"/>
      <c r="KPA1" s="21"/>
      <c r="KPB1" s="21"/>
      <c r="KPC1" s="21"/>
      <c r="KPD1" s="21"/>
      <c r="KPE1" s="20" t="s">
        <v>297</v>
      </c>
      <c r="KPF1" s="21"/>
      <c r="KPG1" s="21"/>
      <c r="KPH1" s="21"/>
      <c r="KPI1" s="21"/>
      <c r="KPJ1" s="21"/>
      <c r="KPK1" s="21"/>
      <c r="KPL1" s="21"/>
      <c r="KPM1" s="21"/>
      <c r="KPN1" s="21"/>
      <c r="KPO1" s="21"/>
      <c r="KPP1" s="21"/>
      <c r="KPQ1" s="21"/>
      <c r="KPR1" s="21"/>
      <c r="KPS1" s="21"/>
      <c r="KPT1" s="21"/>
      <c r="KPU1" s="20" t="s">
        <v>297</v>
      </c>
      <c r="KPV1" s="21"/>
      <c r="KPW1" s="21"/>
      <c r="KPX1" s="21"/>
      <c r="KPY1" s="21"/>
      <c r="KPZ1" s="21"/>
      <c r="KQA1" s="21"/>
      <c r="KQB1" s="21"/>
      <c r="KQC1" s="21"/>
      <c r="KQD1" s="21"/>
      <c r="KQE1" s="21"/>
      <c r="KQF1" s="21"/>
      <c r="KQG1" s="21"/>
      <c r="KQH1" s="21"/>
      <c r="KQI1" s="21"/>
      <c r="KQJ1" s="21"/>
      <c r="KQK1" s="20" t="s">
        <v>297</v>
      </c>
      <c r="KQL1" s="21"/>
      <c r="KQM1" s="21"/>
      <c r="KQN1" s="21"/>
      <c r="KQO1" s="21"/>
      <c r="KQP1" s="21"/>
      <c r="KQQ1" s="21"/>
      <c r="KQR1" s="21"/>
      <c r="KQS1" s="21"/>
      <c r="KQT1" s="21"/>
      <c r="KQU1" s="21"/>
      <c r="KQV1" s="21"/>
      <c r="KQW1" s="21"/>
      <c r="KQX1" s="21"/>
      <c r="KQY1" s="21"/>
      <c r="KQZ1" s="21"/>
      <c r="KRA1" s="20" t="s">
        <v>297</v>
      </c>
      <c r="KRB1" s="21"/>
      <c r="KRC1" s="21"/>
      <c r="KRD1" s="21"/>
      <c r="KRE1" s="21"/>
      <c r="KRF1" s="21"/>
      <c r="KRG1" s="21"/>
      <c r="KRH1" s="21"/>
      <c r="KRI1" s="21"/>
      <c r="KRJ1" s="21"/>
      <c r="KRK1" s="21"/>
      <c r="KRL1" s="21"/>
      <c r="KRM1" s="21"/>
      <c r="KRN1" s="21"/>
      <c r="KRO1" s="21"/>
      <c r="KRP1" s="21"/>
      <c r="KRQ1" s="20" t="s">
        <v>297</v>
      </c>
      <c r="KRR1" s="21"/>
      <c r="KRS1" s="21"/>
      <c r="KRT1" s="21"/>
      <c r="KRU1" s="21"/>
      <c r="KRV1" s="21"/>
      <c r="KRW1" s="21"/>
      <c r="KRX1" s="21"/>
      <c r="KRY1" s="21"/>
      <c r="KRZ1" s="21"/>
      <c r="KSA1" s="21"/>
      <c r="KSB1" s="21"/>
      <c r="KSC1" s="21"/>
      <c r="KSD1" s="21"/>
      <c r="KSE1" s="21"/>
      <c r="KSF1" s="21"/>
      <c r="KSG1" s="20" t="s">
        <v>297</v>
      </c>
      <c r="KSH1" s="21"/>
      <c r="KSI1" s="21"/>
      <c r="KSJ1" s="21"/>
      <c r="KSK1" s="21"/>
      <c r="KSL1" s="21"/>
      <c r="KSM1" s="21"/>
      <c r="KSN1" s="21"/>
      <c r="KSO1" s="21"/>
      <c r="KSP1" s="21"/>
      <c r="KSQ1" s="21"/>
      <c r="KSR1" s="21"/>
      <c r="KSS1" s="21"/>
      <c r="KST1" s="21"/>
      <c r="KSU1" s="21"/>
      <c r="KSV1" s="21"/>
      <c r="KSW1" s="20" t="s">
        <v>297</v>
      </c>
      <c r="KSX1" s="21"/>
      <c r="KSY1" s="21"/>
      <c r="KSZ1" s="21"/>
      <c r="KTA1" s="21"/>
      <c r="KTB1" s="21"/>
      <c r="KTC1" s="21"/>
      <c r="KTD1" s="21"/>
      <c r="KTE1" s="21"/>
      <c r="KTF1" s="21"/>
      <c r="KTG1" s="21"/>
      <c r="KTH1" s="21"/>
      <c r="KTI1" s="21"/>
      <c r="KTJ1" s="21"/>
      <c r="KTK1" s="21"/>
      <c r="KTL1" s="21"/>
      <c r="KTM1" s="20" t="s">
        <v>297</v>
      </c>
      <c r="KTN1" s="21"/>
      <c r="KTO1" s="21"/>
      <c r="KTP1" s="21"/>
      <c r="KTQ1" s="21"/>
      <c r="KTR1" s="21"/>
      <c r="KTS1" s="21"/>
      <c r="KTT1" s="21"/>
      <c r="KTU1" s="21"/>
      <c r="KTV1" s="21"/>
      <c r="KTW1" s="21"/>
      <c r="KTX1" s="21"/>
      <c r="KTY1" s="21"/>
      <c r="KTZ1" s="21"/>
      <c r="KUA1" s="21"/>
      <c r="KUB1" s="21"/>
      <c r="KUC1" s="20" t="s">
        <v>297</v>
      </c>
      <c r="KUD1" s="21"/>
      <c r="KUE1" s="21"/>
      <c r="KUF1" s="21"/>
      <c r="KUG1" s="21"/>
      <c r="KUH1" s="21"/>
      <c r="KUI1" s="21"/>
      <c r="KUJ1" s="21"/>
      <c r="KUK1" s="21"/>
      <c r="KUL1" s="21"/>
      <c r="KUM1" s="21"/>
      <c r="KUN1" s="21"/>
      <c r="KUO1" s="21"/>
      <c r="KUP1" s="21"/>
      <c r="KUQ1" s="21"/>
      <c r="KUR1" s="21"/>
      <c r="KUS1" s="20" t="s">
        <v>297</v>
      </c>
      <c r="KUT1" s="21"/>
      <c r="KUU1" s="21"/>
      <c r="KUV1" s="21"/>
      <c r="KUW1" s="21"/>
      <c r="KUX1" s="21"/>
      <c r="KUY1" s="21"/>
      <c r="KUZ1" s="21"/>
      <c r="KVA1" s="21"/>
      <c r="KVB1" s="21"/>
      <c r="KVC1" s="21"/>
      <c r="KVD1" s="21"/>
      <c r="KVE1" s="21"/>
      <c r="KVF1" s="21"/>
      <c r="KVG1" s="21"/>
      <c r="KVH1" s="21"/>
      <c r="KVI1" s="20" t="s">
        <v>297</v>
      </c>
      <c r="KVJ1" s="21"/>
      <c r="KVK1" s="21"/>
      <c r="KVL1" s="21"/>
      <c r="KVM1" s="21"/>
      <c r="KVN1" s="21"/>
      <c r="KVO1" s="21"/>
      <c r="KVP1" s="21"/>
      <c r="KVQ1" s="21"/>
      <c r="KVR1" s="21"/>
      <c r="KVS1" s="21"/>
      <c r="KVT1" s="21"/>
      <c r="KVU1" s="21"/>
      <c r="KVV1" s="21"/>
      <c r="KVW1" s="21"/>
      <c r="KVX1" s="21"/>
      <c r="KVY1" s="20" t="s">
        <v>297</v>
      </c>
      <c r="KVZ1" s="21"/>
      <c r="KWA1" s="21"/>
      <c r="KWB1" s="21"/>
      <c r="KWC1" s="21"/>
      <c r="KWD1" s="21"/>
      <c r="KWE1" s="21"/>
      <c r="KWF1" s="21"/>
      <c r="KWG1" s="21"/>
      <c r="KWH1" s="21"/>
      <c r="KWI1" s="21"/>
      <c r="KWJ1" s="21"/>
      <c r="KWK1" s="21"/>
      <c r="KWL1" s="21"/>
      <c r="KWM1" s="21"/>
      <c r="KWN1" s="21"/>
      <c r="KWO1" s="20" t="s">
        <v>297</v>
      </c>
      <c r="KWP1" s="21"/>
      <c r="KWQ1" s="21"/>
      <c r="KWR1" s="21"/>
      <c r="KWS1" s="21"/>
      <c r="KWT1" s="21"/>
      <c r="KWU1" s="21"/>
      <c r="KWV1" s="21"/>
      <c r="KWW1" s="21"/>
      <c r="KWX1" s="21"/>
      <c r="KWY1" s="21"/>
      <c r="KWZ1" s="21"/>
      <c r="KXA1" s="21"/>
      <c r="KXB1" s="21"/>
      <c r="KXC1" s="21"/>
      <c r="KXD1" s="21"/>
      <c r="KXE1" s="20" t="s">
        <v>297</v>
      </c>
      <c r="KXF1" s="21"/>
      <c r="KXG1" s="21"/>
      <c r="KXH1" s="21"/>
      <c r="KXI1" s="21"/>
      <c r="KXJ1" s="21"/>
      <c r="KXK1" s="21"/>
      <c r="KXL1" s="21"/>
      <c r="KXM1" s="21"/>
      <c r="KXN1" s="21"/>
      <c r="KXO1" s="21"/>
      <c r="KXP1" s="21"/>
      <c r="KXQ1" s="21"/>
      <c r="KXR1" s="21"/>
      <c r="KXS1" s="21"/>
      <c r="KXT1" s="21"/>
      <c r="KXU1" s="20" t="s">
        <v>297</v>
      </c>
      <c r="KXV1" s="21"/>
      <c r="KXW1" s="21"/>
      <c r="KXX1" s="21"/>
      <c r="KXY1" s="21"/>
      <c r="KXZ1" s="21"/>
      <c r="KYA1" s="21"/>
      <c r="KYB1" s="21"/>
      <c r="KYC1" s="21"/>
      <c r="KYD1" s="21"/>
      <c r="KYE1" s="21"/>
      <c r="KYF1" s="21"/>
      <c r="KYG1" s="21"/>
      <c r="KYH1" s="21"/>
      <c r="KYI1" s="21"/>
      <c r="KYJ1" s="21"/>
      <c r="KYK1" s="20" t="s">
        <v>297</v>
      </c>
      <c r="KYL1" s="21"/>
      <c r="KYM1" s="21"/>
      <c r="KYN1" s="21"/>
      <c r="KYO1" s="21"/>
      <c r="KYP1" s="21"/>
      <c r="KYQ1" s="21"/>
      <c r="KYR1" s="21"/>
      <c r="KYS1" s="21"/>
      <c r="KYT1" s="21"/>
      <c r="KYU1" s="21"/>
      <c r="KYV1" s="21"/>
      <c r="KYW1" s="21"/>
      <c r="KYX1" s="21"/>
      <c r="KYY1" s="21"/>
      <c r="KYZ1" s="21"/>
      <c r="KZA1" s="20" t="s">
        <v>297</v>
      </c>
      <c r="KZB1" s="21"/>
      <c r="KZC1" s="21"/>
      <c r="KZD1" s="21"/>
      <c r="KZE1" s="21"/>
      <c r="KZF1" s="21"/>
      <c r="KZG1" s="21"/>
      <c r="KZH1" s="21"/>
      <c r="KZI1" s="21"/>
      <c r="KZJ1" s="21"/>
      <c r="KZK1" s="21"/>
      <c r="KZL1" s="21"/>
      <c r="KZM1" s="21"/>
      <c r="KZN1" s="21"/>
      <c r="KZO1" s="21"/>
      <c r="KZP1" s="21"/>
      <c r="KZQ1" s="20" t="s">
        <v>297</v>
      </c>
      <c r="KZR1" s="21"/>
      <c r="KZS1" s="21"/>
      <c r="KZT1" s="21"/>
      <c r="KZU1" s="21"/>
      <c r="KZV1" s="21"/>
      <c r="KZW1" s="21"/>
      <c r="KZX1" s="21"/>
      <c r="KZY1" s="21"/>
      <c r="KZZ1" s="21"/>
      <c r="LAA1" s="21"/>
      <c r="LAB1" s="21"/>
      <c r="LAC1" s="21"/>
      <c r="LAD1" s="21"/>
      <c r="LAE1" s="21"/>
      <c r="LAF1" s="21"/>
      <c r="LAG1" s="20" t="s">
        <v>297</v>
      </c>
      <c r="LAH1" s="21"/>
      <c r="LAI1" s="21"/>
      <c r="LAJ1" s="21"/>
      <c r="LAK1" s="21"/>
      <c r="LAL1" s="21"/>
      <c r="LAM1" s="21"/>
      <c r="LAN1" s="21"/>
      <c r="LAO1" s="21"/>
      <c r="LAP1" s="21"/>
      <c r="LAQ1" s="21"/>
      <c r="LAR1" s="21"/>
      <c r="LAS1" s="21"/>
      <c r="LAT1" s="21"/>
      <c r="LAU1" s="21"/>
      <c r="LAV1" s="21"/>
      <c r="LAW1" s="20" t="s">
        <v>297</v>
      </c>
      <c r="LAX1" s="21"/>
      <c r="LAY1" s="21"/>
      <c r="LAZ1" s="21"/>
      <c r="LBA1" s="21"/>
      <c r="LBB1" s="21"/>
      <c r="LBC1" s="21"/>
      <c r="LBD1" s="21"/>
      <c r="LBE1" s="21"/>
      <c r="LBF1" s="21"/>
      <c r="LBG1" s="21"/>
      <c r="LBH1" s="21"/>
      <c r="LBI1" s="21"/>
      <c r="LBJ1" s="21"/>
      <c r="LBK1" s="21"/>
      <c r="LBL1" s="21"/>
      <c r="LBM1" s="20" t="s">
        <v>297</v>
      </c>
      <c r="LBN1" s="21"/>
      <c r="LBO1" s="21"/>
      <c r="LBP1" s="21"/>
      <c r="LBQ1" s="21"/>
      <c r="LBR1" s="21"/>
      <c r="LBS1" s="21"/>
      <c r="LBT1" s="21"/>
      <c r="LBU1" s="21"/>
      <c r="LBV1" s="21"/>
      <c r="LBW1" s="21"/>
      <c r="LBX1" s="21"/>
      <c r="LBY1" s="21"/>
      <c r="LBZ1" s="21"/>
      <c r="LCA1" s="21"/>
      <c r="LCB1" s="21"/>
      <c r="LCC1" s="20" t="s">
        <v>297</v>
      </c>
      <c r="LCD1" s="21"/>
      <c r="LCE1" s="21"/>
      <c r="LCF1" s="21"/>
      <c r="LCG1" s="21"/>
      <c r="LCH1" s="21"/>
      <c r="LCI1" s="21"/>
      <c r="LCJ1" s="21"/>
      <c r="LCK1" s="21"/>
      <c r="LCL1" s="21"/>
      <c r="LCM1" s="21"/>
      <c r="LCN1" s="21"/>
      <c r="LCO1" s="21"/>
      <c r="LCP1" s="21"/>
      <c r="LCQ1" s="21"/>
      <c r="LCR1" s="21"/>
      <c r="LCS1" s="20" t="s">
        <v>297</v>
      </c>
      <c r="LCT1" s="21"/>
      <c r="LCU1" s="21"/>
      <c r="LCV1" s="21"/>
      <c r="LCW1" s="21"/>
      <c r="LCX1" s="21"/>
      <c r="LCY1" s="21"/>
      <c r="LCZ1" s="21"/>
      <c r="LDA1" s="21"/>
      <c r="LDB1" s="21"/>
      <c r="LDC1" s="21"/>
      <c r="LDD1" s="21"/>
      <c r="LDE1" s="21"/>
      <c r="LDF1" s="21"/>
      <c r="LDG1" s="21"/>
      <c r="LDH1" s="21"/>
      <c r="LDI1" s="20" t="s">
        <v>297</v>
      </c>
      <c r="LDJ1" s="21"/>
      <c r="LDK1" s="21"/>
      <c r="LDL1" s="21"/>
      <c r="LDM1" s="21"/>
      <c r="LDN1" s="21"/>
      <c r="LDO1" s="21"/>
      <c r="LDP1" s="21"/>
      <c r="LDQ1" s="21"/>
      <c r="LDR1" s="21"/>
      <c r="LDS1" s="21"/>
      <c r="LDT1" s="21"/>
      <c r="LDU1" s="21"/>
      <c r="LDV1" s="21"/>
      <c r="LDW1" s="21"/>
      <c r="LDX1" s="21"/>
      <c r="LDY1" s="20" t="s">
        <v>297</v>
      </c>
      <c r="LDZ1" s="21"/>
      <c r="LEA1" s="21"/>
      <c r="LEB1" s="21"/>
      <c r="LEC1" s="21"/>
      <c r="LED1" s="21"/>
      <c r="LEE1" s="21"/>
      <c r="LEF1" s="21"/>
      <c r="LEG1" s="21"/>
      <c r="LEH1" s="21"/>
      <c r="LEI1" s="21"/>
      <c r="LEJ1" s="21"/>
      <c r="LEK1" s="21"/>
      <c r="LEL1" s="21"/>
      <c r="LEM1" s="21"/>
      <c r="LEN1" s="21"/>
      <c r="LEO1" s="20" t="s">
        <v>297</v>
      </c>
      <c r="LEP1" s="21"/>
      <c r="LEQ1" s="21"/>
      <c r="LER1" s="21"/>
      <c r="LES1" s="21"/>
      <c r="LET1" s="21"/>
      <c r="LEU1" s="21"/>
      <c r="LEV1" s="21"/>
      <c r="LEW1" s="21"/>
      <c r="LEX1" s="21"/>
      <c r="LEY1" s="21"/>
      <c r="LEZ1" s="21"/>
      <c r="LFA1" s="21"/>
      <c r="LFB1" s="21"/>
      <c r="LFC1" s="21"/>
      <c r="LFD1" s="21"/>
      <c r="LFE1" s="20" t="s">
        <v>297</v>
      </c>
      <c r="LFF1" s="21"/>
      <c r="LFG1" s="21"/>
      <c r="LFH1" s="21"/>
      <c r="LFI1" s="21"/>
      <c r="LFJ1" s="21"/>
      <c r="LFK1" s="21"/>
      <c r="LFL1" s="21"/>
      <c r="LFM1" s="21"/>
      <c r="LFN1" s="21"/>
      <c r="LFO1" s="21"/>
      <c r="LFP1" s="21"/>
      <c r="LFQ1" s="21"/>
      <c r="LFR1" s="21"/>
      <c r="LFS1" s="21"/>
      <c r="LFT1" s="21"/>
      <c r="LFU1" s="20" t="s">
        <v>297</v>
      </c>
      <c r="LFV1" s="21"/>
      <c r="LFW1" s="21"/>
      <c r="LFX1" s="21"/>
      <c r="LFY1" s="21"/>
      <c r="LFZ1" s="21"/>
      <c r="LGA1" s="21"/>
      <c r="LGB1" s="21"/>
      <c r="LGC1" s="21"/>
      <c r="LGD1" s="21"/>
      <c r="LGE1" s="21"/>
      <c r="LGF1" s="21"/>
      <c r="LGG1" s="21"/>
      <c r="LGH1" s="21"/>
      <c r="LGI1" s="21"/>
      <c r="LGJ1" s="21"/>
      <c r="LGK1" s="20" t="s">
        <v>297</v>
      </c>
      <c r="LGL1" s="21"/>
      <c r="LGM1" s="21"/>
      <c r="LGN1" s="21"/>
      <c r="LGO1" s="21"/>
      <c r="LGP1" s="21"/>
      <c r="LGQ1" s="21"/>
      <c r="LGR1" s="21"/>
      <c r="LGS1" s="21"/>
      <c r="LGT1" s="21"/>
      <c r="LGU1" s="21"/>
      <c r="LGV1" s="21"/>
      <c r="LGW1" s="21"/>
      <c r="LGX1" s="21"/>
      <c r="LGY1" s="21"/>
      <c r="LGZ1" s="21"/>
      <c r="LHA1" s="20" t="s">
        <v>297</v>
      </c>
      <c r="LHB1" s="21"/>
      <c r="LHC1" s="21"/>
      <c r="LHD1" s="21"/>
      <c r="LHE1" s="21"/>
      <c r="LHF1" s="21"/>
      <c r="LHG1" s="21"/>
      <c r="LHH1" s="21"/>
      <c r="LHI1" s="21"/>
      <c r="LHJ1" s="21"/>
      <c r="LHK1" s="21"/>
      <c r="LHL1" s="21"/>
      <c r="LHM1" s="21"/>
      <c r="LHN1" s="21"/>
      <c r="LHO1" s="21"/>
      <c r="LHP1" s="21"/>
      <c r="LHQ1" s="20" t="s">
        <v>297</v>
      </c>
      <c r="LHR1" s="21"/>
      <c r="LHS1" s="21"/>
      <c r="LHT1" s="21"/>
      <c r="LHU1" s="21"/>
      <c r="LHV1" s="21"/>
      <c r="LHW1" s="21"/>
      <c r="LHX1" s="21"/>
      <c r="LHY1" s="21"/>
      <c r="LHZ1" s="21"/>
      <c r="LIA1" s="21"/>
      <c r="LIB1" s="21"/>
      <c r="LIC1" s="21"/>
      <c r="LID1" s="21"/>
      <c r="LIE1" s="21"/>
      <c r="LIF1" s="21"/>
      <c r="LIG1" s="20" t="s">
        <v>297</v>
      </c>
      <c r="LIH1" s="21"/>
      <c r="LII1" s="21"/>
      <c r="LIJ1" s="21"/>
      <c r="LIK1" s="21"/>
      <c r="LIL1" s="21"/>
      <c r="LIM1" s="21"/>
      <c r="LIN1" s="21"/>
      <c r="LIO1" s="21"/>
      <c r="LIP1" s="21"/>
      <c r="LIQ1" s="21"/>
      <c r="LIR1" s="21"/>
      <c r="LIS1" s="21"/>
      <c r="LIT1" s="21"/>
      <c r="LIU1" s="21"/>
      <c r="LIV1" s="21"/>
      <c r="LIW1" s="20" t="s">
        <v>297</v>
      </c>
      <c r="LIX1" s="21"/>
      <c r="LIY1" s="21"/>
      <c r="LIZ1" s="21"/>
      <c r="LJA1" s="21"/>
      <c r="LJB1" s="21"/>
      <c r="LJC1" s="21"/>
      <c r="LJD1" s="21"/>
      <c r="LJE1" s="21"/>
      <c r="LJF1" s="21"/>
      <c r="LJG1" s="21"/>
      <c r="LJH1" s="21"/>
      <c r="LJI1" s="21"/>
      <c r="LJJ1" s="21"/>
      <c r="LJK1" s="21"/>
      <c r="LJL1" s="21"/>
      <c r="LJM1" s="20" t="s">
        <v>297</v>
      </c>
      <c r="LJN1" s="21"/>
      <c r="LJO1" s="21"/>
      <c r="LJP1" s="21"/>
      <c r="LJQ1" s="21"/>
      <c r="LJR1" s="21"/>
      <c r="LJS1" s="21"/>
      <c r="LJT1" s="21"/>
      <c r="LJU1" s="21"/>
      <c r="LJV1" s="21"/>
      <c r="LJW1" s="21"/>
      <c r="LJX1" s="21"/>
      <c r="LJY1" s="21"/>
      <c r="LJZ1" s="21"/>
      <c r="LKA1" s="21"/>
      <c r="LKB1" s="21"/>
      <c r="LKC1" s="20" t="s">
        <v>297</v>
      </c>
      <c r="LKD1" s="21"/>
      <c r="LKE1" s="21"/>
      <c r="LKF1" s="21"/>
      <c r="LKG1" s="21"/>
      <c r="LKH1" s="21"/>
      <c r="LKI1" s="21"/>
      <c r="LKJ1" s="21"/>
      <c r="LKK1" s="21"/>
      <c r="LKL1" s="21"/>
      <c r="LKM1" s="21"/>
      <c r="LKN1" s="21"/>
      <c r="LKO1" s="21"/>
      <c r="LKP1" s="21"/>
      <c r="LKQ1" s="21"/>
      <c r="LKR1" s="21"/>
      <c r="LKS1" s="20" t="s">
        <v>297</v>
      </c>
      <c r="LKT1" s="21"/>
      <c r="LKU1" s="21"/>
      <c r="LKV1" s="21"/>
      <c r="LKW1" s="21"/>
      <c r="LKX1" s="21"/>
      <c r="LKY1" s="21"/>
      <c r="LKZ1" s="21"/>
      <c r="LLA1" s="21"/>
      <c r="LLB1" s="21"/>
      <c r="LLC1" s="21"/>
      <c r="LLD1" s="21"/>
      <c r="LLE1" s="21"/>
      <c r="LLF1" s="21"/>
      <c r="LLG1" s="21"/>
      <c r="LLH1" s="21"/>
      <c r="LLI1" s="20" t="s">
        <v>297</v>
      </c>
      <c r="LLJ1" s="21"/>
      <c r="LLK1" s="21"/>
      <c r="LLL1" s="21"/>
      <c r="LLM1" s="21"/>
      <c r="LLN1" s="21"/>
      <c r="LLO1" s="21"/>
      <c r="LLP1" s="21"/>
      <c r="LLQ1" s="21"/>
      <c r="LLR1" s="21"/>
      <c r="LLS1" s="21"/>
      <c r="LLT1" s="21"/>
      <c r="LLU1" s="21"/>
      <c r="LLV1" s="21"/>
      <c r="LLW1" s="21"/>
      <c r="LLX1" s="21"/>
      <c r="LLY1" s="20" t="s">
        <v>297</v>
      </c>
      <c r="LLZ1" s="21"/>
      <c r="LMA1" s="21"/>
      <c r="LMB1" s="21"/>
      <c r="LMC1" s="21"/>
      <c r="LMD1" s="21"/>
      <c r="LME1" s="21"/>
      <c r="LMF1" s="21"/>
      <c r="LMG1" s="21"/>
      <c r="LMH1" s="21"/>
      <c r="LMI1" s="21"/>
      <c r="LMJ1" s="21"/>
      <c r="LMK1" s="21"/>
      <c r="LML1" s="21"/>
      <c r="LMM1" s="21"/>
      <c r="LMN1" s="21"/>
      <c r="LMO1" s="20" t="s">
        <v>297</v>
      </c>
      <c r="LMP1" s="21"/>
      <c r="LMQ1" s="21"/>
      <c r="LMR1" s="21"/>
      <c r="LMS1" s="21"/>
      <c r="LMT1" s="21"/>
      <c r="LMU1" s="21"/>
      <c r="LMV1" s="21"/>
      <c r="LMW1" s="21"/>
      <c r="LMX1" s="21"/>
      <c r="LMY1" s="21"/>
      <c r="LMZ1" s="21"/>
      <c r="LNA1" s="21"/>
      <c r="LNB1" s="21"/>
      <c r="LNC1" s="21"/>
      <c r="LND1" s="21"/>
      <c r="LNE1" s="20" t="s">
        <v>297</v>
      </c>
      <c r="LNF1" s="21"/>
      <c r="LNG1" s="21"/>
      <c r="LNH1" s="21"/>
      <c r="LNI1" s="21"/>
      <c r="LNJ1" s="21"/>
      <c r="LNK1" s="21"/>
      <c r="LNL1" s="21"/>
      <c r="LNM1" s="21"/>
      <c r="LNN1" s="21"/>
      <c r="LNO1" s="21"/>
      <c r="LNP1" s="21"/>
      <c r="LNQ1" s="21"/>
      <c r="LNR1" s="21"/>
      <c r="LNS1" s="21"/>
      <c r="LNT1" s="21"/>
      <c r="LNU1" s="20" t="s">
        <v>297</v>
      </c>
      <c r="LNV1" s="21"/>
      <c r="LNW1" s="21"/>
      <c r="LNX1" s="21"/>
      <c r="LNY1" s="21"/>
      <c r="LNZ1" s="21"/>
      <c r="LOA1" s="21"/>
      <c r="LOB1" s="21"/>
      <c r="LOC1" s="21"/>
      <c r="LOD1" s="21"/>
      <c r="LOE1" s="21"/>
      <c r="LOF1" s="21"/>
      <c r="LOG1" s="21"/>
      <c r="LOH1" s="21"/>
      <c r="LOI1" s="21"/>
      <c r="LOJ1" s="21"/>
      <c r="LOK1" s="20" t="s">
        <v>297</v>
      </c>
      <c r="LOL1" s="21"/>
      <c r="LOM1" s="21"/>
      <c r="LON1" s="21"/>
      <c r="LOO1" s="21"/>
      <c r="LOP1" s="21"/>
      <c r="LOQ1" s="21"/>
      <c r="LOR1" s="21"/>
      <c r="LOS1" s="21"/>
      <c r="LOT1" s="21"/>
      <c r="LOU1" s="21"/>
      <c r="LOV1" s="21"/>
      <c r="LOW1" s="21"/>
      <c r="LOX1" s="21"/>
      <c r="LOY1" s="21"/>
      <c r="LOZ1" s="21"/>
      <c r="LPA1" s="20" t="s">
        <v>297</v>
      </c>
      <c r="LPB1" s="21"/>
      <c r="LPC1" s="21"/>
      <c r="LPD1" s="21"/>
      <c r="LPE1" s="21"/>
      <c r="LPF1" s="21"/>
      <c r="LPG1" s="21"/>
      <c r="LPH1" s="21"/>
      <c r="LPI1" s="21"/>
      <c r="LPJ1" s="21"/>
      <c r="LPK1" s="21"/>
      <c r="LPL1" s="21"/>
      <c r="LPM1" s="21"/>
      <c r="LPN1" s="21"/>
      <c r="LPO1" s="21"/>
      <c r="LPP1" s="21"/>
      <c r="LPQ1" s="20" t="s">
        <v>297</v>
      </c>
      <c r="LPR1" s="21"/>
      <c r="LPS1" s="21"/>
      <c r="LPT1" s="21"/>
      <c r="LPU1" s="21"/>
      <c r="LPV1" s="21"/>
      <c r="LPW1" s="21"/>
      <c r="LPX1" s="21"/>
      <c r="LPY1" s="21"/>
      <c r="LPZ1" s="21"/>
      <c r="LQA1" s="21"/>
      <c r="LQB1" s="21"/>
      <c r="LQC1" s="21"/>
      <c r="LQD1" s="21"/>
      <c r="LQE1" s="21"/>
      <c r="LQF1" s="21"/>
      <c r="LQG1" s="20" t="s">
        <v>297</v>
      </c>
      <c r="LQH1" s="21"/>
      <c r="LQI1" s="21"/>
      <c r="LQJ1" s="21"/>
      <c r="LQK1" s="21"/>
      <c r="LQL1" s="21"/>
      <c r="LQM1" s="21"/>
      <c r="LQN1" s="21"/>
      <c r="LQO1" s="21"/>
      <c r="LQP1" s="21"/>
      <c r="LQQ1" s="21"/>
      <c r="LQR1" s="21"/>
      <c r="LQS1" s="21"/>
      <c r="LQT1" s="21"/>
      <c r="LQU1" s="21"/>
      <c r="LQV1" s="21"/>
      <c r="LQW1" s="20" t="s">
        <v>297</v>
      </c>
      <c r="LQX1" s="21"/>
      <c r="LQY1" s="21"/>
      <c r="LQZ1" s="21"/>
      <c r="LRA1" s="21"/>
      <c r="LRB1" s="21"/>
      <c r="LRC1" s="21"/>
      <c r="LRD1" s="21"/>
      <c r="LRE1" s="21"/>
      <c r="LRF1" s="21"/>
      <c r="LRG1" s="21"/>
      <c r="LRH1" s="21"/>
      <c r="LRI1" s="21"/>
      <c r="LRJ1" s="21"/>
      <c r="LRK1" s="21"/>
      <c r="LRL1" s="21"/>
      <c r="LRM1" s="20" t="s">
        <v>297</v>
      </c>
      <c r="LRN1" s="21"/>
      <c r="LRO1" s="21"/>
      <c r="LRP1" s="21"/>
      <c r="LRQ1" s="21"/>
      <c r="LRR1" s="21"/>
      <c r="LRS1" s="21"/>
      <c r="LRT1" s="21"/>
      <c r="LRU1" s="21"/>
      <c r="LRV1" s="21"/>
      <c r="LRW1" s="21"/>
      <c r="LRX1" s="21"/>
      <c r="LRY1" s="21"/>
      <c r="LRZ1" s="21"/>
      <c r="LSA1" s="21"/>
      <c r="LSB1" s="21"/>
      <c r="LSC1" s="20" t="s">
        <v>297</v>
      </c>
      <c r="LSD1" s="21"/>
      <c r="LSE1" s="21"/>
      <c r="LSF1" s="21"/>
      <c r="LSG1" s="21"/>
      <c r="LSH1" s="21"/>
      <c r="LSI1" s="21"/>
      <c r="LSJ1" s="21"/>
      <c r="LSK1" s="21"/>
      <c r="LSL1" s="21"/>
      <c r="LSM1" s="21"/>
      <c r="LSN1" s="21"/>
      <c r="LSO1" s="21"/>
      <c r="LSP1" s="21"/>
      <c r="LSQ1" s="21"/>
      <c r="LSR1" s="21"/>
      <c r="LSS1" s="20" t="s">
        <v>297</v>
      </c>
      <c r="LST1" s="21"/>
      <c r="LSU1" s="21"/>
      <c r="LSV1" s="21"/>
      <c r="LSW1" s="21"/>
      <c r="LSX1" s="21"/>
      <c r="LSY1" s="21"/>
      <c r="LSZ1" s="21"/>
      <c r="LTA1" s="21"/>
      <c r="LTB1" s="21"/>
      <c r="LTC1" s="21"/>
      <c r="LTD1" s="21"/>
      <c r="LTE1" s="21"/>
      <c r="LTF1" s="21"/>
      <c r="LTG1" s="21"/>
      <c r="LTH1" s="21"/>
      <c r="LTI1" s="20" t="s">
        <v>297</v>
      </c>
      <c r="LTJ1" s="21"/>
      <c r="LTK1" s="21"/>
      <c r="LTL1" s="21"/>
      <c r="LTM1" s="21"/>
      <c r="LTN1" s="21"/>
      <c r="LTO1" s="21"/>
      <c r="LTP1" s="21"/>
      <c r="LTQ1" s="21"/>
      <c r="LTR1" s="21"/>
      <c r="LTS1" s="21"/>
      <c r="LTT1" s="21"/>
      <c r="LTU1" s="21"/>
      <c r="LTV1" s="21"/>
      <c r="LTW1" s="21"/>
      <c r="LTX1" s="21"/>
      <c r="LTY1" s="20" t="s">
        <v>297</v>
      </c>
      <c r="LTZ1" s="21"/>
      <c r="LUA1" s="21"/>
      <c r="LUB1" s="21"/>
      <c r="LUC1" s="21"/>
      <c r="LUD1" s="21"/>
      <c r="LUE1" s="21"/>
      <c r="LUF1" s="21"/>
      <c r="LUG1" s="21"/>
      <c r="LUH1" s="21"/>
      <c r="LUI1" s="21"/>
      <c r="LUJ1" s="21"/>
      <c r="LUK1" s="21"/>
      <c r="LUL1" s="21"/>
      <c r="LUM1" s="21"/>
      <c r="LUN1" s="21"/>
      <c r="LUO1" s="20" t="s">
        <v>297</v>
      </c>
      <c r="LUP1" s="21"/>
      <c r="LUQ1" s="21"/>
      <c r="LUR1" s="21"/>
      <c r="LUS1" s="21"/>
      <c r="LUT1" s="21"/>
      <c r="LUU1" s="21"/>
      <c r="LUV1" s="21"/>
      <c r="LUW1" s="21"/>
      <c r="LUX1" s="21"/>
      <c r="LUY1" s="21"/>
      <c r="LUZ1" s="21"/>
      <c r="LVA1" s="21"/>
      <c r="LVB1" s="21"/>
      <c r="LVC1" s="21"/>
      <c r="LVD1" s="21"/>
      <c r="LVE1" s="20" t="s">
        <v>297</v>
      </c>
      <c r="LVF1" s="21"/>
      <c r="LVG1" s="21"/>
      <c r="LVH1" s="21"/>
      <c r="LVI1" s="21"/>
      <c r="LVJ1" s="21"/>
      <c r="LVK1" s="21"/>
      <c r="LVL1" s="21"/>
      <c r="LVM1" s="21"/>
      <c r="LVN1" s="21"/>
      <c r="LVO1" s="21"/>
      <c r="LVP1" s="21"/>
      <c r="LVQ1" s="21"/>
      <c r="LVR1" s="21"/>
      <c r="LVS1" s="21"/>
      <c r="LVT1" s="21"/>
      <c r="LVU1" s="20" t="s">
        <v>297</v>
      </c>
      <c r="LVV1" s="21"/>
      <c r="LVW1" s="21"/>
      <c r="LVX1" s="21"/>
      <c r="LVY1" s="21"/>
      <c r="LVZ1" s="21"/>
      <c r="LWA1" s="21"/>
      <c r="LWB1" s="21"/>
      <c r="LWC1" s="21"/>
      <c r="LWD1" s="21"/>
      <c r="LWE1" s="21"/>
      <c r="LWF1" s="21"/>
      <c r="LWG1" s="21"/>
      <c r="LWH1" s="21"/>
      <c r="LWI1" s="21"/>
      <c r="LWJ1" s="21"/>
      <c r="LWK1" s="20" t="s">
        <v>297</v>
      </c>
      <c r="LWL1" s="21"/>
      <c r="LWM1" s="21"/>
      <c r="LWN1" s="21"/>
      <c r="LWO1" s="21"/>
      <c r="LWP1" s="21"/>
      <c r="LWQ1" s="21"/>
      <c r="LWR1" s="21"/>
      <c r="LWS1" s="21"/>
      <c r="LWT1" s="21"/>
      <c r="LWU1" s="21"/>
      <c r="LWV1" s="21"/>
      <c r="LWW1" s="21"/>
      <c r="LWX1" s="21"/>
      <c r="LWY1" s="21"/>
      <c r="LWZ1" s="21"/>
      <c r="LXA1" s="20" t="s">
        <v>297</v>
      </c>
      <c r="LXB1" s="21"/>
      <c r="LXC1" s="21"/>
      <c r="LXD1" s="21"/>
      <c r="LXE1" s="21"/>
      <c r="LXF1" s="21"/>
      <c r="LXG1" s="21"/>
      <c r="LXH1" s="21"/>
      <c r="LXI1" s="21"/>
      <c r="LXJ1" s="21"/>
      <c r="LXK1" s="21"/>
      <c r="LXL1" s="21"/>
      <c r="LXM1" s="21"/>
      <c r="LXN1" s="21"/>
      <c r="LXO1" s="21"/>
      <c r="LXP1" s="21"/>
      <c r="LXQ1" s="20" t="s">
        <v>297</v>
      </c>
      <c r="LXR1" s="21"/>
      <c r="LXS1" s="21"/>
      <c r="LXT1" s="21"/>
      <c r="LXU1" s="21"/>
      <c r="LXV1" s="21"/>
      <c r="LXW1" s="21"/>
      <c r="LXX1" s="21"/>
      <c r="LXY1" s="21"/>
      <c r="LXZ1" s="21"/>
      <c r="LYA1" s="21"/>
      <c r="LYB1" s="21"/>
      <c r="LYC1" s="21"/>
      <c r="LYD1" s="21"/>
      <c r="LYE1" s="21"/>
      <c r="LYF1" s="21"/>
      <c r="LYG1" s="20" t="s">
        <v>297</v>
      </c>
      <c r="LYH1" s="21"/>
      <c r="LYI1" s="21"/>
      <c r="LYJ1" s="21"/>
      <c r="LYK1" s="21"/>
      <c r="LYL1" s="21"/>
      <c r="LYM1" s="21"/>
      <c r="LYN1" s="21"/>
      <c r="LYO1" s="21"/>
      <c r="LYP1" s="21"/>
      <c r="LYQ1" s="21"/>
      <c r="LYR1" s="21"/>
      <c r="LYS1" s="21"/>
      <c r="LYT1" s="21"/>
      <c r="LYU1" s="21"/>
      <c r="LYV1" s="21"/>
      <c r="LYW1" s="20" t="s">
        <v>297</v>
      </c>
      <c r="LYX1" s="21"/>
      <c r="LYY1" s="21"/>
      <c r="LYZ1" s="21"/>
      <c r="LZA1" s="21"/>
      <c r="LZB1" s="21"/>
      <c r="LZC1" s="21"/>
      <c r="LZD1" s="21"/>
      <c r="LZE1" s="21"/>
      <c r="LZF1" s="21"/>
      <c r="LZG1" s="21"/>
      <c r="LZH1" s="21"/>
      <c r="LZI1" s="21"/>
      <c r="LZJ1" s="21"/>
      <c r="LZK1" s="21"/>
      <c r="LZL1" s="21"/>
      <c r="LZM1" s="20" t="s">
        <v>297</v>
      </c>
      <c r="LZN1" s="21"/>
      <c r="LZO1" s="21"/>
      <c r="LZP1" s="21"/>
      <c r="LZQ1" s="21"/>
      <c r="LZR1" s="21"/>
      <c r="LZS1" s="21"/>
      <c r="LZT1" s="21"/>
      <c r="LZU1" s="21"/>
      <c r="LZV1" s="21"/>
      <c r="LZW1" s="21"/>
      <c r="LZX1" s="21"/>
      <c r="LZY1" s="21"/>
      <c r="LZZ1" s="21"/>
      <c r="MAA1" s="21"/>
      <c r="MAB1" s="21"/>
      <c r="MAC1" s="20" t="s">
        <v>297</v>
      </c>
      <c r="MAD1" s="21"/>
      <c r="MAE1" s="21"/>
      <c r="MAF1" s="21"/>
      <c r="MAG1" s="21"/>
      <c r="MAH1" s="21"/>
      <c r="MAI1" s="21"/>
      <c r="MAJ1" s="21"/>
      <c r="MAK1" s="21"/>
      <c r="MAL1" s="21"/>
      <c r="MAM1" s="21"/>
      <c r="MAN1" s="21"/>
      <c r="MAO1" s="21"/>
      <c r="MAP1" s="21"/>
      <c r="MAQ1" s="21"/>
      <c r="MAR1" s="21"/>
      <c r="MAS1" s="20" t="s">
        <v>297</v>
      </c>
      <c r="MAT1" s="21"/>
      <c r="MAU1" s="21"/>
      <c r="MAV1" s="21"/>
      <c r="MAW1" s="21"/>
      <c r="MAX1" s="21"/>
      <c r="MAY1" s="21"/>
      <c r="MAZ1" s="21"/>
      <c r="MBA1" s="21"/>
      <c r="MBB1" s="21"/>
      <c r="MBC1" s="21"/>
      <c r="MBD1" s="21"/>
      <c r="MBE1" s="21"/>
      <c r="MBF1" s="21"/>
      <c r="MBG1" s="21"/>
      <c r="MBH1" s="21"/>
      <c r="MBI1" s="20" t="s">
        <v>297</v>
      </c>
      <c r="MBJ1" s="21"/>
      <c r="MBK1" s="21"/>
      <c r="MBL1" s="21"/>
      <c r="MBM1" s="21"/>
      <c r="MBN1" s="21"/>
      <c r="MBO1" s="21"/>
      <c r="MBP1" s="21"/>
      <c r="MBQ1" s="21"/>
      <c r="MBR1" s="21"/>
      <c r="MBS1" s="21"/>
      <c r="MBT1" s="21"/>
      <c r="MBU1" s="21"/>
      <c r="MBV1" s="21"/>
      <c r="MBW1" s="21"/>
      <c r="MBX1" s="21"/>
      <c r="MBY1" s="20" t="s">
        <v>297</v>
      </c>
      <c r="MBZ1" s="21"/>
      <c r="MCA1" s="21"/>
      <c r="MCB1" s="21"/>
      <c r="MCC1" s="21"/>
      <c r="MCD1" s="21"/>
      <c r="MCE1" s="21"/>
      <c r="MCF1" s="21"/>
      <c r="MCG1" s="21"/>
      <c r="MCH1" s="21"/>
      <c r="MCI1" s="21"/>
      <c r="MCJ1" s="21"/>
      <c r="MCK1" s="21"/>
      <c r="MCL1" s="21"/>
      <c r="MCM1" s="21"/>
      <c r="MCN1" s="21"/>
      <c r="MCO1" s="20" t="s">
        <v>297</v>
      </c>
      <c r="MCP1" s="21"/>
      <c r="MCQ1" s="21"/>
      <c r="MCR1" s="21"/>
      <c r="MCS1" s="21"/>
      <c r="MCT1" s="21"/>
      <c r="MCU1" s="21"/>
      <c r="MCV1" s="21"/>
      <c r="MCW1" s="21"/>
      <c r="MCX1" s="21"/>
      <c r="MCY1" s="21"/>
      <c r="MCZ1" s="21"/>
      <c r="MDA1" s="21"/>
      <c r="MDB1" s="21"/>
      <c r="MDC1" s="21"/>
      <c r="MDD1" s="21"/>
      <c r="MDE1" s="20" t="s">
        <v>297</v>
      </c>
      <c r="MDF1" s="21"/>
      <c r="MDG1" s="21"/>
      <c r="MDH1" s="21"/>
      <c r="MDI1" s="21"/>
      <c r="MDJ1" s="21"/>
      <c r="MDK1" s="21"/>
      <c r="MDL1" s="21"/>
      <c r="MDM1" s="21"/>
      <c r="MDN1" s="21"/>
      <c r="MDO1" s="21"/>
      <c r="MDP1" s="21"/>
      <c r="MDQ1" s="21"/>
      <c r="MDR1" s="21"/>
      <c r="MDS1" s="21"/>
      <c r="MDT1" s="21"/>
      <c r="MDU1" s="20" t="s">
        <v>297</v>
      </c>
      <c r="MDV1" s="21"/>
      <c r="MDW1" s="21"/>
      <c r="MDX1" s="21"/>
      <c r="MDY1" s="21"/>
      <c r="MDZ1" s="21"/>
      <c r="MEA1" s="21"/>
      <c r="MEB1" s="21"/>
      <c r="MEC1" s="21"/>
      <c r="MED1" s="21"/>
      <c r="MEE1" s="21"/>
      <c r="MEF1" s="21"/>
      <c r="MEG1" s="21"/>
      <c r="MEH1" s="21"/>
      <c r="MEI1" s="21"/>
      <c r="MEJ1" s="21"/>
      <c r="MEK1" s="20" t="s">
        <v>297</v>
      </c>
      <c r="MEL1" s="21"/>
      <c r="MEM1" s="21"/>
      <c r="MEN1" s="21"/>
      <c r="MEO1" s="21"/>
      <c r="MEP1" s="21"/>
      <c r="MEQ1" s="21"/>
      <c r="MER1" s="21"/>
      <c r="MES1" s="21"/>
      <c r="MET1" s="21"/>
      <c r="MEU1" s="21"/>
      <c r="MEV1" s="21"/>
      <c r="MEW1" s="21"/>
      <c r="MEX1" s="21"/>
      <c r="MEY1" s="21"/>
      <c r="MEZ1" s="21"/>
      <c r="MFA1" s="20" t="s">
        <v>297</v>
      </c>
      <c r="MFB1" s="21"/>
      <c r="MFC1" s="21"/>
      <c r="MFD1" s="21"/>
      <c r="MFE1" s="21"/>
      <c r="MFF1" s="21"/>
      <c r="MFG1" s="21"/>
      <c r="MFH1" s="21"/>
      <c r="MFI1" s="21"/>
      <c r="MFJ1" s="21"/>
      <c r="MFK1" s="21"/>
      <c r="MFL1" s="21"/>
      <c r="MFM1" s="21"/>
      <c r="MFN1" s="21"/>
      <c r="MFO1" s="21"/>
      <c r="MFP1" s="21"/>
      <c r="MFQ1" s="20" t="s">
        <v>297</v>
      </c>
      <c r="MFR1" s="21"/>
      <c r="MFS1" s="21"/>
      <c r="MFT1" s="21"/>
      <c r="MFU1" s="21"/>
      <c r="MFV1" s="21"/>
      <c r="MFW1" s="21"/>
      <c r="MFX1" s="21"/>
      <c r="MFY1" s="21"/>
      <c r="MFZ1" s="21"/>
      <c r="MGA1" s="21"/>
      <c r="MGB1" s="21"/>
      <c r="MGC1" s="21"/>
      <c r="MGD1" s="21"/>
      <c r="MGE1" s="21"/>
      <c r="MGF1" s="21"/>
      <c r="MGG1" s="20" t="s">
        <v>297</v>
      </c>
      <c r="MGH1" s="21"/>
      <c r="MGI1" s="21"/>
      <c r="MGJ1" s="21"/>
      <c r="MGK1" s="21"/>
      <c r="MGL1" s="21"/>
      <c r="MGM1" s="21"/>
      <c r="MGN1" s="21"/>
      <c r="MGO1" s="21"/>
      <c r="MGP1" s="21"/>
      <c r="MGQ1" s="21"/>
      <c r="MGR1" s="21"/>
      <c r="MGS1" s="21"/>
      <c r="MGT1" s="21"/>
      <c r="MGU1" s="21"/>
      <c r="MGV1" s="21"/>
      <c r="MGW1" s="20" t="s">
        <v>297</v>
      </c>
      <c r="MGX1" s="21"/>
      <c r="MGY1" s="21"/>
      <c r="MGZ1" s="21"/>
      <c r="MHA1" s="21"/>
      <c r="MHB1" s="21"/>
      <c r="MHC1" s="21"/>
      <c r="MHD1" s="21"/>
      <c r="MHE1" s="21"/>
      <c r="MHF1" s="21"/>
      <c r="MHG1" s="21"/>
      <c r="MHH1" s="21"/>
      <c r="MHI1" s="21"/>
      <c r="MHJ1" s="21"/>
      <c r="MHK1" s="21"/>
      <c r="MHL1" s="21"/>
      <c r="MHM1" s="20" t="s">
        <v>297</v>
      </c>
      <c r="MHN1" s="21"/>
      <c r="MHO1" s="21"/>
      <c r="MHP1" s="21"/>
      <c r="MHQ1" s="21"/>
      <c r="MHR1" s="21"/>
      <c r="MHS1" s="21"/>
      <c r="MHT1" s="21"/>
      <c r="MHU1" s="21"/>
      <c r="MHV1" s="21"/>
      <c r="MHW1" s="21"/>
      <c r="MHX1" s="21"/>
      <c r="MHY1" s="21"/>
      <c r="MHZ1" s="21"/>
      <c r="MIA1" s="21"/>
      <c r="MIB1" s="21"/>
      <c r="MIC1" s="20" t="s">
        <v>297</v>
      </c>
      <c r="MID1" s="21"/>
      <c r="MIE1" s="21"/>
      <c r="MIF1" s="21"/>
      <c r="MIG1" s="21"/>
      <c r="MIH1" s="21"/>
      <c r="MII1" s="21"/>
      <c r="MIJ1" s="21"/>
      <c r="MIK1" s="21"/>
      <c r="MIL1" s="21"/>
      <c r="MIM1" s="21"/>
      <c r="MIN1" s="21"/>
      <c r="MIO1" s="21"/>
      <c r="MIP1" s="21"/>
      <c r="MIQ1" s="21"/>
      <c r="MIR1" s="21"/>
      <c r="MIS1" s="20" t="s">
        <v>297</v>
      </c>
      <c r="MIT1" s="21"/>
      <c r="MIU1" s="21"/>
      <c r="MIV1" s="21"/>
      <c r="MIW1" s="21"/>
      <c r="MIX1" s="21"/>
      <c r="MIY1" s="21"/>
      <c r="MIZ1" s="21"/>
      <c r="MJA1" s="21"/>
      <c r="MJB1" s="21"/>
      <c r="MJC1" s="21"/>
      <c r="MJD1" s="21"/>
      <c r="MJE1" s="21"/>
      <c r="MJF1" s="21"/>
      <c r="MJG1" s="21"/>
      <c r="MJH1" s="21"/>
      <c r="MJI1" s="20" t="s">
        <v>297</v>
      </c>
      <c r="MJJ1" s="21"/>
      <c r="MJK1" s="21"/>
      <c r="MJL1" s="21"/>
      <c r="MJM1" s="21"/>
      <c r="MJN1" s="21"/>
      <c r="MJO1" s="21"/>
      <c r="MJP1" s="21"/>
      <c r="MJQ1" s="21"/>
      <c r="MJR1" s="21"/>
      <c r="MJS1" s="21"/>
      <c r="MJT1" s="21"/>
      <c r="MJU1" s="21"/>
      <c r="MJV1" s="21"/>
      <c r="MJW1" s="21"/>
      <c r="MJX1" s="21"/>
      <c r="MJY1" s="20" t="s">
        <v>297</v>
      </c>
      <c r="MJZ1" s="21"/>
      <c r="MKA1" s="21"/>
      <c r="MKB1" s="21"/>
      <c r="MKC1" s="21"/>
      <c r="MKD1" s="21"/>
      <c r="MKE1" s="21"/>
      <c r="MKF1" s="21"/>
      <c r="MKG1" s="21"/>
      <c r="MKH1" s="21"/>
      <c r="MKI1" s="21"/>
      <c r="MKJ1" s="21"/>
      <c r="MKK1" s="21"/>
      <c r="MKL1" s="21"/>
      <c r="MKM1" s="21"/>
      <c r="MKN1" s="21"/>
      <c r="MKO1" s="20" t="s">
        <v>297</v>
      </c>
      <c r="MKP1" s="21"/>
      <c r="MKQ1" s="21"/>
      <c r="MKR1" s="21"/>
      <c r="MKS1" s="21"/>
      <c r="MKT1" s="21"/>
      <c r="MKU1" s="21"/>
      <c r="MKV1" s="21"/>
      <c r="MKW1" s="21"/>
      <c r="MKX1" s="21"/>
      <c r="MKY1" s="21"/>
      <c r="MKZ1" s="21"/>
      <c r="MLA1" s="21"/>
      <c r="MLB1" s="21"/>
      <c r="MLC1" s="21"/>
      <c r="MLD1" s="21"/>
      <c r="MLE1" s="20" t="s">
        <v>297</v>
      </c>
      <c r="MLF1" s="21"/>
      <c r="MLG1" s="21"/>
      <c r="MLH1" s="21"/>
      <c r="MLI1" s="21"/>
      <c r="MLJ1" s="21"/>
      <c r="MLK1" s="21"/>
      <c r="MLL1" s="21"/>
      <c r="MLM1" s="21"/>
      <c r="MLN1" s="21"/>
      <c r="MLO1" s="21"/>
      <c r="MLP1" s="21"/>
      <c r="MLQ1" s="21"/>
      <c r="MLR1" s="21"/>
      <c r="MLS1" s="21"/>
      <c r="MLT1" s="21"/>
      <c r="MLU1" s="20" t="s">
        <v>297</v>
      </c>
      <c r="MLV1" s="21"/>
      <c r="MLW1" s="21"/>
      <c r="MLX1" s="21"/>
      <c r="MLY1" s="21"/>
      <c r="MLZ1" s="21"/>
      <c r="MMA1" s="21"/>
      <c r="MMB1" s="21"/>
      <c r="MMC1" s="21"/>
      <c r="MMD1" s="21"/>
      <c r="MME1" s="21"/>
      <c r="MMF1" s="21"/>
      <c r="MMG1" s="21"/>
      <c r="MMH1" s="21"/>
      <c r="MMI1" s="21"/>
      <c r="MMJ1" s="21"/>
      <c r="MMK1" s="20" t="s">
        <v>297</v>
      </c>
      <c r="MML1" s="21"/>
      <c r="MMM1" s="21"/>
      <c r="MMN1" s="21"/>
      <c r="MMO1" s="21"/>
      <c r="MMP1" s="21"/>
      <c r="MMQ1" s="21"/>
      <c r="MMR1" s="21"/>
      <c r="MMS1" s="21"/>
      <c r="MMT1" s="21"/>
      <c r="MMU1" s="21"/>
      <c r="MMV1" s="21"/>
      <c r="MMW1" s="21"/>
      <c r="MMX1" s="21"/>
      <c r="MMY1" s="21"/>
      <c r="MMZ1" s="21"/>
      <c r="MNA1" s="20" t="s">
        <v>297</v>
      </c>
      <c r="MNB1" s="21"/>
      <c r="MNC1" s="21"/>
      <c r="MND1" s="21"/>
      <c r="MNE1" s="21"/>
      <c r="MNF1" s="21"/>
      <c r="MNG1" s="21"/>
      <c r="MNH1" s="21"/>
      <c r="MNI1" s="21"/>
      <c r="MNJ1" s="21"/>
      <c r="MNK1" s="21"/>
      <c r="MNL1" s="21"/>
      <c r="MNM1" s="21"/>
      <c r="MNN1" s="21"/>
      <c r="MNO1" s="21"/>
      <c r="MNP1" s="21"/>
      <c r="MNQ1" s="20" t="s">
        <v>297</v>
      </c>
      <c r="MNR1" s="21"/>
      <c r="MNS1" s="21"/>
      <c r="MNT1" s="21"/>
      <c r="MNU1" s="21"/>
      <c r="MNV1" s="21"/>
      <c r="MNW1" s="21"/>
      <c r="MNX1" s="21"/>
      <c r="MNY1" s="21"/>
      <c r="MNZ1" s="21"/>
      <c r="MOA1" s="21"/>
      <c r="MOB1" s="21"/>
      <c r="MOC1" s="21"/>
      <c r="MOD1" s="21"/>
      <c r="MOE1" s="21"/>
      <c r="MOF1" s="21"/>
      <c r="MOG1" s="20" t="s">
        <v>297</v>
      </c>
      <c r="MOH1" s="21"/>
      <c r="MOI1" s="21"/>
      <c r="MOJ1" s="21"/>
      <c r="MOK1" s="21"/>
      <c r="MOL1" s="21"/>
      <c r="MOM1" s="21"/>
      <c r="MON1" s="21"/>
      <c r="MOO1" s="21"/>
      <c r="MOP1" s="21"/>
      <c r="MOQ1" s="21"/>
      <c r="MOR1" s="21"/>
      <c r="MOS1" s="21"/>
      <c r="MOT1" s="21"/>
      <c r="MOU1" s="21"/>
      <c r="MOV1" s="21"/>
      <c r="MOW1" s="20" t="s">
        <v>297</v>
      </c>
      <c r="MOX1" s="21"/>
      <c r="MOY1" s="21"/>
      <c r="MOZ1" s="21"/>
      <c r="MPA1" s="21"/>
      <c r="MPB1" s="21"/>
      <c r="MPC1" s="21"/>
      <c r="MPD1" s="21"/>
      <c r="MPE1" s="21"/>
      <c r="MPF1" s="21"/>
      <c r="MPG1" s="21"/>
      <c r="MPH1" s="21"/>
      <c r="MPI1" s="21"/>
      <c r="MPJ1" s="21"/>
      <c r="MPK1" s="21"/>
      <c r="MPL1" s="21"/>
      <c r="MPM1" s="20" t="s">
        <v>297</v>
      </c>
      <c r="MPN1" s="21"/>
      <c r="MPO1" s="21"/>
      <c r="MPP1" s="21"/>
      <c r="MPQ1" s="21"/>
      <c r="MPR1" s="21"/>
      <c r="MPS1" s="21"/>
      <c r="MPT1" s="21"/>
      <c r="MPU1" s="21"/>
      <c r="MPV1" s="21"/>
      <c r="MPW1" s="21"/>
      <c r="MPX1" s="21"/>
      <c r="MPY1" s="21"/>
      <c r="MPZ1" s="21"/>
      <c r="MQA1" s="21"/>
      <c r="MQB1" s="21"/>
      <c r="MQC1" s="20" t="s">
        <v>297</v>
      </c>
      <c r="MQD1" s="21"/>
      <c r="MQE1" s="21"/>
      <c r="MQF1" s="21"/>
      <c r="MQG1" s="21"/>
      <c r="MQH1" s="21"/>
      <c r="MQI1" s="21"/>
      <c r="MQJ1" s="21"/>
      <c r="MQK1" s="21"/>
      <c r="MQL1" s="21"/>
      <c r="MQM1" s="21"/>
      <c r="MQN1" s="21"/>
      <c r="MQO1" s="21"/>
      <c r="MQP1" s="21"/>
      <c r="MQQ1" s="21"/>
      <c r="MQR1" s="21"/>
      <c r="MQS1" s="20" t="s">
        <v>297</v>
      </c>
      <c r="MQT1" s="21"/>
      <c r="MQU1" s="21"/>
      <c r="MQV1" s="21"/>
      <c r="MQW1" s="21"/>
      <c r="MQX1" s="21"/>
      <c r="MQY1" s="21"/>
      <c r="MQZ1" s="21"/>
      <c r="MRA1" s="21"/>
      <c r="MRB1" s="21"/>
      <c r="MRC1" s="21"/>
      <c r="MRD1" s="21"/>
      <c r="MRE1" s="21"/>
      <c r="MRF1" s="21"/>
      <c r="MRG1" s="21"/>
      <c r="MRH1" s="21"/>
      <c r="MRI1" s="20" t="s">
        <v>297</v>
      </c>
      <c r="MRJ1" s="21"/>
      <c r="MRK1" s="21"/>
      <c r="MRL1" s="21"/>
      <c r="MRM1" s="21"/>
      <c r="MRN1" s="21"/>
      <c r="MRO1" s="21"/>
      <c r="MRP1" s="21"/>
      <c r="MRQ1" s="21"/>
      <c r="MRR1" s="21"/>
      <c r="MRS1" s="21"/>
      <c r="MRT1" s="21"/>
      <c r="MRU1" s="21"/>
      <c r="MRV1" s="21"/>
      <c r="MRW1" s="21"/>
      <c r="MRX1" s="21"/>
      <c r="MRY1" s="20" t="s">
        <v>297</v>
      </c>
      <c r="MRZ1" s="21"/>
      <c r="MSA1" s="21"/>
      <c r="MSB1" s="21"/>
      <c r="MSC1" s="21"/>
      <c r="MSD1" s="21"/>
      <c r="MSE1" s="21"/>
      <c r="MSF1" s="21"/>
      <c r="MSG1" s="21"/>
      <c r="MSH1" s="21"/>
      <c r="MSI1" s="21"/>
      <c r="MSJ1" s="21"/>
      <c r="MSK1" s="21"/>
      <c r="MSL1" s="21"/>
      <c r="MSM1" s="21"/>
      <c r="MSN1" s="21"/>
      <c r="MSO1" s="20" t="s">
        <v>297</v>
      </c>
      <c r="MSP1" s="21"/>
      <c r="MSQ1" s="21"/>
      <c r="MSR1" s="21"/>
      <c r="MSS1" s="21"/>
      <c r="MST1" s="21"/>
      <c r="MSU1" s="21"/>
      <c r="MSV1" s="21"/>
      <c r="MSW1" s="21"/>
      <c r="MSX1" s="21"/>
      <c r="MSY1" s="21"/>
      <c r="MSZ1" s="21"/>
      <c r="MTA1" s="21"/>
      <c r="MTB1" s="21"/>
      <c r="MTC1" s="21"/>
      <c r="MTD1" s="21"/>
      <c r="MTE1" s="20" t="s">
        <v>297</v>
      </c>
      <c r="MTF1" s="21"/>
      <c r="MTG1" s="21"/>
      <c r="MTH1" s="21"/>
      <c r="MTI1" s="21"/>
      <c r="MTJ1" s="21"/>
      <c r="MTK1" s="21"/>
      <c r="MTL1" s="21"/>
      <c r="MTM1" s="21"/>
      <c r="MTN1" s="21"/>
      <c r="MTO1" s="21"/>
      <c r="MTP1" s="21"/>
      <c r="MTQ1" s="21"/>
      <c r="MTR1" s="21"/>
      <c r="MTS1" s="21"/>
      <c r="MTT1" s="21"/>
      <c r="MTU1" s="20" t="s">
        <v>297</v>
      </c>
      <c r="MTV1" s="21"/>
      <c r="MTW1" s="21"/>
      <c r="MTX1" s="21"/>
      <c r="MTY1" s="21"/>
      <c r="MTZ1" s="21"/>
      <c r="MUA1" s="21"/>
      <c r="MUB1" s="21"/>
      <c r="MUC1" s="21"/>
      <c r="MUD1" s="21"/>
      <c r="MUE1" s="21"/>
      <c r="MUF1" s="21"/>
      <c r="MUG1" s="21"/>
      <c r="MUH1" s="21"/>
      <c r="MUI1" s="21"/>
      <c r="MUJ1" s="21"/>
      <c r="MUK1" s="20" t="s">
        <v>297</v>
      </c>
      <c r="MUL1" s="21"/>
      <c r="MUM1" s="21"/>
      <c r="MUN1" s="21"/>
      <c r="MUO1" s="21"/>
      <c r="MUP1" s="21"/>
      <c r="MUQ1" s="21"/>
      <c r="MUR1" s="21"/>
      <c r="MUS1" s="21"/>
      <c r="MUT1" s="21"/>
      <c r="MUU1" s="21"/>
      <c r="MUV1" s="21"/>
      <c r="MUW1" s="21"/>
      <c r="MUX1" s="21"/>
      <c r="MUY1" s="21"/>
      <c r="MUZ1" s="21"/>
      <c r="MVA1" s="20" t="s">
        <v>297</v>
      </c>
      <c r="MVB1" s="21"/>
      <c r="MVC1" s="21"/>
      <c r="MVD1" s="21"/>
      <c r="MVE1" s="21"/>
      <c r="MVF1" s="21"/>
      <c r="MVG1" s="21"/>
      <c r="MVH1" s="21"/>
      <c r="MVI1" s="21"/>
      <c r="MVJ1" s="21"/>
      <c r="MVK1" s="21"/>
      <c r="MVL1" s="21"/>
      <c r="MVM1" s="21"/>
      <c r="MVN1" s="21"/>
      <c r="MVO1" s="21"/>
      <c r="MVP1" s="21"/>
      <c r="MVQ1" s="20" t="s">
        <v>297</v>
      </c>
      <c r="MVR1" s="21"/>
      <c r="MVS1" s="21"/>
      <c r="MVT1" s="21"/>
      <c r="MVU1" s="21"/>
      <c r="MVV1" s="21"/>
      <c r="MVW1" s="21"/>
      <c r="MVX1" s="21"/>
      <c r="MVY1" s="21"/>
      <c r="MVZ1" s="21"/>
      <c r="MWA1" s="21"/>
      <c r="MWB1" s="21"/>
      <c r="MWC1" s="21"/>
      <c r="MWD1" s="21"/>
      <c r="MWE1" s="21"/>
      <c r="MWF1" s="21"/>
      <c r="MWG1" s="20" t="s">
        <v>297</v>
      </c>
      <c r="MWH1" s="21"/>
      <c r="MWI1" s="21"/>
      <c r="MWJ1" s="21"/>
      <c r="MWK1" s="21"/>
      <c r="MWL1" s="21"/>
      <c r="MWM1" s="21"/>
      <c r="MWN1" s="21"/>
      <c r="MWO1" s="21"/>
      <c r="MWP1" s="21"/>
      <c r="MWQ1" s="21"/>
      <c r="MWR1" s="21"/>
      <c r="MWS1" s="21"/>
      <c r="MWT1" s="21"/>
      <c r="MWU1" s="21"/>
      <c r="MWV1" s="21"/>
      <c r="MWW1" s="20" t="s">
        <v>297</v>
      </c>
      <c r="MWX1" s="21"/>
      <c r="MWY1" s="21"/>
      <c r="MWZ1" s="21"/>
      <c r="MXA1" s="21"/>
      <c r="MXB1" s="21"/>
      <c r="MXC1" s="21"/>
      <c r="MXD1" s="21"/>
      <c r="MXE1" s="21"/>
      <c r="MXF1" s="21"/>
      <c r="MXG1" s="21"/>
      <c r="MXH1" s="21"/>
      <c r="MXI1" s="21"/>
      <c r="MXJ1" s="21"/>
      <c r="MXK1" s="21"/>
      <c r="MXL1" s="21"/>
      <c r="MXM1" s="20" t="s">
        <v>297</v>
      </c>
      <c r="MXN1" s="21"/>
      <c r="MXO1" s="21"/>
      <c r="MXP1" s="21"/>
      <c r="MXQ1" s="21"/>
      <c r="MXR1" s="21"/>
      <c r="MXS1" s="21"/>
      <c r="MXT1" s="21"/>
      <c r="MXU1" s="21"/>
      <c r="MXV1" s="21"/>
      <c r="MXW1" s="21"/>
      <c r="MXX1" s="21"/>
      <c r="MXY1" s="21"/>
      <c r="MXZ1" s="21"/>
      <c r="MYA1" s="21"/>
      <c r="MYB1" s="21"/>
      <c r="MYC1" s="20" t="s">
        <v>297</v>
      </c>
      <c r="MYD1" s="21"/>
      <c r="MYE1" s="21"/>
      <c r="MYF1" s="21"/>
      <c r="MYG1" s="21"/>
      <c r="MYH1" s="21"/>
      <c r="MYI1" s="21"/>
      <c r="MYJ1" s="21"/>
      <c r="MYK1" s="21"/>
      <c r="MYL1" s="21"/>
      <c r="MYM1" s="21"/>
      <c r="MYN1" s="21"/>
      <c r="MYO1" s="21"/>
      <c r="MYP1" s="21"/>
      <c r="MYQ1" s="21"/>
      <c r="MYR1" s="21"/>
      <c r="MYS1" s="20" t="s">
        <v>297</v>
      </c>
      <c r="MYT1" s="21"/>
      <c r="MYU1" s="21"/>
      <c r="MYV1" s="21"/>
      <c r="MYW1" s="21"/>
      <c r="MYX1" s="21"/>
      <c r="MYY1" s="21"/>
      <c r="MYZ1" s="21"/>
      <c r="MZA1" s="21"/>
      <c r="MZB1" s="21"/>
      <c r="MZC1" s="21"/>
      <c r="MZD1" s="21"/>
      <c r="MZE1" s="21"/>
      <c r="MZF1" s="21"/>
      <c r="MZG1" s="21"/>
      <c r="MZH1" s="21"/>
      <c r="MZI1" s="20" t="s">
        <v>297</v>
      </c>
      <c r="MZJ1" s="21"/>
      <c r="MZK1" s="21"/>
      <c r="MZL1" s="21"/>
      <c r="MZM1" s="21"/>
      <c r="MZN1" s="21"/>
      <c r="MZO1" s="21"/>
      <c r="MZP1" s="21"/>
      <c r="MZQ1" s="21"/>
      <c r="MZR1" s="21"/>
      <c r="MZS1" s="21"/>
      <c r="MZT1" s="21"/>
      <c r="MZU1" s="21"/>
      <c r="MZV1" s="21"/>
      <c r="MZW1" s="21"/>
      <c r="MZX1" s="21"/>
      <c r="MZY1" s="20" t="s">
        <v>297</v>
      </c>
      <c r="MZZ1" s="21"/>
      <c r="NAA1" s="21"/>
      <c r="NAB1" s="21"/>
      <c r="NAC1" s="21"/>
      <c r="NAD1" s="21"/>
      <c r="NAE1" s="21"/>
      <c r="NAF1" s="21"/>
      <c r="NAG1" s="21"/>
      <c r="NAH1" s="21"/>
      <c r="NAI1" s="21"/>
      <c r="NAJ1" s="21"/>
      <c r="NAK1" s="21"/>
      <c r="NAL1" s="21"/>
      <c r="NAM1" s="21"/>
      <c r="NAN1" s="21"/>
      <c r="NAO1" s="20" t="s">
        <v>297</v>
      </c>
      <c r="NAP1" s="21"/>
      <c r="NAQ1" s="21"/>
      <c r="NAR1" s="21"/>
      <c r="NAS1" s="21"/>
      <c r="NAT1" s="21"/>
      <c r="NAU1" s="21"/>
      <c r="NAV1" s="21"/>
      <c r="NAW1" s="21"/>
      <c r="NAX1" s="21"/>
      <c r="NAY1" s="21"/>
      <c r="NAZ1" s="21"/>
      <c r="NBA1" s="21"/>
      <c r="NBB1" s="21"/>
      <c r="NBC1" s="21"/>
      <c r="NBD1" s="21"/>
      <c r="NBE1" s="20" t="s">
        <v>297</v>
      </c>
      <c r="NBF1" s="21"/>
      <c r="NBG1" s="21"/>
      <c r="NBH1" s="21"/>
      <c r="NBI1" s="21"/>
      <c r="NBJ1" s="21"/>
      <c r="NBK1" s="21"/>
      <c r="NBL1" s="21"/>
      <c r="NBM1" s="21"/>
      <c r="NBN1" s="21"/>
      <c r="NBO1" s="21"/>
      <c r="NBP1" s="21"/>
      <c r="NBQ1" s="21"/>
      <c r="NBR1" s="21"/>
      <c r="NBS1" s="21"/>
      <c r="NBT1" s="21"/>
      <c r="NBU1" s="20" t="s">
        <v>297</v>
      </c>
      <c r="NBV1" s="21"/>
      <c r="NBW1" s="21"/>
      <c r="NBX1" s="21"/>
      <c r="NBY1" s="21"/>
      <c r="NBZ1" s="21"/>
      <c r="NCA1" s="21"/>
      <c r="NCB1" s="21"/>
      <c r="NCC1" s="21"/>
      <c r="NCD1" s="21"/>
      <c r="NCE1" s="21"/>
      <c r="NCF1" s="21"/>
      <c r="NCG1" s="21"/>
      <c r="NCH1" s="21"/>
      <c r="NCI1" s="21"/>
      <c r="NCJ1" s="21"/>
      <c r="NCK1" s="20" t="s">
        <v>297</v>
      </c>
      <c r="NCL1" s="21"/>
      <c r="NCM1" s="21"/>
      <c r="NCN1" s="21"/>
      <c r="NCO1" s="21"/>
      <c r="NCP1" s="21"/>
      <c r="NCQ1" s="21"/>
      <c r="NCR1" s="21"/>
      <c r="NCS1" s="21"/>
      <c r="NCT1" s="21"/>
      <c r="NCU1" s="21"/>
      <c r="NCV1" s="21"/>
      <c r="NCW1" s="21"/>
      <c r="NCX1" s="21"/>
      <c r="NCY1" s="21"/>
      <c r="NCZ1" s="21"/>
      <c r="NDA1" s="20" t="s">
        <v>297</v>
      </c>
      <c r="NDB1" s="21"/>
      <c r="NDC1" s="21"/>
      <c r="NDD1" s="21"/>
      <c r="NDE1" s="21"/>
      <c r="NDF1" s="21"/>
      <c r="NDG1" s="21"/>
      <c r="NDH1" s="21"/>
      <c r="NDI1" s="21"/>
      <c r="NDJ1" s="21"/>
      <c r="NDK1" s="21"/>
      <c r="NDL1" s="21"/>
      <c r="NDM1" s="21"/>
      <c r="NDN1" s="21"/>
      <c r="NDO1" s="21"/>
      <c r="NDP1" s="21"/>
      <c r="NDQ1" s="20" t="s">
        <v>297</v>
      </c>
      <c r="NDR1" s="21"/>
      <c r="NDS1" s="21"/>
      <c r="NDT1" s="21"/>
      <c r="NDU1" s="21"/>
      <c r="NDV1" s="21"/>
      <c r="NDW1" s="21"/>
      <c r="NDX1" s="21"/>
      <c r="NDY1" s="21"/>
      <c r="NDZ1" s="21"/>
      <c r="NEA1" s="21"/>
      <c r="NEB1" s="21"/>
      <c r="NEC1" s="21"/>
      <c r="NED1" s="21"/>
      <c r="NEE1" s="21"/>
      <c r="NEF1" s="21"/>
      <c r="NEG1" s="20" t="s">
        <v>297</v>
      </c>
      <c r="NEH1" s="21"/>
      <c r="NEI1" s="21"/>
      <c r="NEJ1" s="21"/>
      <c r="NEK1" s="21"/>
      <c r="NEL1" s="21"/>
      <c r="NEM1" s="21"/>
      <c r="NEN1" s="21"/>
      <c r="NEO1" s="21"/>
      <c r="NEP1" s="21"/>
      <c r="NEQ1" s="21"/>
      <c r="NER1" s="21"/>
      <c r="NES1" s="21"/>
      <c r="NET1" s="21"/>
      <c r="NEU1" s="21"/>
      <c r="NEV1" s="21"/>
      <c r="NEW1" s="20" t="s">
        <v>297</v>
      </c>
      <c r="NEX1" s="21"/>
      <c r="NEY1" s="21"/>
      <c r="NEZ1" s="21"/>
      <c r="NFA1" s="21"/>
      <c r="NFB1" s="21"/>
      <c r="NFC1" s="21"/>
      <c r="NFD1" s="21"/>
      <c r="NFE1" s="21"/>
      <c r="NFF1" s="21"/>
      <c r="NFG1" s="21"/>
      <c r="NFH1" s="21"/>
      <c r="NFI1" s="21"/>
      <c r="NFJ1" s="21"/>
      <c r="NFK1" s="21"/>
      <c r="NFL1" s="21"/>
      <c r="NFM1" s="20" t="s">
        <v>297</v>
      </c>
      <c r="NFN1" s="21"/>
      <c r="NFO1" s="21"/>
      <c r="NFP1" s="21"/>
      <c r="NFQ1" s="21"/>
      <c r="NFR1" s="21"/>
      <c r="NFS1" s="21"/>
      <c r="NFT1" s="21"/>
      <c r="NFU1" s="21"/>
      <c r="NFV1" s="21"/>
      <c r="NFW1" s="21"/>
      <c r="NFX1" s="21"/>
      <c r="NFY1" s="21"/>
      <c r="NFZ1" s="21"/>
      <c r="NGA1" s="21"/>
      <c r="NGB1" s="21"/>
      <c r="NGC1" s="20" t="s">
        <v>297</v>
      </c>
      <c r="NGD1" s="21"/>
      <c r="NGE1" s="21"/>
      <c r="NGF1" s="21"/>
      <c r="NGG1" s="21"/>
      <c r="NGH1" s="21"/>
      <c r="NGI1" s="21"/>
      <c r="NGJ1" s="21"/>
      <c r="NGK1" s="21"/>
      <c r="NGL1" s="21"/>
      <c r="NGM1" s="21"/>
      <c r="NGN1" s="21"/>
      <c r="NGO1" s="21"/>
      <c r="NGP1" s="21"/>
      <c r="NGQ1" s="21"/>
      <c r="NGR1" s="21"/>
      <c r="NGS1" s="20" t="s">
        <v>297</v>
      </c>
      <c r="NGT1" s="21"/>
      <c r="NGU1" s="21"/>
      <c r="NGV1" s="21"/>
      <c r="NGW1" s="21"/>
      <c r="NGX1" s="21"/>
      <c r="NGY1" s="21"/>
      <c r="NGZ1" s="21"/>
      <c r="NHA1" s="21"/>
      <c r="NHB1" s="21"/>
      <c r="NHC1" s="21"/>
      <c r="NHD1" s="21"/>
      <c r="NHE1" s="21"/>
      <c r="NHF1" s="21"/>
      <c r="NHG1" s="21"/>
      <c r="NHH1" s="21"/>
      <c r="NHI1" s="20" t="s">
        <v>297</v>
      </c>
      <c r="NHJ1" s="21"/>
      <c r="NHK1" s="21"/>
      <c r="NHL1" s="21"/>
      <c r="NHM1" s="21"/>
      <c r="NHN1" s="21"/>
      <c r="NHO1" s="21"/>
      <c r="NHP1" s="21"/>
      <c r="NHQ1" s="21"/>
      <c r="NHR1" s="21"/>
      <c r="NHS1" s="21"/>
      <c r="NHT1" s="21"/>
      <c r="NHU1" s="21"/>
      <c r="NHV1" s="21"/>
      <c r="NHW1" s="21"/>
      <c r="NHX1" s="21"/>
      <c r="NHY1" s="20" t="s">
        <v>297</v>
      </c>
      <c r="NHZ1" s="21"/>
      <c r="NIA1" s="21"/>
      <c r="NIB1" s="21"/>
      <c r="NIC1" s="21"/>
      <c r="NID1" s="21"/>
      <c r="NIE1" s="21"/>
      <c r="NIF1" s="21"/>
      <c r="NIG1" s="21"/>
      <c r="NIH1" s="21"/>
      <c r="NII1" s="21"/>
      <c r="NIJ1" s="21"/>
      <c r="NIK1" s="21"/>
      <c r="NIL1" s="21"/>
      <c r="NIM1" s="21"/>
      <c r="NIN1" s="21"/>
      <c r="NIO1" s="20" t="s">
        <v>297</v>
      </c>
      <c r="NIP1" s="21"/>
      <c r="NIQ1" s="21"/>
      <c r="NIR1" s="21"/>
      <c r="NIS1" s="21"/>
      <c r="NIT1" s="21"/>
      <c r="NIU1" s="21"/>
      <c r="NIV1" s="21"/>
      <c r="NIW1" s="21"/>
      <c r="NIX1" s="21"/>
      <c r="NIY1" s="21"/>
      <c r="NIZ1" s="21"/>
      <c r="NJA1" s="21"/>
      <c r="NJB1" s="21"/>
      <c r="NJC1" s="21"/>
      <c r="NJD1" s="21"/>
      <c r="NJE1" s="20" t="s">
        <v>297</v>
      </c>
      <c r="NJF1" s="21"/>
      <c r="NJG1" s="21"/>
      <c r="NJH1" s="21"/>
      <c r="NJI1" s="21"/>
      <c r="NJJ1" s="21"/>
      <c r="NJK1" s="21"/>
      <c r="NJL1" s="21"/>
      <c r="NJM1" s="21"/>
      <c r="NJN1" s="21"/>
      <c r="NJO1" s="21"/>
      <c r="NJP1" s="21"/>
      <c r="NJQ1" s="21"/>
      <c r="NJR1" s="21"/>
      <c r="NJS1" s="21"/>
      <c r="NJT1" s="21"/>
      <c r="NJU1" s="20" t="s">
        <v>297</v>
      </c>
      <c r="NJV1" s="21"/>
      <c r="NJW1" s="21"/>
      <c r="NJX1" s="21"/>
      <c r="NJY1" s="21"/>
      <c r="NJZ1" s="21"/>
      <c r="NKA1" s="21"/>
      <c r="NKB1" s="21"/>
      <c r="NKC1" s="21"/>
      <c r="NKD1" s="21"/>
      <c r="NKE1" s="21"/>
      <c r="NKF1" s="21"/>
      <c r="NKG1" s="21"/>
      <c r="NKH1" s="21"/>
      <c r="NKI1" s="21"/>
      <c r="NKJ1" s="21"/>
      <c r="NKK1" s="20" t="s">
        <v>297</v>
      </c>
      <c r="NKL1" s="21"/>
      <c r="NKM1" s="21"/>
      <c r="NKN1" s="21"/>
      <c r="NKO1" s="21"/>
      <c r="NKP1" s="21"/>
      <c r="NKQ1" s="21"/>
      <c r="NKR1" s="21"/>
      <c r="NKS1" s="21"/>
      <c r="NKT1" s="21"/>
      <c r="NKU1" s="21"/>
      <c r="NKV1" s="21"/>
      <c r="NKW1" s="21"/>
      <c r="NKX1" s="21"/>
      <c r="NKY1" s="21"/>
      <c r="NKZ1" s="21"/>
      <c r="NLA1" s="20" t="s">
        <v>297</v>
      </c>
      <c r="NLB1" s="21"/>
      <c r="NLC1" s="21"/>
      <c r="NLD1" s="21"/>
      <c r="NLE1" s="21"/>
      <c r="NLF1" s="21"/>
      <c r="NLG1" s="21"/>
      <c r="NLH1" s="21"/>
      <c r="NLI1" s="21"/>
      <c r="NLJ1" s="21"/>
      <c r="NLK1" s="21"/>
      <c r="NLL1" s="21"/>
      <c r="NLM1" s="21"/>
      <c r="NLN1" s="21"/>
      <c r="NLO1" s="21"/>
      <c r="NLP1" s="21"/>
      <c r="NLQ1" s="20" t="s">
        <v>297</v>
      </c>
      <c r="NLR1" s="21"/>
      <c r="NLS1" s="21"/>
      <c r="NLT1" s="21"/>
      <c r="NLU1" s="21"/>
      <c r="NLV1" s="21"/>
      <c r="NLW1" s="21"/>
      <c r="NLX1" s="21"/>
      <c r="NLY1" s="21"/>
      <c r="NLZ1" s="21"/>
      <c r="NMA1" s="21"/>
      <c r="NMB1" s="21"/>
      <c r="NMC1" s="21"/>
      <c r="NMD1" s="21"/>
      <c r="NME1" s="21"/>
      <c r="NMF1" s="21"/>
      <c r="NMG1" s="20" t="s">
        <v>297</v>
      </c>
      <c r="NMH1" s="21"/>
      <c r="NMI1" s="21"/>
      <c r="NMJ1" s="21"/>
      <c r="NMK1" s="21"/>
      <c r="NML1" s="21"/>
      <c r="NMM1" s="21"/>
      <c r="NMN1" s="21"/>
      <c r="NMO1" s="21"/>
      <c r="NMP1" s="21"/>
      <c r="NMQ1" s="21"/>
      <c r="NMR1" s="21"/>
      <c r="NMS1" s="21"/>
      <c r="NMT1" s="21"/>
      <c r="NMU1" s="21"/>
      <c r="NMV1" s="21"/>
      <c r="NMW1" s="20" t="s">
        <v>297</v>
      </c>
      <c r="NMX1" s="21"/>
      <c r="NMY1" s="21"/>
      <c r="NMZ1" s="21"/>
      <c r="NNA1" s="21"/>
      <c r="NNB1" s="21"/>
      <c r="NNC1" s="21"/>
      <c r="NND1" s="21"/>
      <c r="NNE1" s="21"/>
      <c r="NNF1" s="21"/>
      <c r="NNG1" s="21"/>
      <c r="NNH1" s="21"/>
      <c r="NNI1" s="21"/>
      <c r="NNJ1" s="21"/>
      <c r="NNK1" s="21"/>
      <c r="NNL1" s="21"/>
      <c r="NNM1" s="20" t="s">
        <v>297</v>
      </c>
      <c r="NNN1" s="21"/>
      <c r="NNO1" s="21"/>
      <c r="NNP1" s="21"/>
      <c r="NNQ1" s="21"/>
      <c r="NNR1" s="21"/>
      <c r="NNS1" s="21"/>
      <c r="NNT1" s="21"/>
      <c r="NNU1" s="21"/>
      <c r="NNV1" s="21"/>
      <c r="NNW1" s="21"/>
      <c r="NNX1" s="21"/>
      <c r="NNY1" s="21"/>
      <c r="NNZ1" s="21"/>
      <c r="NOA1" s="21"/>
      <c r="NOB1" s="21"/>
      <c r="NOC1" s="20" t="s">
        <v>297</v>
      </c>
      <c r="NOD1" s="21"/>
      <c r="NOE1" s="21"/>
      <c r="NOF1" s="21"/>
      <c r="NOG1" s="21"/>
      <c r="NOH1" s="21"/>
      <c r="NOI1" s="21"/>
      <c r="NOJ1" s="21"/>
      <c r="NOK1" s="21"/>
      <c r="NOL1" s="21"/>
      <c r="NOM1" s="21"/>
      <c r="NON1" s="21"/>
      <c r="NOO1" s="21"/>
      <c r="NOP1" s="21"/>
      <c r="NOQ1" s="21"/>
      <c r="NOR1" s="21"/>
      <c r="NOS1" s="20" t="s">
        <v>297</v>
      </c>
      <c r="NOT1" s="21"/>
      <c r="NOU1" s="21"/>
      <c r="NOV1" s="21"/>
      <c r="NOW1" s="21"/>
      <c r="NOX1" s="21"/>
      <c r="NOY1" s="21"/>
      <c r="NOZ1" s="21"/>
      <c r="NPA1" s="21"/>
      <c r="NPB1" s="21"/>
      <c r="NPC1" s="21"/>
      <c r="NPD1" s="21"/>
      <c r="NPE1" s="21"/>
      <c r="NPF1" s="21"/>
      <c r="NPG1" s="21"/>
      <c r="NPH1" s="21"/>
      <c r="NPI1" s="20" t="s">
        <v>297</v>
      </c>
      <c r="NPJ1" s="21"/>
      <c r="NPK1" s="21"/>
      <c r="NPL1" s="21"/>
      <c r="NPM1" s="21"/>
      <c r="NPN1" s="21"/>
      <c r="NPO1" s="21"/>
      <c r="NPP1" s="21"/>
      <c r="NPQ1" s="21"/>
      <c r="NPR1" s="21"/>
      <c r="NPS1" s="21"/>
      <c r="NPT1" s="21"/>
      <c r="NPU1" s="21"/>
      <c r="NPV1" s="21"/>
      <c r="NPW1" s="21"/>
      <c r="NPX1" s="21"/>
      <c r="NPY1" s="20" t="s">
        <v>297</v>
      </c>
      <c r="NPZ1" s="21"/>
      <c r="NQA1" s="21"/>
      <c r="NQB1" s="21"/>
      <c r="NQC1" s="21"/>
      <c r="NQD1" s="21"/>
      <c r="NQE1" s="21"/>
      <c r="NQF1" s="21"/>
      <c r="NQG1" s="21"/>
      <c r="NQH1" s="21"/>
      <c r="NQI1" s="21"/>
      <c r="NQJ1" s="21"/>
      <c r="NQK1" s="21"/>
      <c r="NQL1" s="21"/>
      <c r="NQM1" s="21"/>
      <c r="NQN1" s="21"/>
      <c r="NQO1" s="20" t="s">
        <v>297</v>
      </c>
      <c r="NQP1" s="21"/>
      <c r="NQQ1" s="21"/>
      <c r="NQR1" s="21"/>
      <c r="NQS1" s="21"/>
      <c r="NQT1" s="21"/>
      <c r="NQU1" s="21"/>
      <c r="NQV1" s="21"/>
      <c r="NQW1" s="21"/>
      <c r="NQX1" s="21"/>
      <c r="NQY1" s="21"/>
      <c r="NQZ1" s="21"/>
      <c r="NRA1" s="21"/>
      <c r="NRB1" s="21"/>
      <c r="NRC1" s="21"/>
      <c r="NRD1" s="21"/>
      <c r="NRE1" s="20" t="s">
        <v>297</v>
      </c>
      <c r="NRF1" s="21"/>
      <c r="NRG1" s="21"/>
      <c r="NRH1" s="21"/>
      <c r="NRI1" s="21"/>
      <c r="NRJ1" s="21"/>
      <c r="NRK1" s="21"/>
      <c r="NRL1" s="21"/>
      <c r="NRM1" s="21"/>
      <c r="NRN1" s="21"/>
      <c r="NRO1" s="21"/>
      <c r="NRP1" s="21"/>
      <c r="NRQ1" s="21"/>
      <c r="NRR1" s="21"/>
      <c r="NRS1" s="21"/>
      <c r="NRT1" s="21"/>
      <c r="NRU1" s="20" t="s">
        <v>297</v>
      </c>
      <c r="NRV1" s="21"/>
      <c r="NRW1" s="21"/>
      <c r="NRX1" s="21"/>
      <c r="NRY1" s="21"/>
      <c r="NRZ1" s="21"/>
      <c r="NSA1" s="21"/>
      <c r="NSB1" s="21"/>
      <c r="NSC1" s="21"/>
      <c r="NSD1" s="21"/>
      <c r="NSE1" s="21"/>
      <c r="NSF1" s="21"/>
      <c r="NSG1" s="21"/>
      <c r="NSH1" s="21"/>
      <c r="NSI1" s="21"/>
      <c r="NSJ1" s="21"/>
      <c r="NSK1" s="20" t="s">
        <v>297</v>
      </c>
      <c r="NSL1" s="21"/>
      <c r="NSM1" s="21"/>
      <c r="NSN1" s="21"/>
      <c r="NSO1" s="21"/>
      <c r="NSP1" s="21"/>
      <c r="NSQ1" s="21"/>
      <c r="NSR1" s="21"/>
      <c r="NSS1" s="21"/>
      <c r="NST1" s="21"/>
      <c r="NSU1" s="21"/>
      <c r="NSV1" s="21"/>
      <c r="NSW1" s="21"/>
      <c r="NSX1" s="21"/>
      <c r="NSY1" s="21"/>
      <c r="NSZ1" s="21"/>
      <c r="NTA1" s="20" t="s">
        <v>297</v>
      </c>
      <c r="NTB1" s="21"/>
      <c r="NTC1" s="21"/>
      <c r="NTD1" s="21"/>
      <c r="NTE1" s="21"/>
      <c r="NTF1" s="21"/>
      <c r="NTG1" s="21"/>
      <c r="NTH1" s="21"/>
      <c r="NTI1" s="21"/>
      <c r="NTJ1" s="21"/>
      <c r="NTK1" s="21"/>
      <c r="NTL1" s="21"/>
      <c r="NTM1" s="21"/>
      <c r="NTN1" s="21"/>
      <c r="NTO1" s="21"/>
      <c r="NTP1" s="21"/>
      <c r="NTQ1" s="20" t="s">
        <v>297</v>
      </c>
      <c r="NTR1" s="21"/>
      <c r="NTS1" s="21"/>
      <c r="NTT1" s="21"/>
      <c r="NTU1" s="21"/>
      <c r="NTV1" s="21"/>
      <c r="NTW1" s="21"/>
      <c r="NTX1" s="21"/>
      <c r="NTY1" s="21"/>
      <c r="NTZ1" s="21"/>
      <c r="NUA1" s="21"/>
      <c r="NUB1" s="21"/>
      <c r="NUC1" s="21"/>
      <c r="NUD1" s="21"/>
      <c r="NUE1" s="21"/>
      <c r="NUF1" s="21"/>
      <c r="NUG1" s="20" t="s">
        <v>297</v>
      </c>
      <c r="NUH1" s="21"/>
      <c r="NUI1" s="21"/>
      <c r="NUJ1" s="21"/>
      <c r="NUK1" s="21"/>
      <c r="NUL1" s="21"/>
      <c r="NUM1" s="21"/>
      <c r="NUN1" s="21"/>
      <c r="NUO1" s="21"/>
      <c r="NUP1" s="21"/>
      <c r="NUQ1" s="21"/>
      <c r="NUR1" s="21"/>
      <c r="NUS1" s="21"/>
      <c r="NUT1" s="21"/>
      <c r="NUU1" s="21"/>
      <c r="NUV1" s="21"/>
      <c r="NUW1" s="20" t="s">
        <v>297</v>
      </c>
      <c r="NUX1" s="21"/>
      <c r="NUY1" s="21"/>
      <c r="NUZ1" s="21"/>
      <c r="NVA1" s="21"/>
      <c r="NVB1" s="21"/>
      <c r="NVC1" s="21"/>
      <c r="NVD1" s="21"/>
      <c r="NVE1" s="21"/>
      <c r="NVF1" s="21"/>
      <c r="NVG1" s="21"/>
      <c r="NVH1" s="21"/>
      <c r="NVI1" s="21"/>
      <c r="NVJ1" s="21"/>
      <c r="NVK1" s="21"/>
      <c r="NVL1" s="21"/>
      <c r="NVM1" s="20" t="s">
        <v>297</v>
      </c>
      <c r="NVN1" s="21"/>
      <c r="NVO1" s="21"/>
      <c r="NVP1" s="21"/>
      <c r="NVQ1" s="21"/>
      <c r="NVR1" s="21"/>
      <c r="NVS1" s="21"/>
      <c r="NVT1" s="21"/>
      <c r="NVU1" s="21"/>
      <c r="NVV1" s="21"/>
      <c r="NVW1" s="21"/>
      <c r="NVX1" s="21"/>
      <c r="NVY1" s="21"/>
      <c r="NVZ1" s="21"/>
      <c r="NWA1" s="21"/>
      <c r="NWB1" s="21"/>
      <c r="NWC1" s="20" t="s">
        <v>297</v>
      </c>
      <c r="NWD1" s="21"/>
      <c r="NWE1" s="21"/>
      <c r="NWF1" s="21"/>
      <c r="NWG1" s="21"/>
      <c r="NWH1" s="21"/>
      <c r="NWI1" s="21"/>
      <c r="NWJ1" s="21"/>
      <c r="NWK1" s="21"/>
      <c r="NWL1" s="21"/>
      <c r="NWM1" s="21"/>
      <c r="NWN1" s="21"/>
      <c r="NWO1" s="21"/>
      <c r="NWP1" s="21"/>
      <c r="NWQ1" s="21"/>
      <c r="NWR1" s="21"/>
      <c r="NWS1" s="20" t="s">
        <v>297</v>
      </c>
      <c r="NWT1" s="21"/>
      <c r="NWU1" s="21"/>
      <c r="NWV1" s="21"/>
      <c r="NWW1" s="21"/>
      <c r="NWX1" s="21"/>
      <c r="NWY1" s="21"/>
      <c r="NWZ1" s="21"/>
      <c r="NXA1" s="21"/>
      <c r="NXB1" s="21"/>
      <c r="NXC1" s="21"/>
      <c r="NXD1" s="21"/>
      <c r="NXE1" s="21"/>
      <c r="NXF1" s="21"/>
      <c r="NXG1" s="21"/>
      <c r="NXH1" s="21"/>
      <c r="NXI1" s="20" t="s">
        <v>297</v>
      </c>
      <c r="NXJ1" s="21"/>
      <c r="NXK1" s="21"/>
      <c r="NXL1" s="21"/>
      <c r="NXM1" s="21"/>
      <c r="NXN1" s="21"/>
      <c r="NXO1" s="21"/>
      <c r="NXP1" s="21"/>
      <c r="NXQ1" s="21"/>
      <c r="NXR1" s="21"/>
      <c r="NXS1" s="21"/>
      <c r="NXT1" s="21"/>
      <c r="NXU1" s="21"/>
      <c r="NXV1" s="21"/>
      <c r="NXW1" s="21"/>
      <c r="NXX1" s="21"/>
      <c r="NXY1" s="20" t="s">
        <v>297</v>
      </c>
      <c r="NXZ1" s="21"/>
      <c r="NYA1" s="21"/>
      <c r="NYB1" s="21"/>
      <c r="NYC1" s="21"/>
      <c r="NYD1" s="21"/>
      <c r="NYE1" s="21"/>
      <c r="NYF1" s="21"/>
      <c r="NYG1" s="21"/>
      <c r="NYH1" s="21"/>
      <c r="NYI1" s="21"/>
      <c r="NYJ1" s="21"/>
      <c r="NYK1" s="21"/>
      <c r="NYL1" s="21"/>
      <c r="NYM1" s="21"/>
      <c r="NYN1" s="21"/>
      <c r="NYO1" s="20" t="s">
        <v>297</v>
      </c>
      <c r="NYP1" s="21"/>
      <c r="NYQ1" s="21"/>
      <c r="NYR1" s="21"/>
      <c r="NYS1" s="21"/>
      <c r="NYT1" s="21"/>
      <c r="NYU1" s="21"/>
      <c r="NYV1" s="21"/>
      <c r="NYW1" s="21"/>
      <c r="NYX1" s="21"/>
      <c r="NYY1" s="21"/>
      <c r="NYZ1" s="21"/>
      <c r="NZA1" s="21"/>
      <c r="NZB1" s="21"/>
      <c r="NZC1" s="21"/>
      <c r="NZD1" s="21"/>
      <c r="NZE1" s="20" t="s">
        <v>297</v>
      </c>
      <c r="NZF1" s="21"/>
      <c r="NZG1" s="21"/>
      <c r="NZH1" s="21"/>
      <c r="NZI1" s="21"/>
      <c r="NZJ1" s="21"/>
      <c r="NZK1" s="21"/>
      <c r="NZL1" s="21"/>
      <c r="NZM1" s="21"/>
      <c r="NZN1" s="21"/>
      <c r="NZO1" s="21"/>
      <c r="NZP1" s="21"/>
      <c r="NZQ1" s="21"/>
      <c r="NZR1" s="21"/>
      <c r="NZS1" s="21"/>
      <c r="NZT1" s="21"/>
      <c r="NZU1" s="20" t="s">
        <v>297</v>
      </c>
      <c r="NZV1" s="21"/>
      <c r="NZW1" s="21"/>
      <c r="NZX1" s="21"/>
      <c r="NZY1" s="21"/>
      <c r="NZZ1" s="21"/>
      <c r="OAA1" s="21"/>
      <c r="OAB1" s="21"/>
      <c r="OAC1" s="21"/>
      <c r="OAD1" s="21"/>
      <c r="OAE1" s="21"/>
      <c r="OAF1" s="21"/>
      <c r="OAG1" s="21"/>
      <c r="OAH1" s="21"/>
      <c r="OAI1" s="21"/>
      <c r="OAJ1" s="21"/>
      <c r="OAK1" s="20" t="s">
        <v>297</v>
      </c>
      <c r="OAL1" s="21"/>
      <c r="OAM1" s="21"/>
      <c r="OAN1" s="21"/>
      <c r="OAO1" s="21"/>
      <c r="OAP1" s="21"/>
      <c r="OAQ1" s="21"/>
      <c r="OAR1" s="21"/>
      <c r="OAS1" s="21"/>
      <c r="OAT1" s="21"/>
      <c r="OAU1" s="21"/>
      <c r="OAV1" s="21"/>
      <c r="OAW1" s="21"/>
      <c r="OAX1" s="21"/>
      <c r="OAY1" s="21"/>
      <c r="OAZ1" s="21"/>
      <c r="OBA1" s="20" t="s">
        <v>297</v>
      </c>
      <c r="OBB1" s="21"/>
      <c r="OBC1" s="21"/>
      <c r="OBD1" s="21"/>
      <c r="OBE1" s="21"/>
      <c r="OBF1" s="21"/>
      <c r="OBG1" s="21"/>
      <c r="OBH1" s="21"/>
      <c r="OBI1" s="21"/>
      <c r="OBJ1" s="21"/>
      <c r="OBK1" s="21"/>
      <c r="OBL1" s="21"/>
      <c r="OBM1" s="21"/>
      <c r="OBN1" s="21"/>
      <c r="OBO1" s="21"/>
      <c r="OBP1" s="21"/>
      <c r="OBQ1" s="20" t="s">
        <v>297</v>
      </c>
      <c r="OBR1" s="21"/>
      <c r="OBS1" s="21"/>
      <c r="OBT1" s="21"/>
      <c r="OBU1" s="21"/>
      <c r="OBV1" s="21"/>
      <c r="OBW1" s="21"/>
      <c r="OBX1" s="21"/>
      <c r="OBY1" s="21"/>
      <c r="OBZ1" s="21"/>
      <c r="OCA1" s="21"/>
      <c r="OCB1" s="21"/>
      <c r="OCC1" s="21"/>
      <c r="OCD1" s="21"/>
      <c r="OCE1" s="21"/>
      <c r="OCF1" s="21"/>
      <c r="OCG1" s="20" t="s">
        <v>297</v>
      </c>
      <c r="OCH1" s="21"/>
      <c r="OCI1" s="21"/>
      <c r="OCJ1" s="21"/>
      <c r="OCK1" s="21"/>
      <c r="OCL1" s="21"/>
      <c r="OCM1" s="21"/>
      <c r="OCN1" s="21"/>
      <c r="OCO1" s="21"/>
      <c r="OCP1" s="21"/>
      <c r="OCQ1" s="21"/>
      <c r="OCR1" s="21"/>
      <c r="OCS1" s="21"/>
      <c r="OCT1" s="21"/>
      <c r="OCU1" s="21"/>
      <c r="OCV1" s="21"/>
      <c r="OCW1" s="20" t="s">
        <v>297</v>
      </c>
      <c r="OCX1" s="21"/>
      <c r="OCY1" s="21"/>
      <c r="OCZ1" s="21"/>
      <c r="ODA1" s="21"/>
      <c r="ODB1" s="21"/>
      <c r="ODC1" s="21"/>
      <c r="ODD1" s="21"/>
      <c r="ODE1" s="21"/>
      <c r="ODF1" s="21"/>
      <c r="ODG1" s="21"/>
      <c r="ODH1" s="21"/>
      <c r="ODI1" s="21"/>
      <c r="ODJ1" s="21"/>
      <c r="ODK1" s="21"/>
      <c r="ODL1" s="21"/>
      <c r="ODM1" s="20" t="s">
        <v>297</v>
      </c>
      <c r="ODN1" s="21"/>
      <c r="ODO1" s="21"/>
      <c r="ODP1" s="21"/>
      <c r="ODQ1" s="21"/>
      <c r="ODR1" s="21"/>
      <c r="ODS1" s="21"/>
      <c r="ODT1" s="21"/>
      <c r="ODU1" s="21"/>
      <c r="ODV1" s="21"/>
      <c r="ODW1" s="21"/>
      <c r="ODX1" s="21"/>
      <c r="ODY1" s="21"/>
      <c r="ODZ1" s="21"/>
      <c r="OEA1" s="21"/>
      <c r="OEB1" s="21"/>
      <c r="OEC1" s="20" t="s">
        <v>297</v>
      </c>
      <c r="OED1" s="21"/>
      <c r="OEE1" s="21"/>
      <c r="OEF1" s="21"/>
      <c r="OEG1" s="21"/>
      <c r="OEH1" s="21"/>
      <c r="OEI1" s="21"/>
      <c r="OEJ1" s="21"/>
      <c r="OEK1" s="21"/>
      <c r="OEL1" s="21"/>
      <c r="OEM1" s="21"/>
      <c r="OEN1" s="21"/>
      <c r="OEO1" s="21"/>
      <c r="OEP1" s="21"/>
      <c r="OEQ1" s="21"/>
      <c r="OER1" s="21"/>
      <c r="OES1" s="20" t="s">
        <v>297</v>
      </c>
      <c r="OET1" s="21"/>
      <c r="OEU1" s="21"/>
      <c r="OEV1" s="21"/>
      <c r="OEW1" s="21"/>
      <c r="OEX1" s="21"/>
      <c r="OEY1" s="21"/>
      <c r="OEZ1" s="21"/>
      <c r="OFA1" s="21"/>
      <c r="OFB1" s="21"/>
      <c r="OFC1" s="21"/>
      <c r="OFD1" s="21"/>
      <c r="OFE1" s="21"/>
      <c r="OFF1" s="21"/>
      <c r="OFG1" s="21"/>
      <c r="OFH1" s="21"/>
      <c r="OFI1" s="20" t="s">
        <v>297</v>
      </c>
      <c r="OFJ1" s="21"/>
      <c r="OFK1" s="21"/>
      <c r="OFL1" s="21"/>
      <c r="OFM1" s="21"/>
      <c r="OFN1" s="21"/>
      <c r="OFO1" s="21"/>
      <c r="OFP1" s="21"/>
      <c r="OFQ1" s="21"/>
      <c r="OFR1" s="21"/>
      <c r="OFS1" s="21"/>
      <c r="OFT1" s="21"/>
      <c r="OFU1" s="21"/>
      <c r="OFV1" s="21"/>
      <c r="OFW1" s="21"/>
      <c r="OFX1" s="21"/>
      <c r="OFY1" s="20" t="s">
        <v>297</v>
      </c>
      <c r="OFZ1" s="21"/>
      <c r="OGA1" s="21"/>
      <c r="OGB1" s="21"/>
      <c r="OGC1" s="21"/>
      <c r="OGD1" s="21"/>
      <c r="OGE1" s="21"/>
      <c r="OGF1" s="21"/>
      <c r="OGG1" s="21"/>
      <c r="OGH1" s="21"/>
      <c r="OGI1" s="21"/>
      <c r="OGJ1" s="21"/>
      <c r="OGK1" s="21"/>
      <c r="OGL1" s="21"/>
      <c r="OGM1" s="21"/>
      <c r="OGN1" s="21"/>
      <c r="OGO1" s="20" t="s">
        <v>297</v>
      </c>
      <c r="OGP1" s="21"/>
      <c r="OGQ1" s="21"/>
      <c r="OGR1" s="21"/>
      <c r="OGS1" s="21"/>
      <c r="OGT1" s="21"/>
      <c r="OGU1" s="21"/>
      <c r="OGV1" s="21"/>
      <c r="OGW1" s="21"/>
      <c r="OGX1" s="21"/>
      <c r="OGY1" s="21"/>
      <c r="OGZ1" s="21"/>
      <c r="OHA1" s="21"/>
      <c r="OHB1" s="21"/>
      <c r="OHC1" s="21"/>
      <c r="OHD1" s="21"/>
      <c r="OHE1" s="20" t="s">
        <v>297</v>
      </c>
      <c r="OHF1" s="21"/>
      <c r="OHG1" s="21"/>
      <c r="OHH1" s="21"/>
      <c r="OHI1" s="21"/>
      <c r="OHJ1" s="21"/>
      <c r="OHK1" s="21"/>
      <c r="OHL1" s="21"/>
      <c r="OHM1" s="21"/>
      <c r="OHN1" s="21"/>
      <c r="OHO1" s="21"/>
      <c r="OHP1" s="21"/>
      <c r="OHQ1" s="21"/>
      <c r="OHR1" s="21"/>
      <c r="OHS1" s="21"/>
      <c r="OHT1" s="21"/>
      <c r="OHU1" s="20" t="s">
        <v>297</v>
      </c>
      <c r="OHV1" s="21"/>
      <c r="OHW1" s="21"/>
      <c r="OHX1" s="21"/>
      <c r="OHY1" s="21"/>
      <c r="OHZ1" s="21"/>
      <c r="OIA1" s="21"/>
      <c r="OIB1" s="21"/>
      <c r="OIC1" s="21"/>
      <c r="OID1" s="21"/>
      <c r="OIE1" s="21"/>
      <c r="OIF1" s="21"/>
      <c r="OIG1" s="21"/>
      <c r="OIH1" s="21"/>
      <c r="OII1" s="21"/>
      <c r="OIJ1" s="21"/>
      <c r="OIK1" s="20" t="s">
        <v>297</v>
      </c>
      <c r="OIL1" s="21"/>
      <c r="OIM1" s="21"/>
      <c r="OIN1" s="21"/>
      <c r="OIO1" s="21"/>
      <c r="OIP1" s="21"/>
      <c r="OIQ1" s="21"/>
      <c r="OIR1" s="21"/>
      <c r="OIS1" s="21"/>
      <c r="OIT1" s="21"/>
      <c r="OIU1" s="21"/>
      <c r="OIV1" s="21"/>
      <c r="OIW1" s="21"/>
      <c r="OIX1" s="21"/>
      <c r="OIY1" s="21"/>
      <c r="OIZ1" s="21"/>
      <c r="OJA1" s="20" t="s">
        <v>297</v>
      </c>
      <c r="OJB1" s="21"/>
      <c r="OJC1" s="21"/>
      <c r="OJD1" s="21"/>
      <c r="OJE1" s="21"/>
      <c r="OJF1" s="21"/>
      <c r="OJG1" s="21"/>
      <c r="OJH1" s="21"/>
      <c r="OJI1" s="21"/>
      <c r="OJJ1" s="21"/>
      <c r="OJK1" s="21"/>
      <c r="OJL1" s="21"/>
      <c r="OJM1" s="21"/>
      <c r="OJN1" s="21"/>
      <c r="OJO1" s="21"/>
      <c r="OJP1" s="21"/>
      <c r="OJQ1" s="20" t="s">
        <v>297</v>
      </c>
      <c r="OJR1" s="21"/>
      <c r="OJS1" s="21"/>
      <c r="OJT1" s="21"/>
      <c r="OJU1" s="21"/>
      <c r="OJV1" s="21"/>
      <c r="OJW1" s="21"/>
      <c r="OJX1" s="21"/>
      <c r="OJY1" s="21"/>
      <c r="OJZ1" s="21"/>
      <c r="OKA1" s="21"/>
      <c r="OKB1" s="21"/>
      <c r="OKC1" s="21"/>
      <c r="OKD1" s="21"/>
      <c r="OKE1" s="21"/>
      <c r="OKF1" s="21"/>
      <c r="OKG1" s="20" t="s">
        <v>297</v>
      </c>
      <c r="OKH1" s="21"/>
      <c r="OKI1" s="21"/>
      <c r="OKJ1" s="21"/>
      <c r="OKK1" s="21"/>
      <c r="OKL1" s="21"/>
      <c r="OKM1" s="21"/>
      <c r="OKN1" s="21"/>
      <c r="OKO1" s="21"/>
      <c r="OKP1" s="21"/>
      <c r="OKQ1" s="21"/>
      <c r="OKR1" s="21"/>
      <c r="OKS1" s="21"/>
      <c r="OKT1" s="21"/>
      <c r="OKU1" s="21"/>
      <c r="OKV1" s="21"/>
      <c r="OKW1" s="20" t="s">
        <v>297</v>
      </c>
      <c r="OKX1" s="21"/>
      <c r="OKY1" s="21"/>
      <c r="OKZ1" s="21"/>
      <c r="OLA1" s="21"/>
      <c r="OLB1" s="21"/>
      <c r="OLC1" s="21"/>
      <c r="OLD1" s="21"/>
      <c r="OLE1" s="21"/>
      <c r="OLF1" s="21"/>
      <c r="OLG1" s="21"/>
      <c r="OLH1" s="21"/>
      <c r="OLI1" s="21"/>
      <c r="OLJ1" s="21"/>
      <c r="OLK1" s="21"/>
      <c r="OLL1" s="21"/>
      <c r="OLM1" s="20" t="s">
        <v>297</v>
      </c>
      <c r="OLN1" s="21"/>
      <c r="OLO1" s="21"/>
      <c r="OLP1" s="21"/>
      <c r="OLQ1" s="21"/>
      <c r="OLR1" s="21"/>
      <c r="OLS1" s="21"/>
      <c r="OLT1" s="21"/>
      <c r="OLU1" s="21"/>
      <c r="OLV1" s="21"/>
      <c r="OLW1" s="21"/>
      <c r="OLX1" s="21"/>
      <c r="OLY1" s="21"/>
      <c r="OLZ1" s="21"/>
      <c r="OMA1" s="21"/>
      <c r="OMB1" s="21"/>
      <c r="OMC1" s="20" t="s">
        <v>297</v>
      </c>
      <c r="OMD1" s="21"/>
      <c r="OME1" s="21"/>
      <c r="OMF1" s="21"/>
      <c r="OMG1" s="21"/>
      <c r="OMH1" s="21"/>
      <c r="OMI1" s="21"/>
      <c r="OMJ1" s="21"/>
      <c r="OMK1" s="21"/>
      <c r="OML1" s="21"/>
      <c r="OMM1" s="21"/>
      <c r="OMN1" s="21"/>
      <c r="OMO1" s="21"/>
      <c r="OMP1" s="21"/>
      <c r="OMQ1" s="21"/>
      <c r="OMR1" s="21"/>
      <c r="OMS1" s="20" t="s">
        <v>297</v>
      </c>
      <c r="OMT1" s="21"/>
      <c r="OMU1" s="21"/>
      <c r="OMV1" s="21"/>
      <c r="OMW1" s="21"/>
      <c r="OMX1" s="21"/>
      <c r="OMY1" s="21"/>
      <c r="OMZ1" s="21"/>
      <c r="ONA1" s="21"/>
      <c r="ONB1" s="21"/>
      <c r="ONC1" s="21"/>
      <c r="OND1" s="21"/>
      <c r="ONE1" s="21"/>
      <c r="ONF1" s="21"/>
      <c r="ONG1" s="21"/>
      <c r="ONH1" s="21"/>
      <c r="ONI1" s="20" t="s">
        <v>297</v>
      </c>
      <c r="ONJ1" s="21"/>
      <c r="ONK1" s="21"/>
      <c r="ONL1" s="21"/>
      <c r="ONM1" s="21"/>
      <c r="ONN1" s="21"/>
      <c r="ONO1" s="21"/>
      <c r="ONP1" s="21"/>
      <c r="ONQ1" s="21"/>
      <c r="ONR1" s="21"/>
      <c r="ONS1" s="21"/>
      <c r="ONT1" s="21"/>
      <c r="ONU1" s="21"/>
      <c r="ONV1" s="21"/>
      <c r="ONW1" s="21"/>
      <c r="ONX1" s="21"/>
      <c r="ONY1" s="20" t="s">
        <v>297</v>
      </c>
      <c r="ONZ1" s="21"/>
      <c r="OOA1" s="21"/>
      <c r="OOB1" s="21"/>
      <c r="OOC1" s="21"/>
      <c r="OOD1" s="21"/>
      <c r="OOE1" s="21"/>
      <c r="OOF1" s="21"/>
      <c r="OOG1" s="21"/>
      <c r="OOH1" s="21"/>
      <c r="OOI1" s="21"/>
      <c r="OOJ1" s="21"/>
      <c r="OOK1" s="21"/>
      <c r="OOL1" s="21"/>
      <c r="OOM1" s="21"/>
      <c r="OON1" s="21"/>
      <c r="OOO1" s="20" t="s">
        <v>297</v>
      </c>
      <c r="OOP1" s="21"/>
      <c r="OOQ1" s="21"/>
      <c r="OOR1" s="21"/>
      <c r="OOS1" s="21"/>
      <c r="OOT1" s="21"/>
      <c r="OOU1" s="21"/>
      <c r="OOV1" s="21"/>
      <c r="OOW1" s="21"/>
      <c r="OOX1" s="21"/>
      <c r="OOY1" s="21"/>
      <c r="OOZ1" s="21"/>
      <c r="OPA1" s="21"/>
      <c r="OPB1" s="21"/>
      <c r="OPC1" s="21"/>
      <c r="OPD1" s="21"/>
      <c r="OPE1" s="20" t="s">
        <v>297</v>
      </c>
      <c r="OPF1" s="21"/>
      <c r="OPG1" s="21"/>
      <c r="OPH1" s="21"/>
      <c r="OPI1" s="21"/>
      <c r="OPJ1" s="21"/>
      <c r="OPK1" s="21"/>
      <c r="OPL1" s="21"/>
      <c r="OPM1" s="21"/>
      <c r="OPN1" s="21"/>
      <c r="OPO1" s="21"/>
      <c r="OPP1" s="21"/>
      <c r="OPQ1" s="21"/>
      <c r="OPR1" s="21"/>
      <c r="OPS1" s="21"/>
      <c r="OPT1" s="21"/>
      <c r="OPU1" s="20" t="s">
        <v>297</v>
      </c>
      <c r="OPV1" s="21"/>
      <c r="OPW1" s="21"/>
      <c r="OPX1" s="21"/>
      <c r="OPY1" s="21"/>
      <c r="OPZ1" s="21"/>
      <c r="OQA1" s="21"/>
      <c r="OQB1" s="21"/>
      <c r="OQC1" s="21"/>
      <c r="OQD1" s="21"/>
      <c r="OQE1" s="21"/>
      <c r="OQF1" s="21"/>
      <c r="OQG1" s="21"/>
      <c r="OQH1" s="21"/>
      <c r="OQI1" s="21"/>
      <c r="OQJ1" s="21"/>
      <c r="OQK1" s="20" t="s">
        <v>297</v>
      </c>
      <c r="OQL1" s="21"/>
      <c r="OQM1" s="21"/>
      <c r="OQN1" s="21"/>
      <c r="OQO1" s="21"/>
      <c r="OQP1" s="21"/>
      <c r="OQQ1" s="21"/>
      <c r="OQR1" s="21"/>
      <c r="OQS1" s="21"/>
      <c r="OQT1" s="21"/>
      <c r="OQU1" s="21"/>
      <c r="OQV1" s="21"/>
      <c r="OQW1" s="21"/>
      <c r="OQX1" s="21"/>
      <c r="OQY1" s="21"/>
      <c r="OQZ1" s="21"/>
      <c r="ORA1" s="20" t="s">
        <v>297</v>
      </c>
      <c r="ORB1" s="21"/>
      <c r="ORC1" s="21"/>
      <c r="ORD1" s="21"/>
      <c r="ORE1" s="21"/>
      <c r="ORF1" s="21"/>
      <c r="ORG1" s="21"/>
      <c r="ORH1" s="21"/>
      <c r="ORI1" s="21"/>
      <c r="ORJ1" s="21"/>
      <c r="ORK1" s="21"/>
      <c r="ORL1" s="21"/>
      <c r="ORM1" s="21"/>
      <c r="ORN1" s="21"/>
      <c r="ORO1" s="21"/>
      <c r="ORP1" s="21"/>
      <c r="ORQ1" s="20" t="s">
        <v>297</v>
      </c>
      <c r="ORR1" s="21"/>
      <c r="ORS1" s="21"/>
      <c r="ORT1" s="21"/>
      <c r="ORU1" s="21"/>
      <c r="ORV1" s="21"/>
      <c r="ORW1" s="21"/>
      <c r="ORX1" s="21"/>
      <c r="ORY1" s="21"/>
      <c r="ORZ1" s="21"/>
      <c r="OSA1" s="21"/>
      <c r="OSB1" s="21"/>
      <c r="OSC1" s="21"/>
      <c r="OSD1" s="21"/>
      <c r="OSE1" s="21"/>
      <c r="OSF1" s="21"/>
      <c r="OSG1" s="20" t="s">
        <v>297</v>
      </c>
      <c r="OSH1" s="21"/>
      <c r="OSI1" s="21"/>
      <c r="OSJ1" s="21"/>
      <c r="OSK1" s="21"/>
      <c r="OSL1" s="21"/>
      <c r="OSM1" s="21"/>
      <c r="OSN1" s="21"/>
      <c r="OSO1" s="21"/>
      <c r="OSP1" s="21"/>
      <c r="OSQ1" s="21"/>
      <c r="OSR1" s="21"/>
      <c r="OSS1" s="21"/>
      <c r="OST1" s="21"/>
      <c r="OSU1" s="21"/>
      <c r="OSV1" s="21"/>
      <c r="OSW1" s="20" t="s">
        <v>297</v>
      </c>
      <c r="OSX1" s="21"/>
      <c r="OSY1" s="21"/>
      <c r="OSZ1" s="21"/>
      <c r="OTA1" s="21"/>
      <c r="OTB1" s="21"/>
      <c r="OTC1" s="21"/>
      <c r="OTD1" s="21"/>
      <c r="OTE1" s="21"/>
      <c r="OTF1" s="21"/>
      <c r="OTG1" s="21"/>
      <c r="OTH1" s="21"/>
      <c r="OTI1" s="21"/>
      <c r="OTJ1" s="21"/>
      <c r="OTK1" s="21"/>
      <c r="OTL1" s="21"/>
      <c r="OTM1" s="20" t="s">
        <v>297</v>
      </c>
      <c r="OTN1" s="21"/>
      <c r="OTO1" s="21"/>
      <c r="OTP1" s="21"/>
      <c r="OTQ1" s="21"/>
      <c r="OTR1" s="21"/>
      <c r="OTS1" s="21"/>
      <c r="OTT1" s="21"/>
      <c r="OTU1" s="21"/>
      <c r="OTV1" s="21"/>
      <c r="OTW1" s="21"/>
      <c r="OTX1" s="21"/>
      <c r="OTY1" s="21"/>
      <c r="OTZ1" s="21"/>
      <c r="OUA1" s="21"/>
      <c r="OUB1" s="21"/>
      <c r="OUC1" s="20" t="s">
        <v>297</v>
      </c>
      <c r="OUD1" s="21"/>
      <c r="OUE1" s="21"/>
      <c r="OUF1" s="21"/>
      <c r="OUG1" s="21"/>
      <c r="OUH1" s="21"/>
      <c r="OUI1" s="21"/>
      <c r="OUJ1" s="21"/>
      <c r="OUK1" s="21"/>
      <c r="OUL1" s="21"/>
      <c r="OUM1" s="21"/>
      <c r="OUN1" s="21"/>
      <c r="OUO1" s="21"/>
      <c r="OUP1" s="21"/>
      <c r="OUQ1" s="21"/>
      <c r="OUR1" s="21"/>
      <c r="OUS1" s="20" t="s">
        <v>297</v>
      </c>
      <c r="OUT1" s="21"/>
      <c r="OUU1" s="21"/>
      <c r="OUV1" s="21"/>
      <c r="OUW1" s="21"/>
      <c r="OUX1" s="21"/>
      <c r="OUY1" s="21"/>
      <c r="OUZ1" s="21"/>
      <c r="OVA1" s="21"/>
      <c r="OVB1" s="21"/>
      <c r="OVC1" s="21"/>
      <c r="OVD1" s="21"/>
      <c r="OVE1" s="21"/>
      <c r="OVF1" s="21"/>
      <c r="OVG1" s="21"/>
      <c r="OVH1" s="21"/>
      <c r="OVI1" s="20" t="s">
        <v>297</v>
      </c>
      <c r="OVJ1" s="21"/>
      <c r="OVK1" s="21"/>
      <c r="OVL1" s="21"/>
      <c r="OVM1" s="21"/>
      <c r="OVN1" s="21"/>
      <c r="OVO1" s="21"/>
      <c r="OVP1" s="21"/>
      <c r="OVQ1" s="21"/>
      <c r="OVR1" s="21"/>
      <c r="OVS1" s="21"/>
      <c r="OVT1" s="21"/>
      <c r="OVU1" s="21"/>
      <c r="OVV1" s="21"/>
      <c r="OVW1" s="21"/>
      <c r="OVX1" s="21"/>
      <c r="OVY1" s="20" t="s">
        <v>297</v>
      </c>
      <c r="OVZ1" s="21"/>
      <c r="OWA1" s="21"/>
      <c r="OWB1" s="21"/>
      <c r="OWC1" s="21"/>
      <c r="OWD1" s="21"/>
      <c r="OWE1" s="21"/>
      <c r="OWF1" s="21"/>
      <c r="OWG1" s="21"/>
      <c r="OWH1" s="21"/>
      <c r="OWI1" s="21"/>
      <c r="OWJ1" s="21"/>
      <c r="OWK1" s="21"/>
      <c r="OWL1" s="21"/>
      <c r="OWM1" s="21"/>
      <c r="OWN1" s="21"/>
      <c r="OWO1" s="20" t="s">
        <v>297</v>
      </c>
      <c r="OWP1" s="21"/>
      <c r="OWQ1" s="21"/>
      <c r="OWR1" s="21"/>
      <c r="OWS1" s="21"/>
      <c r="OWT1" s="21"/>
      <c r="OWU1" s="21"/>
      <c r="OWV1" s="21"/>
      <c r="OWW1" s="21"/>
      <c r="OWX1" s="21"/>
      <c r="OWY1" s="21"/>
      <c r="OWZ1" s="21"/>
      <c r="OXA1" s="21"/>
      <c r="OXB1" s="21"/>
      <c r="OXC1" s="21"/>
      <c r="OXD1" s="21"/>
      <c r="OXE1" s="20" t="s">
        <v>297</v>
      </c>
      <c r="OXF1" s="21"/>
      <c r="OXG1" s="21"/>
      <c r="OXH1" s="21"/>
      <c r="OXI1" s="21"/>
      <c r="OXJ1" s="21"/>
      <c r="OXK1" s="21"/>
      <c r="OXL1" s="21"/>
      <c r="OXM1" s="21"/>
      <c r="OXN1" s="21"/>
      <c r="OXO1" s="21"/>
      <c r="OXP1" s="21"/>
      <c r="OXQ1" s="21"/>
      <c r="OXR1" s="21"/>
      <c r="OXS1" s="21"/>
      <c r="OXT1" s="21"/>
      <c r="OXU1" s="20" t="s">
        <v>297</v>
      </c>
      <c r="OXV1" s="21"/>
      <c r="OXW1" s="21"/>
      <c r="OXX1" s="21"/>
      <c r="OXY1" s="21"/>
      <c r="OXZ1" s="21"/>
      <c r="OYA1" s="21"/>
      <c r="OYB1" s="21"/>
      <c r="OYC1" s="21"/>
      <c r="OYD1" s="21"/>
      <c r="OYE1" s="21"/>
      <c r="OYF1" s="21"/>
      <c r="OYG1" s="21"/>
      <c r="OYH1" s="21"/>
      <c r="OYI1" s="21"/>
      <c r="OYJ1" s="21"/>
      <c r="OYK1" s="20" t="s">
        <v>297</v>
      </c>
      <c r="OYL1" s="21"/>
      <c r="OYM1" s="21"/>
      <c r="OYN1" s="21"/>
      <c r="OYO1" s="21"/>
      <c r="OYP1" s="21"/>
      <c r="OYQ1" s="21"/>
      <c r="OYR1" s="21"/>
      <c r="OYS1" s="21"/>
      <c r="OYT1" s="21"/>
      <c r="OYU1" s="21"/>
      <c r="OYV1" s="21"/>
      <c r="OYW1" s="21"/>
      <c r="OYX1" s="21"/>
      <c r="OYY1" s="21"/>
      <c r="OYZ1" s="21"/>
      <c r="OZA1" s="20" t="s">
        <v>297</v>
      </c>
      <c r="OZB1" s="21"/>
      <c r="OZC1" s="21"/>
      <c r="OZD1" s="21"/>
      <c r="OZE1" s="21"/>
      <c r="OZF1" s="21"/>
      <c r="OZG1" s="21"/>
      <c r="OZH1" s="21"/>
      <c r="OZI1" s="21"/>
      <c r="OZJ1" s="21"/>
      <c r="OZK1" s="21"/>
      <c r="OZL1" s="21"/>
      <c r="OZM1" s="21"/>
      <c r="OZN1" s="21"/>
      <c r="OZO1" s="21"/>
      <c r="OZP1" s="21"/>
      <c r="OZQ1" s="20" t="s">
        <v>297</v>
      </c>
      <c r="OZR1" s="21"/>
      <c r="OZS1" s="21"/>
      <c r="OZT1" s="21"/>
      <c r="OZU1" s="21"/>
      <c r="OZV1" s="21"/>
      <c r="OZW1" s="21"/>
      <c r="OZX1" s="21"/>
      <c r="OZY1" s="21"/>
      <c r="OZZ1" s="21"/>
      <c r="PAA1" s="21"/>
      <c r="PAB1" s="21"/>
      <c r="PAC1" s="21"/>
      <c r="PAD1" s="21"/>
      <c r="PAE1" s="21"/>
      <c r="PAF1" s="21"/>
      <c r="PAG1" s="20" t="s">
        <v>297</v>
      </c>
      <c r="PAH1" s="21"/>
      <c r="PAI1" s="21"/>
      <c r="PAJ1" s="21"/>
      <c r="PAK1" s="21"/>
      <c r="PAL1" s="21"/>
      <c r="PAM1" s="21"/>
      <c r="PAN1" s="21"/>
      <c r="PAO1" s="21"/>
      <c r="PAP1" s="21"/>
      <c r="PAQ1" s="21"/>
      <c r="PAR1" s="21"/>
      <c r="PAS1" s="21"/>
      <c r="PAT1" s="21"/>
      <c r="PAU1" s="21"/>
      <c r="PAV1" s="21"/>
      <c r="PAW1" s="20" t="s">
        <v>297</v>
      </c>
      <c r="PAX1" s="21"/>
      <c r="PAY1" s="21"/>
      <c r="PAZ1" s="21"/>
      <c r="PBA1" s="21"/>
      <c r="PBB1" s="21"/>
      <c r="PBC1" s="21"/>
      <c r="PBD1" s="21"/>
      <c r="PBE1" s="21"/>
      <c r="PBF1" s="21"/>
      <c r="PBG1" s="21"/>
      <c r="PBH1" s="21"/>
      <c r="PBI1" s="21"/>
      <c r="PBJ1" s="21"/>
      <c r="PBK1" s="21"/>
      <c r="PBL1" s="21"/>
      <c r="PBM1" s="20" t="s">
        <v>297</v>
      </c>
      <c r="PBN1" s="21"/>
      <c r="PBO1" s="21"/>
      <c r="PBP1" s="21"/>
      <c r="PBQ1" s="21"/>
      <c r="PBR1" s="21"/>
      <c r="PBS1" s="21"/>
      <c r="PBT1" s="21"/>
      <c r="PBU1" s="21"/>
      <c r="PBV1" s="21"/>
      <c r="PBW1" s="21"/>
      <c r="PBX1" s="21"/>
      <c r="PBY1" s="21"/>
      <c r="PBZ1" s="21"/>
      <c r="PCA1" s="21"/>
      <c r="PCB1" s="21"/>
      <c r="PCC1" s="20" t="s">
        <v>297</v>
      </c>
      <c r="PCD1" s="21"/>
      <c r="PCE1" s="21"/>
      <c r="PCF1" s="21"/>
      <c r="PCG1" s="21"/>
      <c r="PCH1" s="21"/>
      <c r="PCI1" s="21"/>
      <c r="PCJ1" s="21"/>
      <c r="PCK1" s="21"/>
      <c r="PCL1" s="21"/>
      <c r="PCM1" s="21"/>
      <c r="PCN1" s="21"/>
      <c r="PCO1" s="21"/>
      <c r="PCP1" s="21"/>
      <c r="PCQ1" s="21"/>
      <c r="PCR1" s="21"/>
      <c r="PCS1" s="20" t="s">
        <v>297</v>
      </c>
      <c r="PCT1" s="21"/>
      <c r="PCU1" s="21"/>
      <c r="PCV1" s="21"/>
      <c r="PCW1" s="21"/>
      <c r="PCX1" s="21"/>
      <c r="PCY1" s="21"/>
      <c r="PCZ1" s="21"/>
      <c r="PDA1" s="21"/>
      <c r="PDB1" s="21"/>
      <c r="PDC1" s="21"/>
      <c r="PDD1" s="21"/>
      <c r="PDE1" s="21"/>
      <c r="PDF1" s="21"/>
      <c r="PDG1" s="21"/>
      <c r="PDH1" s="21"/>
      <c r="PDI1" s="20" t="s">
        <v>297</v>
      </c>
      <c r="PDJ1" s="21"/>
      <c r="PDK1" s="21"/>
      <c r="PDL1" s="21"/>
      <c r="PDM1" s="21"/>
      <c r="PDN1" s="21"/>
      <c r="PDO1" s="21"/>
      <c r="PDP1" s="21"/>
      <c r="PDQ1" s="21"/>
      <c r="PDR1" s="21"/>
      <c r="PDS1" s="21"/>
      <c r="PDT1" s="21"/>
      <c r="PDU1" s="21"/>
      <c r="PDV1" s="21"/>
      <c r="PDW1" s="21"/>
      <c r="PDX1" s="21"/>
      <c r="PDY1" s="20" t="s">
        <v>297</v>
      </c>
      <c r="PDZ1" s="21"/>
      <c r="PEA1" s="21"/>
      <c r="PEB1" s="21"/>
      <c r="PEC1" s="21"/>
      <c r="PED1" s="21"/>
      <c r="PEE1" s="21"/>
      <c r="PEF1" s="21"/>
      <c r="PEG1" s="21"/>
      <c r="PEH1" s="21"/>
      <c r="PEI1" s="21"/>
      <c r="PEJ1" s="21"/>
      <c r="PEK1" s="21"/>
      <c r="PEL1" s="21"/>
      <c r="PEM1" s="21"/>
      <c r="PEN1" s="21"/>
      <c r="PEO1" s="20" t="s">
        <v>297</v>
      </c>
      <c r="PEP1" s="21"/>
      <c r="PEQ1" s="21"/>
      <c r="PER1" s="21"/>
      <c r="PES1" s="21"/>
      <c r="PET1" s="21"/>
      <c r="PEU1" s="21"/>
      <c r="PEV1" s="21"/>
      <c r="PEW1" s="21"/>
      <c r="PEX1" s="21"/>
      <c r="PEY1" s="21"/>
      <c r="PEZ1" s="21"/>
      <c r="PFA1" s="21"/>
      <c r="PFB1" s="21"/>
      <c r="PFC1" s="21"/>
      <c r="PFD1" s="21"/>
      <c r="PFE1" s="20" t="s">
        <v>297</v>
      </c>
      <c r="PFF1" s="21"/>
      <c r="PFG1" s="21"/>
      <c r="PFH1" s="21"/>
      <c r="PFI1" s="21"/>
      <c r="PFJ1" s="21"/>
      <c r="PFK1" s="21"/>
      <c r="PFL1" s="21"/>
      <c r="PFM1" s="21"/>
      <c r="PFN1" s="21"/>
      <c r="PFO1" s="21"/>
      <c r="PFP1" s="21"/>
      <c r="PFQ1" s="21"/>
      <c r="PFR1" s="21"/>
      <c r="PFS1" s="21"/>
      <c r="PFT1" s="21"/>
      <c r="PFU1" s="20" t="s">
        <v>297</v>
      </c>
      <c r="PFV1" s="21"/>
      <c r="PFW1" s="21"/>
      <c r="PFX1" s="21"/>
      <c r="PFY1" s="21"/>
      <c r="PFZ1" s="21"/>
      <c r="PGA1" s="21"/>
      <c r="PGB1" s="21"/>
      <c r="PGC1" s="21"/>
      <c r="PGD1" s="21"/>
      <c r="PGE1" s="21"/>
      <c r="PGF1" s="21"/>
      <c r="PGG1" s="21"/>
      <c r="PGH1" s="21"/>
      <c r="PGI1" s="21"/>
      <c r="PGJ1" s="21"/>
      <c r="PGK1" s="20" t="s">
        <v>297</v>
      </c>
      <c r="PGL1" s="21"/>
      <c r="PGM1" s="21"/>
      <c r="PGN1" s="21"/>
      <c r="PGO1" s="21"/>
      <c r="PGP1" s="21"/>
      <c r="PGQ1" s="21"/>
      <c r="PGR1" s="21"/>
      <c r="PGS1" s="21"/>
      <c r="PGT1" s="21"/>
      <c r="PGU1" s="21"/>
      <c r="PGV1" s="21"/>
      <c r="PGW1" s="21"/>
      <c r="PGX1" s="21"/>
      <c r="PGY1" s="21"/>
      <c r="PGZ1" s="21"/>
      <c r="PHA1" s="20" t="s">
        <v>297</v>
      </c>
      <c r="PHB1" s="21"/>
      <c r="PHC1" s="21"/>
      <c r="PHD1" s="21"/>
      <c r="PHE1" s="21"/>
      <c r="PHF1" s="21"/>
      <c r="PHG1" s="21"/>
      <c r="PHH1" s="21"/>
      <c r="PHI1" s="21"/>
      <c r="PHJ1" s="21"/>
      <c r="PHK1" s="21"/>
      <c r="PHL1" s="21"/>
      <c r="PHM1" s="21"/>
      <c r="PHN1" s="21"/>
      <c r="PHO1" s="21"/>
      <c r="PHP1" s="21"/>
      <c r="PHQ1" s="20" t="s">
        <v>297</v>
      </c>
      <c r="PHR1" s="21"/>
      <c r="PHS1" s="21"/>
      <c r="PHT1" s="21"/>
      <c r="PHU1" s="21"/>
      <c r="PHV1" s="21"/>
      <c r="PHW1" s="21"/>
      <c r="PHX1" s="21"/>
      <c r="PHY1" s="21"/>
      <c r="PHZ1" s="21"/>
      <c r="PIA1" s="21"/>
      <c r="PIB1" s="21"/>
      <c r="PIC1" s="21"/>
      <c r="PID1" s="21"/>
      <c r="PIE1" s="21"/>
      <c r="PIF1" s="21"/>
      <c r="PIG1" s="20" t="s">
        <v>297</v>
      </c>
      <c r="PIH1" s="21"/>
      <c r="PII1" s="21"/>
      <c r="PIJ1" s="21"/>
      <c r="PIK1" s="21"/>
      <c r="PIL1" s="21"/>
      <c r="PIM1" s="21"/>
      <c r="PIN1" s="21"/>
      <c r="PIO1" s="21"/>
      <c r="PIP1" s="21"/>
      <c r="PIQ1" s="21"/>
      <c r="PIR1" s="21"/>
      <c r="PIS1" s="21"/>
      <c r="PIT1" s="21"/>
      <c r="PIU1" s="21"/>
      <c r="PIV1" s="21"/>
      <c r="PIW1" s="20" t="s">
        <v>297</v>
      </c>
      <c r="PIX1" s="21"/>
      <c r="PIY1" s="21"/>
      <c r="PIZ1" s="21"/>
      <c r="PJA1" s="21"/>
      <c r="PJB1" s="21"/>
      <c r="PJC1" s="21"/>
      <c r="PJD1" s="21"/>
      <c r="PJE1" s="21"/>
      <c r="PJF1" s="21"/>
      <c r="PJG1" s="21"/>
      <c r="PJH1" s="21"/>
      <c r="PJI1" s="21"/>
      <c r="PJJ1" s="21"/>
      <c r="PJK1" s="21"/>
      <c r="PJL1" s="21"/>
      <c r="PJM1" s="20" t="s">
        <v>297</v>
      </c>
      <c r="PJN1" s="21"/>
      <c r="PJO1" s="21"/>
      <c r="PJP1" s="21"/>
      <c r="PJQ1" s="21"/>
      <c r="PJR1" s="21"/>
      <c r="PJS1" s="21"/>
      <c r="PJT1" s="21"/>
      <c r="PJU1" s="21"/>
      <c r="PJV1" s="21"/>
      <c r="PJW1" s="21"/>
      <c r="PJX1" s="21"/>
      <c r="PJY1" s="21"/>
      <c r="PJZ1" s="21"/>
      <c r="PKA1" s="21"/>
      <c r="PKB1" s="21"/>
      <c r="PKC1" s="20" t="s">
        <v>297</v>
      </c>
      <c r="PKD1" s="21"/>
      <c r="PKE1" s="21"/>
      <c r="PKF1" s="21"/>
      <c r="PKG1" s="21"/>
      <c r="PKH1" s="21"/>
      <c r="PKI1" s="21"/>
      <c r="PKJ1" s="21"/>
      <c r="PKK1" s="21"/>
      <c r="PKL1" s="21"/>
      <c r="PKM1" s="21"/>
      <c r="PKN1" s="21"/>
      <c r="PKO1" s="21"/>
      <c r="PKP1" s="21"/>
      <c r="PKQ1" s="21"/>
      <c r="PKR1" s="21"/>
      <c r="PKS1" s="20" t="s">
        <v>297</v>
      </c>
      <c r="PKT1" s="21"/>
      <c r="PKU1" s="21"/>
      <c r="PKV1" s="21"/>
      <c r="PKW1" s="21"/>
      <c r="PKX1" s="21"/>
      <c r="PKY1" s="21"/>
      <c r="PKZ1" s="21"/>
      <c r="PLA1" s="21"/>
      <c r="PLB1" s="21"/>
      <c r="PLC1" s="21"/>
      <c r="PLD1" s="21"/>
      <c r="PLE1" s="21"/>
      <c r="PLF1" s="21"/>
      <c r="PLG1" s="21"/>
      <c r="PLH1" s="21"/>
      <c r="PLI1" s="20" t="s">
        <v>297</v>
      </c>
      <c r="PLJ1" s="21"/>
      <c r="PLK1" s="21"/>
      <c r="PLL1" s="21"/>
      <c r="PLM1" s="21"/>
      <c r="PLN1" s="21"/>
      <c r="PLO1" s="21"/>
      <c r="PLP1" s="21"/>
      <c r="PLQ1" s="21"/>
      <c r="PLR1" s="21"/>
      <c r="PLS1" s="21"/>
      <c r="PLT1" s="21"/>
      <c r="PLU1" s="21"/>
      <c r="PLV1" s="21"/>
      <c r="PLW1" s="21"/>
      <c r="PLX1" s="21"/>
      <c r="PLY1" s="20" t="s">
        <v>297</v>
      </c>
      <c r="PLZ1" s="21"/>
      <c r="PMA1" s="21"/>
      <c r="PMB1" s="21"/>
      <c r="PMC1" s="21"/>
      <c r="PMD1" s="21"/>
      <c r="PME1" s="21"/>
      <c r="PMF1" s="21"/>
      <c r="PMG1" s="21"/>
      <c r="PMH1" s="21"/>
      <c r="PMI1" s="21"/>
      <c r="PMJ1" s="21"/>
      <c r="PMK1" s="21"/>
      <c r="PML1" s="21"/>
      <c r="PMM1" s="21"/>
      <c r="PMN1" s="21"/>
      <c r="PMO1" s="20" t="s">
        <v>297</v>
      </c>
      <c r="PMP1" s="21"/>
      <c r="PMQ1" s="21"/>
      <c r="PMR1" s="21"/>
      <c r="PMS1" s="21"/>
      <c r="PMT1" s="21"/>
      <c r="PMU1" s="21"/>
      <c r="PMV1" s="21"/>
      <c r="PMW1" s="21"/>
      <c r="PMX1" s="21"/>
      <c r="PMY1" s="21"/>
      <c r="PMZ1" s="21"/>
      <c r="PNA1" s="21"/>
      <c r="PNB1" s="21"/>
      <c r="PNC1" s="21"/>
      <c r="PND1" s="21"/>
      <c r="PNE1" s="20" t="s">
        <v>297</v>
      </c>
      <c r="PNF1" s="21"/>
      <c r="PNG1" s="21"/>
      <c r="PNH1" s="21"/>
      <c r="PNI1" s="21"/>
      <c r="PNJ1" s="21"/>
      <c r="PNK1" s="21"/>
      <c r="PNL1" s="21"/>
      <c r="PNM1" s="21"/>
      <c r="PNN1" s="21"/>
      <c r="PNO1" s="21"/>
      <c r="PNP1" s="21"/>
      <c r="PNQ1" s="21"/>
      <c r="PNR1" s="21"/>
      <c r="PNS1" s="21"/>
      <c r="PNT1" s="21"/>
      <c r="PNU1" s="20" t="s">
        <v>297</v>
      </c>
      <c r="PNV1" s="21"/>
      <c r="PNW1" s="21"/>
      <c r="PNX1" s="21"/>
      <c r="PNY1" s="21"/>
      <c r="PNZ1" s="21"/>
      <c r="POA1" s="21"/>
      <c r="POB1" s="21"/>
      <c r="POC1" s="21"/>
      <c r="POD1" s="21"/>
      <c r="POE1" s="21"/>
      <c r="POF1" s="21"/>
      <c r="POG1" s="21"/>
      <c r="POH1" s="21"/>
      <c r="POI1" s="21"/>
      <c r="POJ1" s="21"/>
      <c r="POK1" s="20" t="s">
        <v>297</v>
      </c>
      <c r="POL1" s="21"/>
      <c r="POM1" s="21"/>
      <c r="PON1" s="21"/>
      <c r="POO1" s="21"/>
      <c r="POP1" s="21"/>
      <c r="POQ1" s="21"/>
      <c r="POR1" s="21"/>
      <c r="POS1" s="21"/>
      <c r="POT1" s="21"/>
      <c r="POU1" s="21"/>
      <c r="POV1" s="21"/>
      <c r="POW1" s="21"/>
      <c r="POX1" s="21"/>
      <c r="POY1" s="21"/>
      <c r="POZ1" s="21"/>
      <c r="PPA1" s="20" t="s">
        <v>297</v>
      </c>
      <c r="PPB1" s="21"/>
      <c r="PPC1" s="21"/>
      <c r="PPD1" s="21"/>
      <c r="PPE1" s="21"/>
      <c r="PPF1" s="21"/>
      <c r="PPG1" s="21"/>
      <c r="PPH1" s="21"/>
      <c r="PPI1" s="21"/>
      <c r="PPJ1" s="21"/>
      <c r="PPK1" s="21"/>
      <c r="PPL1" s="21"/>
      <c r="PPM1" s="21"/>
      <c r="PPN1" s="21"/>
      <c r="PPO1" s="21"/>
      <c r="PPP1" s="21"/>
      <c r="PPQ1" s="20" t="s">
        <v>297</v>
      </c>
      <c r="PPR1" s="21"/>
      <c r="PPS1" s="21"/>
      <c r="PPT1" s="21"/>
      <c r="PPU1" s="21"/>
      <c r="PPV1" s="21"/>
      <c r="PPW1" s="21"/>
      <c r="PPX1" s="21"/>
      <c r="PPY1" s="21"/>
      <c r="PPZ1" s="21"/>
      <c r="PQA1" s="21"/>
      <c r="PQB1" s="21"/>
      <c r="PQC1" s="21"/>
      <c r="PQD1" s="21"/>
      <c r="PQE1" s="21"/>
      <c r="PQF1" s="21"/>
      <c r="PQG1" s="20" t="s">
        <v>297</v>
      </c>
      <c r="PQH1" s="21"/>
      <c r="PQI1" s="21"/>
      <c r="PQJ1" s="21"/>
      <c r="PQK1" s="21"/>
      <c r="PQL1" s="21"/>
      <c r="PQM1" s="21"/>
      <c r="PQN1" s="21"/>
      <c r="PQO1" s="21"/>
      <c r="PQP1" s="21"/>
      <c r="PQQ1" s="21"/>
      <c r="PQR1" s="21"/>
      <c r="PQS1" s="21"/>
      <c r="PQT1" s="21"/>
      <c r="PQU1" s="21"/>
      <c r="PQV1" s="21"/>
      <c r="PQW1" s="20" t="s">
        <v>297</v>
      </c>
      <c r="PQX1" s="21"/>
      <c r="PQY1" s="21"/>
      <c r="PQZ1" s="21"/>
      <c r="PRA1" s="21"/>
      <c r="PRB1" s="21"/>
      <c r="PRC1" s="21"/>
      <c r="PRD1" s="21"/>
      <c r="PRE1" s="21"/>
      <c r="PRF1" s="21"/>
      <c r="PRG1" s="21"/>
      <c r="PRH1" s="21"/>
      <c r="PRI1" s="21"/>
      <c r="PRJ1" s="21"/>
      <c r="PRK1" s="21"/>
      <c r="PRL1" s="21"/>
      <c r="PRM1" s="20" t="s">
        <v>297</v>
      </c>
      <c r="PRN1" s="21"/>
      <c r="PRO1" s="21"/>
      <c r="PRP1" s="21"/>
      <c r="PRQ1" s="21"/>
      <c r="PRR1" s="21"/>
      <c r="PRS1" s="21"/>
      <c r="PRT1" s="21"/>
      <c r="PRU1" s="21"/>
      <c r="PRV1" s="21"/>
      <c r="PRW1" s="21"/>
      <c r="PRX1" s="21"/>
      <c r="PRY1" s="21"/>
      <c r="PRZ1" s="21"/>
      <c r="PSA1" s="21"/>
      <c r="PSB1" s="21"/>
      <c r="PSC1" s="20" t="s">
        <v>297</v>
      </c>
      <c r="PSD1" s="21"/>
      <c r="PSE1" s="21"/>
      <c r="PSF1" s="21"/>
      <c r="PSG1" s="21"/>
      <c r="PSH1" s="21"/>
      <c r="PSI1" s="21"/>
      <c r="PSJ1" s="21"/>
      <c r="PSK1" s="21"/>
      <c r="PSL1" s="21"/>
      <c r="PSM1" s="21"/>
      <c r="PSN1" s="21"/>
      <c r="PSO1" s="21"/>
      <c r="PSP1" s="21"/>
      <c r="PSQ1" s="21"/>
      <c r="PSR1" s="21"/>
      <c r="PSS1" s="20" t="s">
        <v>297</v>
      </c>
      <c r="PST1" s="21"/>
      <c r="PSU1" s="21"/>
      <c r="PSV1" s="21"/>
      <c r="PSW1" s="21"/>
      <c r="PSX1" s="21"/>
      <c r="PSY1" s="21"/>
      <c r="PSZ1" s="21"/>
      <c r="PTA1" s="21"/>
      <c r="PTB1" s="21"/>
      <c r="PTC1" s="21"/>
      <c r="PTD1" s="21"/>
      <c r="PTE1" s="21"/>
      <c r="PTF1" s="21"/>
      <c r="PTG1" s="21"/>
      <c r="PTH1" s="21"/>
      <c r="PTI1" s="20" t="s">
        <v>297</v>
      </c>
      <c r="PTJ1" s="21"/>
      <c r="PTK1" s="21"/>
      <c r="PTL1" s="21"/>
      <c r="PTM1" s="21"/>
      <c r="PTN1" s="21"/>
      <c r="PTO1" s="21"/>
      <c r="PTP1" s="21"/>
      <c r="PTQ1" s="21"/>
      <c r="PTR1" s="21"/>
      <c r="PTS1" s="21"/>
      <c r="PTT1" s="21"/>
      <c r="PTU1" s="21"/>
      <c r="PTV1" s="21"/>
      <c r="PTW1" s="21"/>
      <c r="PTX1" s="21"/>
      <c r="PTY1" s="20" t="s">
        <v>297</v>
      </c>
      <c r="PTZ1" s="21"/>
      <c r="PUA1" s="21"/>
      <c r="PUB1" s="21"/>
      <c r="PUC1" s="21"/>
      <c r="PUD1" s="21"/>
      <c r="PUE1" s="21"/>
      <c r="PUF1" s="21"/>
      <c r="PUG1" s="21"/>
      <c r="PUH1" s="21"/>
      <c r="PUI1" s="21"/>
      <c r="PUJ1" s="21"/>
      <c r="PUK1" s="21"/>
      <c r="PUL1" s="21"/>
      <c r="PUM1" s="21"/>
      <c r="PUN1" s="21"/>
      <c r="PUO1" s="20" t="s">
        <v>297</v>
      </c>
      <c r="PUP1" s="21"/>
      <c r="PUQ1" s="21"/>
      <c r="PUR1" s="21"/>
      <c r="PUS1" s="21"/>
      <c r="PUT1" s="21"/>
      <c r="PUU1" s="21"/>
      <c r="PUV1" s="21"/>
      <c r="PUW1" s="21"/>
      <c r="PUX1" s="21"/>
      <c r="PUY1" s="21"/>
      <c r="PUZ1" s="21"/>
      <c r="PVA1" s="21"/>
      <c r="PVB1" s="21"/>
      <c r="PVC1" s="21"/>
      <c r="PVD1" s="21"/>
      <c r="PVE1" s="20" t="s">
        <v>297</v>
      </c>
      <c r="PVF1" s="21"/>
      <c r="PVG1" s="21"/>
      <c r="PVH1" s="21"/>
      <c r="PVI1" s="21"/>
      <c r="PVJ1" s="21"/>
      <c r="PVK1" s="21"/>
      <c r="PVL1" s="21"/>
      <c r="PVM1" s="21"/>
      <c r="PVN1" s="21"/>
      <c r="PVO1" s="21"/>
      <c r="PVP1" s="21"/>
      <c r="PVQ1" s="21"/>
      <c r="PVR1" s="21"/>
      <c r="PVS1" s="21"/>
      <c r="PVT1" s="21"/>
      <c r="PVU1" s="20" t="s">
        <v>297</v>
      </c>
      <c r="PVV1" s="21"/>
      <c r="PVW1" s="21"/>
      <c r="PVX1" s="21"/>
      <c r="PVY1" s="21"/>
      <c r="PVZ1" s="21"/>
      <c r="PWA1" s="21"/>
      <c r="PWB1" s="21"/>
      <c r="PWC1" s="21"/>
      <c r="PWD1" s="21"/>
      <c r="PWE1" s="21"/>
      <c r="PWF1" s="21"/>
      <c r="PWG1" s="21"/>
      <c r="PWH1" s="21"/>
      <c r="PWI1" s="21"/>
      <c r="PWJ1" s="21"/>
      <c r="PWK1" s="20" t="s">
        <v>297</v>
      </c>
      <c r="PWL1" s="21"/>
      <c r="PWM1" s="21"/>
      <c r="PWN1" s="21"/>
      <c r="PWO1" s="21"/>
      <c r="PWP1" s="21"/>
      <c r="PWQ1" s="21"/>
      <c r="PWR1" s="21"/>
      <c r="PWS1" s="21"/>
      <c r="PWT1" s="21"/>
      <c r="PWU1" s="21"/>
      <c r="PWV1" s="21"/>
      <c r="PWW1" s="21"/>
      <c r="PWX1" s="21"/>
      <c r="PWY1" s="21"/>
      <c r="PWZ1" s="21"/>
      <c r="PXA1" s="20" t="s">
        <v>297</v>
      </c>
      <c r="PXB1" s="21"/>
      <c r="PXC1" s="21"/>
      <c r="PXD1" s="21"/>
      <c r="PXE1" s="21"/>
      <c r="PXF1" s="21"/>
      <c r="PXG1" s="21"/>
      <c r="PXH1" s="21"/>
      <c r="PXI1" s="21"/>
      <c r="PXJ1" s="21"/>
      <c r="PXK1" s="21"/>
      <c r="PXL1" s="21"/>
      <c r="PXM1" s="21"/>
      <c r="PXN1" s="21"/>
      <c r="PXO1" s="21"/>
      <c r="PXP1" s="21"/>
      <c r="PXQ1" s="20" t="s">
        <v>297</v>
      </c>
      <c r="PXR1" s="21"/>
      <c r="PXS1" s="21"/>
      <c r="PXT1" s="21"/>
      <c r="PXU1" s="21"/>
      <c r="PXV1" s="21"/>
      <c r="PXW1" s="21"/>
      <c r="PXX1" s="21"/>
      <c r="PXY1" s="21"/>
      <c r="PXZ1" s="21"/>
      <c r="PYA1" s="21"/>
      <c r="PYB1" s="21"/>
      <c r="PYC1" s="21"/>
      <c r="PYD1" s="21"/>
      <c r="PYE1" s="21"/>
      <c r="PYF1" s="21"/>
      <c r="PYG1" s="20" t="s">
        <v>297</v>
      </c>
      <c r="PYH1" s="21"/>
      <c r="PYI1" s="21"/>
      <c r="PYJ1" s="21"/>
      <c r="PYK1" s="21"/>
      <c r="PYL1" s="21"/>
      <c r="PYM1" s="21"/>
      <c r="PYN1" s="21"/>
      <c r="PYO1" s="21"/>
      <c r="PYP1" s="21"/>
      <c r="PYQ1" s="21"/>
      <c r="PYR1" s="21"/>
      <c r="PYS1" s="21"/>
      <c r="PYT1" s="21"/>
      <c r="PYU1" s="21"/>
      <c r="PYV1" s="21"/>
      <c r="PYW1" s="20" t="s">
        <v>297</v>
      </c>
      <c r="PYX1" s="21"/>
      <c r="PYY1" s="21"/>
      <c r="PYZ1" s="21"/>
      <c r="PZA1" s="21"/>
      <c r="PZB1" s="21"/>
      <c r="PZC1" s="21"/>
      <c r="PZD1" s="21"/>
      <c r="PZE1" s="21"/>
      <c r="PZF1" s="21"/>
      <c r="PZG1" s="21"/>
      <c r="PZH1" s="21"/>
      <c r="PZI1" s="21"/>
      <c r="PZJ1" s="21"/>
      <c r="PZK1" s="21"/>
      <c r="PZL1" s="21"/>
      <c r="PZM1" s="20" t="s">
        <v>297</v>
      </c>
      <c r="PZN1" s="21"/>
      <c r="PZO1" s="21"/>
      <c r="PZP1" s="21"/>
      <c r="PZQ1" s="21"/>
      <c r="PZR1" s="21"/>
      <c r="PZS1" s="21"/>
      <c r="PZT1" s="21"/>
      <c r="PZU1" s="21"/>
      <c r="PZV1" s="21"/>
      <c r="PZW1" s="21"/>
      <c r="PZX1" s="21"/>
      <c r="PZY1" s="21"/>
      <c r="PZZ1" s="21"/>
      <c r="QAA1" s="21"/>
      <c r="QAB1" s="21"/>
      <c r="QAC1" s="20" t="s">
        <v>297</v>
      </c>
      <c r="QAD1" s="21"/>
      <c r="QAE1" s="21"/>
      <c r="QAF1" s="21"/>
      <c r="QAG1" s="21"/>
      <c r="QAH1" s="21"/>
      <c r="QAI1" s="21"/>
      <c r="QAJ1" s="21"/>
      <c r="QAK1" s="21"/>
      <c r="QAL1" s="21"/>
      <c r="QAM1" s="21"/>
      <c r="QAN1" s="21"/>
      <c r="QAO1" s="21"/>
      <c r="QAP1" s="21"/>
      <c r="QAQ1" s="21"/>
      <c r="QAR1" s="21"/>
      <c r="QAS1" s="20" t="s">
        <v>297</v>
      </c>
      <c r="QAT1" s="21"/>
      <c r="QAU1" s="21"/>
      <c r="QAV1" s="21"/>
      <c r="QAW1" s="21"/>
      <c r="QAX1" s="21"/>
      <c r="QAY1" s="21"/>
      <c r="QAZ1" s="21"/>
      <c r="QBA1" s="21"/>
      <c r="QBB1" s="21"/>
      <c r="QBC1" s="21"/>
      <c r="QBD1" s="21"/>
      <c r="QBE1" s="21"/>
      <c r="QBF1" s="21"/>
      <c r="QBG1" s="21"/>
      <c r="QBH1" s="21"/>
      <c r="QBI1" s="20" t="s">
        <v>297</v>
      </c>
      <c r="QBJ1" s="21"/>
      <c r="QBK1" s="21"/>
      <c r="QBL1" s="21"/>
      <c r="QBM1" s="21"/>
      <c r="QBN1" s="21"/>
      <c r="QBO1" s="21"/>
      <c r="QBP1" s="21"/>
      <c r="QBQ1" s="21"/>
      <c r="QBR1" s="21"/>
      <c r="QBS1" s="21"/>
      <c r="QBT1" s="21"/>
      <c r="QBU1" s="21"/>
      <c r="QBV1" s="21"/>
      <c r="QBW1" s="21"/>
      <c r="QBX1" s="21"/>
      <c r="QBY1" s="20" t="s">
        <v>297</v>
      </c>
      <c r="QBZ1" s="21"/>
      <c r="QCA1" s="21"/>
      <c r="QCB1" s="21"/>
      <c r="QCC1" s="21"/>
      <c r="QCD1" s="21"/>
      <c r="QCE1" s="21"/>
      <c r="QCF1" s="21"/>
      <c r="QCG1" s="21"/>
      <c r="QCH1" s="21"/>
      <c r="QCI1" s="21"/>
      <c r="QCJ1" s="21"/>
      <c r="QCK1" s="21"/>
      <c r="QCL1" s="21"/>
      <c r="QCM1" s="21"/>
      <c r="QCN1" s="21"/>
      <c r="QCO1" s="20" t="s">
        <v>297</v>
      </c>
      <c r="QCP1" s="21"/>
      <c r="QCQ1" s="21"/>
      <c r="QCR1" s="21"/>
      <c r="QCS1" s="21"/>
      <c r="QCT1" s="21"/>
      <c r="QCU1" s="21"/>
      <c r="QCV1" s="21"/>
      <c r="QCW1" s="21"/>
      <c r="QCX1" s="21"/>
      <c r="QCY1" s="21"/>
      <c r="QCZ1" s="21"/>
      <c r="QDA1" s="21"/>
      <c r="QDB1" s="21"/>
      <c r="QDC1" s="21"/>
      <c r="QDD1" s="21"/>
      <c r="QDE1" s="20" t="s">
        <v>297</v>
      </c>
      <c r="QDF1" s="21"/>
      <c r="QDG1" s="21"/>
      <c r="QDH1" s="21"/>
      <c r="QDI1" s="21"/>
      <c r="QDJ1" s="21"/>
      <c r="QDK1" s="21"/>
      <c r="QDL1" s="21"/>
      <c r="QDM1" s="21"/>
      <c r="QDN1" s="21"/>
      <c r="QDO1" s="21"/>
      <c r="QDP1" s="21"/>
      <c r="QDQ1" s="21"/>
      <c r="QDR1" s="21"/>
      <c r="QDS1" s="21"/>
      <c r="QDT1" s="21"/>
      <c r="QDU1" s="20" t="s">
        <v>297</v>
      </c>
      <c r="QDV1" s="21"/>
      <c r="QDW1" s="21"/>
      <c r="QDX1" s="21"/>
      <c r="QDY1" s="21"/>
      <c r="QDZ1" s="21"/>
      <c r="QEA1" s="21"/>
      <c r="QEB1" s="21"/>
      <c r="QEC1" s="21"/>
      <c r="QED1" s="21"/>
      <c r="QEE1" s="21"/>
      <c r="QEF1" s="21"/>
      <c r="QEG1" s="21"/>
      <c r="QEH1" s="21"/>
      <c r="QEI1" s="21"/>
      <c r="QEJ1" s="21"/>
      <c r="QEK1" s="20" t="s">
        <v>297</v>
      </c>
      <c r="QEL1" s="21"/>
      <c r="QEM1" s="21"/>
      <c r="QEN1" s="21"/>
      <c r="QEO1" s="21"/>
      <c r="QEP1" s="21"/>
      <c r="QEQ1" s="21"/>
      <c r="QER1" s="21"/>
      <c r="QES1" s="21"/>
      <c r="QET1" s="21"/>
      <c r="QEU1" s="21"/>
      <c r="QEV1" s="21"/>
      <c r="QEW1" s="21"/>
      <c r="QEX1" s="21"/>
      <c r="QEY1" s="21"/>
      <c r="QEZ1" s="21"/>
      <c r="QFA1" s="20" t="s">
        <v>297</v>
      </c>
      <c r="QFB1" s="21"/>
      <c r="QFC1" s="21"/>
      <c r="QFD1" s="21"/>
      <c r="QFE1" s="21"/>
      <c r="QFF1" s="21"/>
      <c r="QFG1" s="21"/>
      <c r="QFH1" s="21"/>
      <c r="QFI1" s="21"/>
      <c r="QFJ1" s="21"/>
      <c r="QFK1" s="21"/>
      <c r="QFL1" s="21"/>
      <c r="QFM1" s="21"/>
      <c r="QFN1" s="21"/>
      <c r="QFO1" s="21"/>
      <c r="QFP1" s="21"/>
      <c r="QFQ1" s="20" t="s">
        <v>297</v>
      </c>
      <c r="QFR1" s="21"/>
      <c r="QFS1" s="21"/>
      <c r="QFT1" s="21"/>
      <c r="QFU1" s="21"/>
      <c r="QFV1" s="21"/>
      <c r="QFW1" s="21"/>
      <c r="QFX1" s="21"/>
      <c r="QFY1" s="21"/>
      <c r="QFZ1" s="21"/>
      <c r="QGA1" s="21"/>
      <c r="QGB1" s="21"/>
      <c r="QGC1" s="21"/>
      <c r="QGD1" s="21"/>
      <c r="QGE1" s="21"/>
      <c r="QGF1" s="21"/>
      <c r="QGG1" s="20" t="s">
        <v>297</v>
      </c>
      <c r="QGH1" s="21"/>
      <c r="QGI1" s="21"/>
      <c r="QGJ1" s="21"/>
      <c r="QGK1" s="21"/>
      <c r="QGL1" s="21"/>
      <c r="QGM1" s="21"/>
      <c r="QGN1" s="21"/>
      <c r="QGO1" s="21"/>
      <c r="QGP1" s="21"/>
      <c r="QGQ1" s="21"/>
      <c r="QGR1" s="21"/>
      <c r="QGS1" s="21"/>
      <c r="QGT1" s="21"/>
      <c r="QGU1" s="21"/>
      <c r="QGV1" s="21"/>
      <c r="QGW1" s="20" t="s">
        <v>297</v>
      </c>
      <c r="QGX1" s="21"/>
      <c r="QGY1" s="21"/>
      <c r="QGZ1" s="21"/>
      <c r="QHA1" s="21"/>
      <c r="QHB1" s="21"/>
      <c r="QHC1" s="21"/>
      <c r="QHD1" s="21"/>
      <c r="QHE1" s="21"/>
      <c r="QHF1" s="21"/>
      <c r="QHG1" s="21"/>
      <c r="QHH1" s="21"/>
      <c r="QHI1" s="21"/>
      <c r="QHJ1" s="21"/>
      <c r="QHK1" s="21"/>
      <c r="QHL1" s="21"/>
      <c r="QHM1" s="20" t="s">
        <v>297</v>
      </c>
      <c r="QHN1" s="21"/>
      <c r="QHO1" s="21"/>
      <c r="QHP1" s="21"/>
      <c r="QHQ1" s="21"/>
      <c r="QHR1" s="21"/>
      <c r="QHS1" s="21"/>
      <c r="QHT1" s="21"/>
      <c r="QHU1" s="21"/>
      <c r="QHV1" s="21"/>
      <c r="QHW1" s="21"/>
      <c r="QHX1" s="21"/>
      <c r="QHY1" s="21"/>
      <c r="QHZ1" s="21"/>
      <c r="QIA1" s="21"/>
      <c r="QIB1" s="21"/>
      <c r="QIC1" s="20" t="s">
        <v>297</v>
      </c>
      <c r="QID1" s="21"/>
      <c r="QIE1" s="21"/>
      <c r="QIF1" s="21"/>
      <c r="QIG1" s="21"/>
      <c r="QIH1" s="21"/>
      <c r="QII1" s="21"/>
      <c r="QIJ1" s="21"/>
      <c r="QIK1" s="21"/>
      <c r="QIL1" s="21"/>
      <c r="QIM1" s="21"/>
      <c r="QIN1" s="21"/>
      <c r="QIO1" s="21"/>
      <c r="QIP1" s="21"/>
      <c r="QIQ1" s="21"/>
      <c r="QIR1" s="21"/>
      <c r="QIS1" s="20" t="s">
        <v>297</v>
      </c>
      <c r="QIT1" s="21"/>
      <c r="QIU1" s="21"/>
      <c r="QIV1" s="21"/>
      <c r="QIW1" s="21"/>
      <c r="QIX1" s="21"/>
      <c r="QIY1" s="21"/>
      <c r="QIZ1" s="21"/>
      <c r="QJA1" s="21"/>
      <c r="QJB1" s="21"/>
      <c r="QJC1" s="21"/>
      <c r="QJD1" s="21"/>
      <c r="QJE1" s="21"/>
      <c r="QJF1" s="21"/>
      <c r="QJG1" s="21"/>
      <c r="QJH1" s="21"/>
      <c r="QJI1" s="20" t="s">
        <v>297</v>
      </c>
      <c r="QJJ1" s="21"/>
      <c r="QJK1" s="21"/>
      <c r="QJL1" s="21"/>
      <c r="QJM1" s="21"/>
      <c r="QJN1" s="21"/>
      <c r="QJO1" s="21"/>
      <c r="QJP1" s="21"/>
      <c r="QJQ1" s="21"/>
      <c r="QJR1" s="21"/>
      <c r="QJS1" s="21"/>
      <c r="QJT1" s="21"/>
      <c r="QJU1" s="21"/>
      <c r="QJV1" s="21"/>
      <c r="QJW1" s="21"/>
      <c r="QJX1" s="21"/>
      <c r="QJY1" s="20" t="s">
        <v>297</v>
      </c>
      <c r="QJZ1" s="21"/>
      <c r="QKA1" s="21"/>
      <c r="QKB1" s="21"/>
      <c r="QKC1" s="21"/>
      <c r="QKD1" s="21"/>
      <c r="QKE1" s="21"/>
      <c r="QKF1" s="21"/>
      <c r="QKG1" s="21"/>
      <c r="QKH1" s="21"/>
      <c r="QKI1" s="21"/>
      <c r="QKJ1" s="21"/>
      <c r="QKK1" s="21"/>
      <c r="QKL1" s="21"/>
      <c r="QKM1" s="21"/>
      <c r="QKN1" s="21"/>
      <c r="QKO1" s="20" t="s">
        <v>297</v>
      </c>
      <c r="QKP1" s="21"/>
      <c r="QKQ1" s="21"/>
      <c r="QKR1" s="21"/>
      <c r="QKS1" s="21"/>
      <c r="QKT1" s="21"/>
      <c r="QKU1" s="21"/>
      <c r="QKV1" s="21"/>
      <c r="QKW1" s="21"/>
      <c r="QKX1" s="21"/>
      <c r="QKY1" s="21"/>
      <c r="QKZ1" s="21"/>
      <c r="QLA1" s="21"/>
      <c r="QLB1" s="21"/>
      <c r="QLC1" s="21"/>
      <c r="QLD1" s="21"/>
      <c r="QLE1" s="20" t="s">
        <v>297</v>
      </c>
      <c r="QLF1" s="21"/>
      <c r="QLG1" s="21"/>
      <c r="QLH1" s="21"/>
      <c r="QLI1" s="21"/>
      <c r="QLJ1" s="21"/>
      <c r="QLK1" s="21"/>
      <c r="QLL1" s="21"/>
      <c r="QLM1" s="21"/>
      <c r="QLN1" s="21"/>
      <c r="QLO1" s="21"/>
      <c r="QLP1" s="21"/>
      <c r="QLQ1" s="21"/>
      <c r="QLR1" s="21"/>
      <c r="QLS1" s="21"/>
      <c r="QLT1" s="21"/>
      <c r="QLU1" s="20" t="s">
        <v>297</v>
      </c>
      <c r="QLV1" s="21"/>
      <c r="QLW1" s="21"/>
      <c r="QLX1" s="21"/>
      <c r="QLY1" s="21"/>
      <c r="QLZ1" s="21"/>
      <c r="QMA1" s="21"/>
      <c r="QMB1" s="21"/>
      <c r="QMC1" s="21"/>
      <c r="QMD1" s="21"/>
      <c r="QME1" s="21"/>
      <c r="QMF1" s="21"/>
      <c r="QMG1" s="21"/>
      <c r="QMH1" s="21"/>
      <c r="QMI1" s="21"/>
      <c r="QMJ1" s="21"/>
      <c r="QMK1" s="20" t="s">
        <v>297</v>
      </c>
      <c r="QML1" s="21"/>
      <c r="QMM1" s="21"/>
      <c r="QMN1" s="21"/>
      <c r="QMO1" s="21"/>
      <c r="QMP1" s="21"/>
      <c r="QMQ1" s="21"/>
      <c r="QMR1" s="21"/>
      <c r="QMS1" s="21"/>
      <c r="QMT1" s="21"/>
      <c r="QMU1" s="21"/>
      <c r="QMV1" s="21"/>
      <c r="QMW1" s="21"/>
      <c r="QMX1" s="21"/>
      <c r="QMY1" s="21"/>
      <c r="QMZ1" s="21"/>
      <c r="QNA1" s="20" t="s">
        <v>297</v>
      </c>
      <c r="QNB1" s="21"/>
      <c r="QNC1" s="21"/>
      <c r="QND1" s="21"/>
      <c r="QNE1" s="21"/>
      <c r="QNF1" s="21"/>
      <c r="QNG1" s="21"/>
      <c r="QNH1" s="21"/>
      <c r="QNI1" s="21"/>
      <c r="QNJ1" s="21"/>
      <c r="QNK1" s="21"/>
      <c r="QNL1" s="21"/>
      <c r="QNM1" s="21"/>
      <c r="QNN1" s="21"/>
      <c r="QNO1" s="21"/>
      <c r="QNP1" s="21"/>
      <c r="QNQ1" s="20" t="s">
        <v>297</v>
      </c>
      <c r="QNR1" s="21"/>
      <c r="QNS1" s="21"/>
      <c r="QNT1" s="21"/>
      <c r="QNU1" s="21"/>
      <c r="QNV1" s="21"/>
      <c r="QNW1" s="21"/>
      <c r="QNX1" s="21"/>
      <c r="QNY1" s="21"/>
      <c r="QNZ1" s="21"/>
      <c r="QOA1" s="21"/>
      <c r="QOB1" s="21"/>
      <c r="QOC1" s="21"/>
      <c r="QOD1" s="21"/>
      <c r="QOE1" s="21"/>
      <c r="QOF1" s="21"/>
      <c r="QOG1" s="20" t="s">
        <v>297</v>
      </c>
      <c r="QOH1" s="21"/>
      <c r="QOI1" s="21"/>
      <c r="QOJ1" s="21"/>
      <c r="QOK1" s="21"/>
      <c r="QOL1" s="21"/>
      <c r="QOM1" s="21"/>
      <c r="QON1" s="21"/>
      <c r="QOO1" s="21"/>
      <c r="QOP1" s="21"/>
      <c r="QOQ1" s="21"/>
      <c r="QOR1" s="21"/>
      <c r="QOS1" s="21"/>
      <c r="QOT1" s="21"/>
      <c r="QOU1" s="21"/>
      <c r="QOV1" s="21"/>
      <c r="QOW1" s="20" t="s">
        <v>297</v>
      </c>
      <c r="QOX1" s="21"/>
      <c r="QOY1" s="21"/>
      <c r="QOZ1" s="21"/>
      <c r="QPA1" s="21"/>
      <c r="QPB1" s="21"/>
      <c r="QPC1" s="21"/>
      <c r="QPD1" s="21"/>
      <c r="QPE1" s="21"/>
      <c r="QPF1" s="21"/>
      <c r="QPG1" s="21"/>
      <c r="QPH1" s="21"/>
      <c r="QPI1" s="21"/>
      <c r="QPJ1" s="21"/>
      <c r="QPK1" s="21"/>
      <c r="QPL1" s="21"/>
      <c r="QPM1" s="20" t="s">
        <v>297</v>
      </c>
      <c r="QPN1" s="21"/>
      <c r="QPO1" s="21"/>
      <c r="QPP1" s="21"/>
      <c r="QPQ1" s="21"/>
      <c r="QPR1" s="21"/>
      <c r="QPS1" s="21"/>
      <c r="QPT1" s="21"/>
      <c r="QPU1" s="21"/>
      <c r="QPV1" s="21"/>
      <c r="QPW1" s="21"/>
      <c r="QPX1" s="21"/>
      <c r="QPY1" s="21"/>
      <c r="QPZ1" s="21"/>
      <c r="QQA1" s="21"/>
      <c r="QQB1" s="21"/>
      <c r="QQC1" s="20" t="s">
        <v>297</v>
      </c>
      <c r="QQD1" s="21"/>
      <c r="QQE1" s="21"/>
      <c r="QQF1" s="21"/>
      <c r="QQG1" s="21"/>
      <c r="QQH1" s="21"/>
      <c r="QQI1" s="21"/>
      <c r="QQJ1" s="21"/>
      <c r="QQK1" s="21"/>
      <c r="QQL1" s="21"/>
      <c r="QQM1" s="21"/>
      <c r="QQN1" s="21"/>
      <c r="QQO1" s="21"/>
      <c r="QQP1" s="21"/>
      <c r="QQQ1" s="21"/>
      <c r="QQR1" s="21"/>
      <c r="QQS1" s="20" t="s">
        <v>297</v>
      </c>
      <c r="QQT1" s="21"/>
      <c r="QQU1" s="21"/>
      <c r="QQV1" s="21"/>
      <c r="QQW1" s="21"/>
      <c r="QQX1" s="21"/>
      <c r="QQY1" s="21"/>
      <c r="QQZ1" s="21"/>
      <c r="QRA1" s="21"/>
      <c r="QRB1" s="21"/>
      <c r="QRC1" s="21"/>
      <c r="QRD1" s="21"/>
      <c r="QRE1" s="21"/>
      <c r="QRF1" s="21"/>
      <c r="QRG1" s="21"/>
      <c r="QRH1" s="21"/>
      <c r="QRI1" s="20" t="s">
        <v>297</v>
      </c>
      <c r="QRJ1" s="21"/>
      <c r="QRK1" s="21"/>
      <c r="QRL1" s="21"/>
      <c r="QRM1" s="21"/>
      <c r="QRN1" s="21"/>
      <c r="QRO1" s="21"/>
      <c r="QRP1" s="21"/>
      <c r="QRQ1" s="21"/>
      <c r="QRR1" s="21"/>
      <c r="QRS1" s="21"/>
      <c r="QRT1" s="21"/>
      <c r="QRU1" s="21"/>
      <c r="QRV1" s="21"/>
      <c r="QRW1" s="21"/>
      <c r="QRX1" s="21"/>
      <c r="QRY1" s="20" t="s">
        <v>297</v>
      </c>
      <c r="QRZ1" s="21"/>
      <c r="QSA1" s="21"/>
      <c r="QSB1" s="21"/>
      <c r="QSC1" s="21"/>
      <c r="QSD1" s="21"/>
      <c r="QSE1" s="21"/>
      <c r="QSF1" s="21"/>
      <c r="QSG1" s="21"/>
      <c r="QSH1" s="21"/>
      <c r="QSI1" s="21"/>
      <c r="QSJ1" s="21"/>
      <c r="QSK1" s="21"/>
      <c r="QSL1" s="21"/>
      <c r="QSM1" s="21"/>
      <c r="QSN1" s="21"/>
      <c r="QSO1" s="20" t="s">
        <v>297</v>
      </c>
      <c r="QSP1" s="21"/>
      <c r="QSQ1" s="21"/>
      <c r="QSR1" s="21"/>
      <c r="QSS1" s="21"/>
      <c r="QST1" s="21"/>
      <c r="QSU1" s="21"/>
      <c r="QSV1" s="21"/>
      <c r="QSW1" s="21"/>
      <c r="QSX1" s="21"/>
      <c r="QSY1" s="21"/>
      <c r="QSZ1" s="21"/>
      <c r="QTA1" s="21"/>
      <c r="QTB1" s="21"/>
      <c r="QTC1" s="21"/>
      <c r="QTD1" s="21"/>
      <c r="QTE1" s="20" t="s">
        <v>297</v>
      </c>
      <c r="QTF1" s="21"/>
      <c r="QTG1" s="21"/>
      <c r="QTH1" s="21"/>
      <c r="QTI1" s="21"/>
      <c r="QTJ1" s="21"/>
      <c r="QTK1" s="21"/>
      <c r="QTL1" s="21"/>
      <c r="QTM1" s="21"/>
      <c r="QTN1" s="21"/>
      <c r="QTO1" s="21"/>
      <c r="QTP1" s="21"/>
      <c r="QTQ1" s="21"/>
      <c r="QTR1" s="21"/>
      <c r="QTS1" s="21"/>
      <c r="QTT1" s="21"/>
      <c r="QTU1" s="20" t="s">
        <v>297</v>
      </c>
      <c r="QTV1" s="21"/>
      <c r="QTW1" s="21"/>
      <c r="QTX1" s="21"/>
      <c r="QTY1" s="21"/>
      <c r="QTZ1" s="21"/>
      <c r="QUA1" s="21"/>
      <c r="QUB1" s="21"/>
      <c r="QUC1" s="21"/>
      <c r="QUD1" s="21"/>
      <c r="QUE1" s="21"/>
      <c r="QUF1" s="21"/>
      <c r="QUG1" s="21"/>
      <c r="QUH1" s="21"/>
      <c r="QUI1" s="21"/>
      <c r="QUJ1" s="21"/>
      <c r="QUK1" s="20" t="s">
        <v>297</v>
      </c>
      <c r="QUL1" s="21"/>
      <c r="QUM1" s="21"/>
      <c r="QUN1" s="21"/>
      <c r="QUO1" s="21"/>
      <c r="QUP1" s="21"/>
      <c r="QUQ1" s="21"/>
      <c r="QUR1" s="21"/>
      <c r="QUS1" s="21"/>
      <c r="QUT1" s="21"/>
      <c r="QUU1" s="21"/>
      <c r="QUV1" s="21"/>
      <c r="QUW1" s="21"/>
      <c r="QUX1" s="21"/>
      <c r="QUY1" s="21"/>
      <c r="QUZ1" s="21"/>
      <c r="QVA1" s="20" t="s">
        <v>297</v>
      </c>
      <c r="QVB1" s="21"/>
      <c r="QVC1" s="21"/>
      <c r="QVD1" s="21"/>
      <c r="QVE1" s="21"/>
      <c r="QVF1" s="21"/>
      <c r="QVG1" s="21"/>
      <c r="QVH1" s="21"/>
      <c r="QVI1" s="21"/>
      <c r="QVJ1" s="21"/>
      <c r="QVK1" s="21"/>
      <c r="QVL1" s="21"/>
      <c r="QVM1" s="21"/>
      <c r="QVN1" s="21"/>
      <c r="QVO1" s="21"/>
      <c r="QVP1" s="21"/>
      <c r="QVQ1" s="20" t="s">
        <v>297</v>
      </c>
      <c r="QVR1" s="21"/>
      <c r="QVS1" s="21"/>
      <c r="QVT1" s="21"/>
      <c r="QVU1" s="21"/>
      <c r="QVV1" s="21"/>
      <c r="QVW1" s="21"/>
      <c r="QVX1" s="21"/>
      <c r="QVY1" s="21"/>
      <c r="QVZ1" s="21"/>
      <c r="QWA1" s="21"/>
      <c r="QWB1" s="21"/>
      <c r="QWC1" s="21"/>
      <c r="QWD1" s="21"/>
      <c r="QWE1" s="21"/>
      <c r="QWF1" s="21"/>
      <c r="QWG1" s="20" t="s">
        <v>297</v>
      </c>
      <c r="QWH1" s="21"/>
      <c r="QWI1" s="21"/>
      <c r="QWJ1" s="21"/>
      <c r="QWK1" s="21"/>
      <c r="QWL1" s="21"/>
      <c r="QWM1" s="21"/>
      <c r="QWN1" s="21"/>
      <c r="QWO1" s="21"/>
      <c r="QWP1" s="21"/>
      <c r="QWQ1" s="21"/>
      <c r="QWR1" s="21"/>
      <c r="QWS1" s="21"/>
      <c r="QWT1" s="21"/>
      <c r="QWU1" s="21"/>
      <c r="QWV1" s="21"/>
      <c r="QWW1" s="20" t="s">
        <v>297</v>
      </c>
      <c r="QWX1" s="21"/>
      <c r="QWY1" s="21"/>
      <c r="QWZ1" s="21"/>
      <c r="QXA1" s="21"/>
      <c r="QXB1" s="21"/>
      <c r="QXC1" s="21"/>
      <c r="QXD1" s="21"/>
      <c r="QXE1" s="21"/>
      <c r="QXF1" s="21"/>
      <c r="QXG1" s="21"/>
      <c r="QXH1" s="21"/>
      <c r="QXI1" s="21"/>
      <c r="QXJ1" s="21"/>
      <c r="QXK1" s="21"/>
      <c r="QXL1" s="21"/>
      <c r="QXM1" s="20" t="s">
        <v>297</v>
      </c>
      <c r="QXN1" s="21"/>
      <c r="QXO1" s="21"/>
      <c r="QXP1" s="21"/>
      <c r="QXQ1" s="21"/>
      <c r="QXR1" s="21"/>
      <c r="QXS1" s="21"/>
      <c r="QXT1" s="21"/>
      <c r="QXU1" s="21"/>
      <c r="QXV1" s="21"/>
      <c r="QXW1" s="21"/>
      <c r="QXX1" s="21"/>
      <c r="QXY1" s="21"/>
      <c r="QXZ1" s="21"/>
      <c r="QYA1" s="21"/>
      <c r="QYB1" s="21"/>
      <c r="QYC1" s="20" t="s">
        <v>297</v>
      </c>
      <c r="QYD1" s="21"/>
      <c r="QYE1" s="21"/>
      <c r="QYF1" s="21"/>
      <c r="QYG1" s="21"/>
      <c r="QYH1" s="21"/>
      <c r="QYI1" s="21"/>
      <c r="QYJ1" s="21"/>
      <c r="QYK1" s="21"/>
      <c r="QYL1" s="21"/>
      <c r="QYM1" s="21"/>
      <c r="QYN1" s="21"/>
      <c r="QYO1" s="21"/>
      <c r="QYP1" s="21"/>
      <c r="QYQ1" s="21"/>
      <c r="QYR1" s="21"/>
      <c r="QYS1" s="20" t="s">
        <v>297</v>
      </c>
      <c r="QYT1" s="21"/>
      <c r="QYU1" s="21"/>
      <c r="QYV1" s="21"/>
      <c r="QYW1" s="21"/>
      <c r="QYX1" s="21"/>
      <c r="QYY1" s="21"/>
      <c r="QYZ1" s="21"/>
      <c r="QZA1" s="21"/>
      <c r="QZB1" s="21"/>
      <c r="QZC1" s="21"/>
      <c r="QZD1" s="21"/>
      <c r="QZE1" s="21"/>
      <c r="QZF1" s="21"/>
      <c r="QZG1" s="21"/>
      <c r="QZH1" s="21"/>
      <c r="QZI1" s="20" t="s">
        <v>297</v>
      </c>
      <c r="QZJ1" s="21"/>
      <c r="QZK1" s="21"/>
      <c r="QZL1" s="21"/>
      <c r="QZM1" s="21"/>
      <c r="QZN1" s="21"/>
      <c r="QZO1" s="21"/>
      <c r="QZP1" s="21"/>
      <c r="QZQ1" s="21"/>
      <c r="QZR1" s="21"/>
      <c r="QZS1" s="21"/>
      <c r="QZT1" s="21"/>
      <c r="QZU1" s="21"/>
      <c r="QZV1" s="21"/>
      <c r="QZW1" s="21"/>
      <c r="QZX1" s="21"/>
      <c r="QZY1" s="20" t="s">
        <v>297</v>
      </c>
      <c r="QZZ1" s="21"/>
      <c r="RAA1" s="21"/>
      <c r="RAB1" s="21"/>
      <c r="RAC1" s="21"/>
      <c r="RAD1" s="21"/>
      <c r="RAE1" s="21"/>
      <c r="RAF1" s="21"/>
      <c r="RAG1" s="21"/>
      <c r="RAH1" s="21"/>
      <c r="RAI1" s="21"/>
      <c r="RAJ1" s="21"/>
      <c r="RAK1" s="21"/>
      <c r="RAL1" s="21"/>
      <c r="RAM1" s="21"/>
      <c r="RAN1" s="21"/>
      <c r="RAO1" s="20" t="s">
        <v>297</v>
      </c>
      <c r="RAP1" s="21"/>
      <c r="RAQ1" s="21"/>
      <c r="RAR1" s="21"/>
      <c r="RAS1" s="21"/>
      <c r="RAT1" s="21"/>
      <c r="RAU1" s="21"/>
      <c r="RAV1" s="21"/>
      <c r="RAW1" s="21"/>
      <c r="RAX1" s="21"/>
      <c r="RAY1" s="21"/>
      <c r="RAZ1" s="21"/>
      <c r="RBA1" s="21"/>
      <c r="RBB1" s="21"/>
      <c r="RBC1" s="21"/>
      <c r="RBD1" s="21"/>
      <c r="RBE1" s="20" t="s">
        <v>297</v>
      </c>
      <c r="RBF1" s="21"/>
      <c r="RBG1" s="21"/>
      <c r="RBH1" s="21"/>
      <c r="RBI1" s="21"/>
      <c r="RBJ1" s="21"/>
      <c r="RBK1" s="21"/>
      <c r="RBL1" s="21"/>
      <c r="RBM1" s="21"/>
      <c r="RBN1" s="21"/>
      <c r="RBO1" s="21"/>
      <c r="RBP1" s="21"/>
      <c r="RBQ1" s="21"/>
      <c r="RBR1" s="21"/>
      <c r="RBS1" s="21"/>
      <c r="RBT1" s="21"/>
      <c r="RBU1" s="20" t="s">
        <v>297</v>
      </c>
      <c r="RBV1" s="21"/>
      <c r="RBW1" s="21"/>
      <c r="RBX1" s="21"/>
      <c r="RBY1" s="21"/>
      <c r="RBZ1" s="21"/>
      <c r="RCA1" s="21"/>
      <c r="RCB1" s="21"/>
      <c r="RCC1" s="21"/>
      <c r="RCD1" s="21"/>
      <c r="RCE1" s="21"/>
      <c r="RCF1" s="21"/>
      <c r="RCG1" s="21"/>
      <c r="RCH1" s="21"/>
      <c r="RCI1" s="21"/>
      <c r="RCJ1" s="21"/>
      <c r="RCK1" s="20" t="s">
        <v>297</v>
      </c>
      <c r="RCL1" s="21"/>
      <c r="RCM1" s="21"/>
      <c r="RCN1" s="21"/>
      <c r="RCO1" s="21"/>
      <c r="RCP1" s="21"/>
      <c r="RCQ1" s="21"/>
      <c r="RCR1" s="21"/>
      <c r="RCS1" s="21"/>
      <c r="RCT1" s="21"/>
      <c r="RCU1" s="21"/>
      <c r="RCV1" s="21"/>
      <c r="RCW1" s="21"/>
      <c r="RCX1" s="21"/>
      <c r="RCY1" s="21"/>
      <c r="RCZ1" s="21"/>
      <c r="RDA1" s="20" t="s">
        <v>297</v>
      </c>
      <c r="RDB1" s="21"/>
      <c r="RDC1" s="21"/>
      <c r="RDD1" s="21"/>
      <c r="RDE1" s="21"/>
      <c r="RDF1" s="21"/>
      <c r="RDG1" s="21"/>
      <c r="RDH1" s="21"/>
      <c r="RDI1" s="21"/>
      <c r="RDJ1" s="21"/>
      <c r="RDK1" s="21"/>
      <c r="RDL1" s="21"/>
      <c r="RDM1" s="21"/>
      <c r="RDN1" s="21"/>
      <c r="RDO1" s="21"/>
      <c r="RDP1" s="21"/>
      <c r="RDQ1" s="20" t="s">
        <v>297</v>
      </c>
      <c r="RDR1" s="21"/>
      <c r="RDS1" s="21"/>
      <c r="RDT1" s="21"/>
      <c r="RDU1" s="21"/>
      <c r="RDV1" s="21"/>
      <c r="RDW1" s="21"/>
      <c r="RDX1" s="21"/>
      <c r="RDY1" s="21"/>
      <c r="RDZ1" s="21"/>
      <c r="REA1" s="21"/>
      <c r="REB1" s="21"/>
      <c r="REC1" s="21"/>
      <c r="RED1" s="21"/>
      <c r="REE1" s="21"/>
      <c r="REF1" s="21"/>
      <c r="REG1" s="20" t="s">
        <v>297</v>
      </c>
      <c r="REH1" s="21"/>
      <c r="REI1" s="21"/>
      <c r="REJ1" s="21"/>
      <c r="REK1" s="21"/>
      <c r="REL1" s="21"/>
      <c r="REM1" s="21"/>
      <c r="REN1" s="21"/>
      <c r="REO1" s="21"/>
      <c r="REP1" s="21"/>
      <c r="REQ1" s="21"/>
      <c r="RER1" s="21"/>
      <c r="RES1" s="21"/>
      <c r="RET1" s="21"/>
      <c r="REU1" s="21"/>
      <c r="REV1" s="21"/>
      <c r="REW1" s="20" t="s">
        <v>297</v>
      </c>
      <c r="REX1" s="21"/>
      <c r="REY1" s="21"/>
      <c r="REZ1" s="21"/>
      <c r="RFA1" s="21"/>
      <c r="RFB1" s="21"/>
      <c r="RFC1" s="21"/>
      <c r="RFD1" s="21"/>
      <c r="RFE1" s="21"/>
      <c r="RFF1" s="21"/>
      <c r="RFG1" s="21"/>
      <c r="RFH1" s="21"/>
      <c r="RFI1" s="21"/>
      <c r="RFJ1" s="21"/>
      <c r="RFK1" s="21"/>
      <c r="RFL1" s="21"/>
      <c r="RFM1" s="20" t="s">
        <v>297</v>
      </c>
      <c r="RFN1" s="21"/>
      <c r="RFO1" s="21"/>
      <c r="RFP1" s="21"/>
      <c r="RFQ1" s="21"/>
      <c r="RFR1" s="21"/>
      <c r="RFS1" s="21"/>
      <c r="RFT1" s="21"/>
      <c r="RFU1" s="21"/>
      <c r="RFV1" s="21"/>
      <c r="RFW1" s="21"/>
      <c r="RFX1" s="21"/>
      <c r="RFY1" s="21"/>
      <c r="RFZ1" s="21"/>
      <c r="RGA1" s="21"/>
      <c r="RGB1" s="21"/>
      <c r="RGC1" s="20" t="s">
        <v>297</v>
      </c>
      <c r="RGD1" s="21"/>
      <c r="RGE1" s="21"/>
      <c r="RGF1" s="21"/>
      <c r="RGG1" s="21"/>
      <c r="RGH1" s="21"/>
      <c r="RGI1" s="21"/>
      <c r="RGJ1" s="21"/>
      <c r="RGK1" s="21"/>
      <c r="RGL1" s="21"/>
      <c r="RGM1" s="21"/>
      <c r="RGN1" s="21"/>
      <c r="RGO1" s="21"/>
      <c r="RGP1" s="21"/>
      <c r="RGQ1" s="21"/>
      <c r="RGR1" s="21"/>
      <c r="RGS1" s="20" t="s">
        <v>297</v>
      </c>
      <c r="RGT1" s="21"/>
      <c r="RGU1" s="21"/>
      <c r="RGV1" s="21"/>
      <c r="RGW1" s="21"/>
      <c r="RGX1" s="21"/>
      <c r="RGY1" s="21"/>
      <c r="RGZ1" s="21"/>
      <c r="RHA1" s="21"/>
      <c r="RHB1" s="21"/>
      <c r="RHC1" s="21"/>
      <c r="RHD1" s="21"/>
      <c r="RHE1" s="21"/>
      <c r="RHF1" s="21"/>
      <c r="RHG1" s="21"/>
      <c r="RHH1" s="21"/>
      <c r="RHI1" s="20" t="s">
        <v>297</v>
      </c>
      <c r="RHJ1" s="21"/>
      <c r="RHK1" s="21"/>
      <c r="RHL1" s="21"/>
      <c r="RHM1" s="21"/>
      <c r="RHN1" s="21"/>
      <c r="RHO1" s="21"/>
      <c r="RHP1" s="21"/>
      <c r="RHQ1" s="21"/>
      <c r="RHR1" s="21"/>
      <c r="RHS1" s="21"/>
      <c r="RHT1" s="21"/>
      <c r="RHU1" s="21"/>
      <c r="RHV1" s="21"/>
      <c r="RHW1" s="21"/>
      <c r="RHX1" s="21"/>
      <c r="RHY1" s="20" t="s">
        <v>297</v>
      </c>
      <c r="RHZ1" s="21"/>
      <c r="RIA1" s="21"/>
      <c r="RIB1" s="21"/>
      <c r="RIC1" s="21"/>
      <c r="RID1" s="21"/>
      <c r="RIE1" s="21"/>
      <c r="RIF1" s="21"/>
      <c r="RIG1" s="21"/>
      <c r="RIH1" s="21"/>
      <c r="RII1" s="21"/>
      <c r="RIJ1" s="21"/>
      <c r="RIK1" s="21"/>
      <c r="RIL1" s="21"/>
      <c r="RIM1" s="21"/>
      <c r="RIN1" s="21"/>
      <c r="RIO1" s="20" t="s">
        <v>297</v>
      </c>
      <c r="RIP1" s="21"/>
      <c r="RIQ1" s="21"/>
      <c r="RIR1" s="21"/>
      <c r="RIS1" s="21"/>
      <c r="RIT1" s="21"/>
      <c r="RIU1" s="21"/>
      <c r="RIV1" s="21"/>
      <c r="RIW1" s="21"/>
      <c r="RIX1" s="21"/>
      <c r="RIY1" s="21"/>
      <c r="RIZ1" s="21"/>
      <c r="RJA1" s="21"/>
      <c r="RJB1" s="21"/>
      <c r="RJC1" s="21"/>
      <c r="RJD1" s="21"/>
      <c r="RJE1" s="20" t="s">
        <v>297</v>
      </c>
      <c r="RJF1" s="21"/>
      <c r="RJG1" s="21"/>
      <c r="RJH1" s="21"/>
      <c r="RJI1" s="21"/>
      <c r="RJJ1" s="21"/>
      <c r="RJK1" s="21"/>
      <c r="RJL1" s="21"/>
      <c r="RJM1" s="21"/>
      <c r="RJN1" s="21"/>
      <c r="RJO1" s="21"/>
      <c r="RJP1" s="21"/>
      <c r="RJQ1" s="21"/>
      <c r="RJR1" s="21"/>
      <c r="RJS1" s="21"/>
      <c r="RJT1" s="21"/>
      <c r="RJU1" s="20" t="s">
        <v>297</v>
      </c>
      <c r="RJV1" s="21"/>
      <c r="RJW1" s="21"/>
      <c r="RJX1" s="21"/>
      <c r="RJY1" s="21"/>
      <c r="RJZ1" s="21"/>
      <c r="RKA1" s="21"/>
      <c r="RKB1" s="21"/>
      <c r="RKC1" s="21"/>
      <c r="RKD1" s="21"/>
      <c r="RKE1" s="21"/>
      <c r="RKF1" s="21"/>
      <c r="RKG1" s="21"/>
      <c r="RKH1" s="21"/>
      <c r="RKI1" s="21"/>
      <c r="RKJ1" s="21"/>
      <c r="RKK1" s="20" t="s">
        <v>297</v>
      </c>
      <c r="RKL1" s="21"/>
      <c r="RKM1" s="21"/>
      <c r="RKN1" s="21"/>
      <c r="RKO1" s="21"/>
      <c r="RKP1" s="21"/>
      <c r="RKQ1" s="21"/>
      <c r="RKR1" s="21"/>
      <c r="RKS1" s="21"/>
      <c r="RKT1" s="21"/>
      <c r="RKU1" s="21"/>
      <c r="RKV1" s="21"/>
      <c r="RKW1" s="21"/>
      <c r="RKX1" s="21"/>
      <c r="RKY1" s="21"/>
      <c r="RKZ1" s="21"/>
      <c r="RLA1" s="20" t="s">
        <v>297</v>
      </c>
      <c r="RLB1" s="21"/>
      <c r="RLC1" s="21"/>
      <c r="RLD1" s="21"/>
      <c r="RLE1" s="21"/>
      <c r="RLF1" s="21"/>
      <c r="RLG1" s="21"/>
      <c r="RLH1" s="21"/>
      <c r="RLI1" s="21"/>
      <c r="RLJ1" s="21"/>
      <c r="RLK1" s="21"/>
      <c r="RLL1" s="21"/>
      <c r="RLM1" s="21"/>
      <c r="RLN1" s="21"/>
      <c r="RLO1" s="21"/>
      <c r="RLP1" s="21"/>
      <c r="RLQ1" s="20" t="s">
        <v>297</v>
      </c>
      <c r="RLR1" s="21"/>
      <c r="RLS1" s="21"/>
      <c r="RLT1" s="21"/>
      <c r="RLU1" s="21"/>
      <c r="RLV1" s="21"/>
      <c r="RLW1" s="21"/>
      <c r="RLX1" s="21"/>
      <c r="RLY1" s="21"/>
      <c r="RLZ1" s="21"/>
      <c r="RMA1" s="21"/>
      <c r="RMB1" s="21"/>
      <c r="RMC1" s="21"/>
      <c r="RMD1" s="21"/>
      <c r="RME1" s="21"/>
      <c r="RMF1" s="21"/>
      <c r="RMG1" s="20" t="s">
        <v>297</v>
      </c>
      <c r="RMH1" s="21"/>
      <c r="RMI1" s="21"/>
      <c r="RMJ1" s="21"/>
      <c r="RMK1" s="21"/>
      <c r="RML1" s="21"/>
      <c r="RMM1" s="21"/>
      <c r="RMN1" s="21"/>
      <c r="RMO1" s="21"/>
      <c r="RMP1" s="21"/>
      <c r="RMQ1" s="21"/>
      <c r="RMR1" s="21"/>
      <c r="RMS1" s="21"/>
      <c r="RMT1" s="21"/>
      <c r="RMU1" s="21"/>
      <c r="RMV1" s="21"/>
      <c r="RMW1" s="20" t="s">
        <v>297</v>
      </c>
      <c r="RMX1" s="21"/>
      <c r="RMY1" s="21"/>
      <c r="RMZ1" s="21"/>
      <c r="RNA1" s="21"/>
      <c r="RNB1" s="21"/>
      <c r="RNC1" s="21"/>
      <c r="RND1" s="21"/>
      <c r="RNE1" s="21"/>
      <c r="RNF1" s="21"/>
      <c r="RNG1" s="21"/>
      <c r="RNH1" s="21"/>
      <c r="RNI1" s="21"/>
      <c r="RNJ1" s="21"/>
      <c r="RNK1" s="21"/>
      <c r="RNL1" s="21"/>
      <c r="RNM1" s="20" t="s">
        <v>297</v>
      </c>
      <c r="RNN1" s="21"/>
      <c r="RNO1" s="21"/>
      <c r="RNP1" s="21"/>
      <c r="RNQ1" s="21"/>
      <c r="RNR1" s="21"/>
      <c r="RNS1" s="21"/>
      <c r="RNT1" s="21"/>
      <c r="RNU1" s="21"/>
      <c r="RNV1" s="21"/>
      <c r="RNW1" s="21"/>
      <c r="RNX1" s="21"/>
      <c r="RNY1" s="21"/>
      <c r="RNZ1" s="21"/>
      <c r="ROA1" s="21"/>
      <c r="ROB1" s="21"/>
      <c r="ROC1" s="20" t="s">
        <v>297</v>
      </c>
      <c r="ROD1" s="21"/>
      <c r="ROE1" s="21"/>
      <c r="ROF1" s="21"/>
      <c r="ROG1" s="21"/>
      <c r="ROH1" s="21"/>
      <c r="ROI1" s="21"/>
      <c r="ROJ1" s="21"/>
      <c r="ROK1" s="21"/>
      <c r="ROL1" s="21"/>
      <c r="ROM1" s="21"/>
      <c r="RON1" s="21"/>
      <c r="ROO1" s="21"/>
      <c r="ROP1" s="21"/>
      <c r="ROQ1" s="21"/>
      <c r="ROR1" s="21"/>
      <c r="ROS1" s="20" t="s">
        <v>297</v>
      </c>
      <c r="ROT1" s="21"/>
      <c r="ROU1" s="21"/>
      <c r="ROV1" s="21"/>
      <c r="ROW1" s="21"/>
      <c r="ROX1" s="21"/>
      <c r="ROY1" s="21"/>
      <c r="ROZ1" s="21"/>
      <c r="RPA1" s="21"/>
      <c r="RPB1" s="21"/>
      <c r="RPC1" s="21"/>
      <c r="RPD1" s="21"/>
      <c r="RPE1" s="21"/>
      <c r="RPF1" s="21"/>
      <c r="RPG1" s="21"/>
      <c r="RPH1" s="21"/>
      <c r="RPI1" s="20" t="s">
        <v>297</v>
      </c>
      <c r="RPJ1" s="21"/>
      <c r="RPK1" s="21"/>
      <c r="RPL1" s="21"/>
      <c r="RPM1" s="21"/>
      <c r="RPN1" s="21"/>
      <c r="RPO1" s="21"/>
      <c r="RPP1" s="21"/>
      <c r="RPQ1" s="21"/>
      <c r="RPR1" s="21"/>
      <c r="RPS1" s="21"/>
      <c r="RPT1" s="21"/>
      <c r="RPU1" s="21"/>
      <c r="RPV1" s="21"/>
      <c r="RPW1" s="21"/>
      <c r="RPX1" s="21"/>
      <c r="RPY1" s="20" t="s">
        <v>297</v>
      </c>
      <c r="RPZ1" s="21"/>
      <c r="RQA1" s="21"/>
      <c r="RQB1" s="21"/>
      <c r="RQC1" s="21"/>
      <c r="RQD1" s="21"/>
      <c r="RQE1" s="21"/>
      <c r="RQF1" s="21"/>
      <c r="RQG1" s="21"/>
      <c r="RQH1" s="21"/>
      <c r="RQI1" s="21"/>
      <c r="RQJ1" s="21"/>
      <c r="RQK1" s="21"/>
      <c r="RQL1" s="21"/>
      <c r="RQM1" s="21"/>
      <c r="RQN1" s="21"/>
      <c r="RQO1" s="20" t="s">
        <v>297</v>
      </c>
      <c r="RQP1" s="21"/>
      <c r="RQQ1" s="21"/>
      <c r="RQR1" s="21"/>
      <c r="RQS1" s="21"/>
      <c r="RQT1" s="21"/>
      <c r="RQU1" s="21"/>
      <c r="RQV1" s="21"/>
      <c r="RQW1" s="21"/>
      <c r="RQX1" s="21"/>
      <c r="RQY1" s="21"/>
      <c r="RQZ1" s="21"/>
      <c r="RRA1" s="21"/>
      <c r="RRB1" s="21"/>
      <c r="RRC1" s="21"/>
      <c r="RRD1" s="21"/>
      <c r="RRE1" s="20" t="s">
        <v>297</v>
      </c>
      <c r="RRF1" s="21"/>
      <c r="RRG1" s="21"/>
      <c r="RRH1" s="21"/>
      <c r="RRI1" s="21"/>
      <c r="RRJ1" s="21"/>
      <c r="RRK1" s="21"/>
      <c r="RRL1" s="21"/>
      <c r="RRM1" s="21"/>
      <c r="RRN1" s="21"/>
      <c r="RRO1" s="21"/>
      <c r="RRP1" s="21"/>
      <c r="RRQ1" s="21"/>
      <c r="RRR1" s="21"/>
      <c r="RRS1" s="21"/>
      <c r="RRT1" s="21"/>
      <c r="RRU1" s="20" t="s">
        <v>297</v>
      </c>
      <c r="RRV1" s="21"/>
      <c r="RRW1" s="21"/>
      <c r="RRX1" s="21"/>
      <c r="RRY1" s="21"/>
      <c r="RRZ1" s="21"/>
      <c r="RSA1" s="21"/>
      <c r="RSB1" s="21"/>
      <c r="RSC1" s="21"/>
      <c r="RSD1" s="21"/>
      <c r="RSE1" s="21"/>
      <c r="RSF1" s="21"/>
      <c r="RSG1" s="21"/>
      <c r="RSH1" s="21"/>
      <c r="RSI1" s="21"/>
      <c r="RSJ1" s="21"/>
      <c r="RSK1" s="20" t="s">
        <v>297</v>
      </c>
      <c r="RSL1" s="21"/>
      <c r="RSM1" s="21"/>
      <c r="RSN1" s="21"/>
      <c r="RSO1" s="21"/>
      <c r="RSP1" s="21"/>
      <c r="RSQ1" s="21"/>
      <c r="RSR1" s="21"/>
      <c r="RSS1" s="21"/>
      <c r="RST1" s="21"/>
      <c r="RSU1" s="21"/>
      <c r="RSV1" s="21"/>
      <c r="RSW1" s="21"/>
      <c r="RSX1" s="21"/>
      <c r="RSY1" s="21"/>
      <c r="RSZ1" s="21"/>
      <c r="RTA1" s="20" t="s">
        <v>297</v>
      </c>
      <c r="RTB1" s="21"/>
      <c r="RTC1" s="21"/>
      <c r="RTD1" s="21"/>
      <c r="RTE1" s="21"/>
      <c r="RTF1" s="21"/>
      <c r="RTG1" s="21"/>
      <c r="RTH1" s="21"/>
      <c r="RTI1" s="21"/>
      <c r="RTJ1" s="21"/>
      <c r="RTK1" s="21"/>
      <c r="RTL1" s="21"/>
      <c r="RTM1" s="21"/>
      <c r="RTN1" s="21"/>
      <c r="RTO1" s="21"/>
      <c r="RTP1" s="21"/>
      <c r="RTQ1" s="20" t="s">
        <v>297</v>
      </c>
      <c r="RTR1" s="21"/>
      <c r="RTS1" s="21"/>
      <c r="RTT1" s="21"/>
      <c r="RTU1" s="21"/>
      <c r="RTV1" s="21"/>
      <c r="RTW1" s="21"/>
      <c r="RTX1" s="21"/>
      <c r="RTY1" s="21"/>
      <c r="RTZ1" s="21"/>
      <c r="RUA1" s="21"/>
      <c r="RUB1" s="21"/>
      <c r="RUC1" s="21"/>
      <c r="RUD1" s="21"/>
      <c r="RUE1" s="21"/>
      <c r="RUF1" s="21"/>
      <c r="RUG1" s="20" t="s">
        <v>297</v>
      </c>
      <c r="RUH1" s="21"/>
      <c r="RUI1" s="21"/>
      <c r="RUJ1" s="21"/>
      <c r="RUK1" s="21"/>
      <c r="RUL1" s="21"/>
      <c r="RUM1" s="21"/>
      <c r="RUN1" s="21"/>
      <c r="RUO1" s="21"/>
      <c r="RUP1" s="21"/>
      <c r="RUQ1" s="21"/>
      <c r="RUR1" s="21"/>
      <c r="RUS1" s="21"/>
      <c r="RUT1" s="21"/>
      <c r="RUU1" s="21"/>
      <c r="RUV1" s="21"/>
      <c r="RUW1" s="20" t="s">
        <v>297</v>
      </c>
      <c r="RUX1" s="21"/>
      <c r="RUY1" s="21"/>
      <c r="RUZ1" s="21"/>
      <c r="RVA1" s="21"/>
      <c r="RVB1" s="21"/>
      <c r="RVC1" s="21"/>
      <c r="RVD1" s="21"/>
      <c r="RVE1" s="21"/>
      <c r="RVF1" s="21"/>
      <c r="RVG1" s="21"/>
      <c r="RVH1" s="21"/>
      <c r="RVI1" s="21"/>
      <c r="RVJ1" s="21"/>
      <c r="RVK1" s="21"/>
      <c r="RVL1" s="21"/>
      <c r="RVM1" s="20" t="s">
        <v>297</v>
      </c>
      <c r="RVN1" s="21"/>
      <c r="RVO1" s="21"/>
      <c r="RVP1" s="21"/>
      <c r="RVQ1" s="21"/>
      <c r="RVR1" s="21"/>
      <c r="RVS1" s="21"/>
      <c r="RVT1" s="21"/>
      <c r="RVU1" s="21"/>
      <c r="RVV1" s="21"/>
      <c r="RVW1" s="21"/>
      <c r="RVX1" s="21"/>
      <c r="RVY1" s="21"/>
      <c r="RVZ1" s="21"/>
      <c r="RWA1" s="21"/>
      <c r="RWB1" s="21"/>
      <c r="RWC1" s="20" t="s">
        <v>297</v>
      </c>
      <c r="RWD1" s="21"/>
      <c r="RWE1" s="21"/>
      <c r="RWF1" s="21"/>
      <c r="RWG1" s="21"/>
      <c r="RWH1" s="21"/>
      <c r="RWI1" s="21"/>
      <c r="RWJ1" s="21"/>
      <c r="RWK1" s="21"/>
      <c r="RWL1" s="21"/>
      <c r="RWM1" s="21"/>
      <c r="RWN1" s="21"/>
      <c r="RWO1" s="21"/>
      <c r="RWP1" s="21"/>
      <c r="RWQ1" s="21"/>
      <c r="RWR1" s="21"/>
      <c r="RWS1" s="20" t="s">
        <v>297</v>
      </c>
      <c r="RWT1" s="21"/>
      <c r="RWU1" s="21"/>
      <c r="RWV1" s="21"/>
      <c r="RWW1" s="21"/>
      <c r="RWX1" s="21"/>
      <c r="RWY1" s="21"/>
      <c r="RWZ1" s="21"/>
      <c r="RXA1" s="21"/>
      <c r="RXB1" s="21"/>
      <c r="RXC1" s="21"/>
      <c r="RXD1" s="21"/>
      <c r="RXE1" s="21"/>
      <c r="RXF1" s="21"/>
      <c r="RXG1" s="21"/>
      <c r="RXH1" s="21"/>
      <c r="RXI1" s="20" t="s">
        <v>297</v>
      </c>
      <c r="RXJ1" s="21"/>
      <c r="RXK1" s="21"/>
      <c r="RXL1" s="21"/>
      <c r="RXM1" s="21"/>
      <c r="RXN1" s="21"/>
      <c r="RXO1" s="21"/>
      <c r="RXP1" s="21"/>
      <c r="RXQ1" s="21"/>
      <c r="RXR1" s="21"/>
      <c r="RXS1" s="21"/>
      <c r="RXT1" s="21"/>
      <c r="RXU1" s="21"/>
      <c r="RXV1" s="21"/>
      <c r="RXW1" s="21"/>
      <c r="RXX1" s="21"/>
      <c r="RXY1" s="20" t="s">
        <v>297</v>
      </c>
      <c r="RXZ1" s="21"/>
      <c r="RYA1" s="21"/>
      <c r="RYB1" s="21"/>
      <c r="RYC1" s="21"/>
      <c r="RYD1" s="21"/>
      <c r="RYE1" s="21"/>
      <c r="RYF1" s="21"/>
      <c r="RYG1" s="21"/>
      <c r="RYH1" s="21"/>
      <c r="RYI1" s="21"/>
      <c r="RYJ1" s="21"/>
      <c r="RYK1" s="21"/>
      <c r="RYL1" s="21"/>
      <c r="RYM1" s="21"/>
      <c r="RYN1" s="21"/>
      <c r="RYO1" s="20" t="s">
        <v>297</v>
      </c>
      <c r="RYP1" s="21"/>
      <c r="RYQ1" s="21"/>
      <c r="RYR1" s="21"/>
      <c r="RYS1" s="21"/>
      <c r="RYT1" s="21"/>
      <c r="RYU1" s="21"/>
      <c r="RYV1" s="21"/>
      <c r="RYW1" s="21"/>
      <c r="RYX1" s="21"/>
      <c r="RYY1" s="21"/>
      <c r="RYZ1" s="21"/>
      <c r="RZA1" s="21"/>
      <c r="RZB1" s="21"/>
      <c r="RZC1" s="21"/>
      <c r="RZD1" s="21"/>
      <c r="RZE1" s="20" t="s">
        <v>297</v>
      </c>
      <c r="RZF1" s="21"/>
      <c r="RZG1" s="21"/>
      <c r="RZH1" s="21"/>
      <c r="RZI1" s="21"/>
      <c r="RZJ1" s="21"/>
      <c r="RZK1" s="21"/>
      <c r="RZL1" s="21"/>
      <c r="RZM1" s="21"/>
      <c r="RZN1" s="21"/>
      <c r="RZO1" s="21"/>
      <c r="RZP1" s="21"/>
      <c r="RZQ1" s="21"/>
      <c r="RZR1" s="21"/>
      <c r="RZS1" s="21"/>
      <c r="RZT1" s="21"/>
      <c r="RZU1" s="20" t="s">
        <v>297</v>
      </c>
      <c r="RZV1" s="21"/>
      <c r="RZW1" s="21"/>
      <c r="RZX1" s="21"/>
      <c r="RZY1" s="21"/>
      <c r="RZZ1" s="21"/>
      <c r="SAA1" s="21"/>
      <c r="SAB1" s="21"/>
      <c r="SAC1" s="21"/>
      <c r="SAD1" s="21"/>
      <c r="SAE1" s="21"/>
      <c r="SAF1" s="21"/>
      <c r="SAG1" s="21"/>
      <c r="SAH1" s="21"/>
      <c r="SAI1" s="21"/>
      <c r="SAJ1" s="21"/>
      <c r="SAK1" s="20" t="s">
        <v>297</v>
      </c>
      <c r="SAL1" s="21"/>
      <c r="SAM1" s="21"/>
      <c r="SAN1" s="21"/>
      <c r="SAO1" s="21"/>
      <c r="SAP1" s="21"/>
      <c r="SAQ1" s="21"/>
      <c r="SAR1" s="21"/>
      <c r="SAS1" s="21"/>
      <c r="SAT1" s="21"/>
      <c r="SAU1" s="21"/>
      <c r="SAV1" s="21"/>
      <c r="SAW1" s="21"/>
      <c r="SAX1" s="21"/>
      <c r="SAY1" s="21"/>
      <c r="SAZ1" s="21"/>
      <c r="SBA1" s="20" t="s">
        <v>297</v>
      </c>
      <c r="SBB1" s="21"/>
      <c r="SBC1" s="21"/>
      <c r="SBD1" s="21"/>
      <c r="SBE1" s="21"/>
      <c r="SBF1" s="21"/>
      <c r="SBG1" s="21"/>
      <c r="SBH1" s="21"/>
      <c r="SBI1" s="21"/>
      <c r="SBJ1" s="21"/>
      <c r="SBK1" s="21"/>
      <c r="SBL1" s="21"/>
      <c r="SBM1" s="21"/>
      <c r="SBN1" s="21"/>
      <c r="SBO1" s="21"/>
      <c r="SBP1" s="21"/>
      <c r="SBQ1" s="20" t="s">
        <v>297</v>
      </c>
      <c r="SBR1" s="21"/>
      <c r="SBS1" s="21"/>
      <c r="SBT1" s="21"/>
      <c r="SBU1" s="21"/>
      <c r="SBV1" s="21"/>
      <c r="SBW1" s="21"/>
      <c r="SBX1" s="21"/>
      <c r="SBY1" s="21"/>
      <c r="SBZ1" s="21"/>
      <c r="SCA1" s="21"/>
      <c r="SCB1" s="21"/>
      <c r="SCC1" s="21"/>
      <c r="SCD1" s="21"/>
      <c r="SCE1" s="21"/>
      <c r="SCF1" s="21"/>
      <c r="SCG1" s="20" t="s">
        <v>297</v>
      </c>
      <c r="SCH1" s="21"/>
      <c r="SCI1" s="21"/>
      <c r="SCJ1" s="21"/>
      <c r="SCK1" s="21"/>
      <c r="SCL1" s="21"/>
      <c r="SCM1" s="21"/>
      <c r="SCN1" s="21"/>
      <c r="SCO1" s="21"/>
      <c r="SCP1" s="21"/>
      <c r="SCQ1" s="21"/>
      <c r="SCR1" s="21"/>
      <c r="SCS1" s="21"/>
      <c r="SCT1" s="21"/>
      <c r="SCU1" s="21"/>
      <c r="SCV1" s="21"/>
      <c r="SCW1" s="20" t="s">
        <v>297</v>
      </c>
      <c r="SCX1" s="21"/>
      <c r="SCY1" s="21"/>
      <c r="SCZ1" s="21"/>
      <c r="SDA1" s="21"/>
      <c r="SDB1" s="21"/>
      <c r="SDC1" s="21"/>
      <c r="SDD1" s="21"/>
      <c r="SDE1" s="21"/>
      <c r="SDF1" s="21"/>
      <c r="SDG1" s="21"/>
      <c r="SDH1" s="21"/>
      <c r="SDI1" s="21"/>
      <c r="SDJ1" s="21"/>
      <c r="SDK1" s="21"/>
      <c r="SDL1" s="21"/>
      <c r="SDM1" s="20" t="s">
        <v>297</v>
      </c>
      <c r="SDN1" s="21"/>
      <c r="SDO1" s="21"/>
      <c r="SDP1" s="21"/>
      <c r="SDQ1" s="21"/>
      <c r="SDR1" s="21"/>
      <c r="SDS1" s="21"/>
      <c r="SDT1" s="21"/>
      <c r="SDU1" s="21"/>
      <c r="SDV1" s="21"/>
      <c r="SDW1" s="21"/>
      <c r="SDX1" s="21"/>
      <c r="SDY1" s="21"/>
      <c r="SDZ1" s="21"/>
      <c r="SEA1" s="21"/>
      <c r="SEB1" s="21"/>
      <c r="SEC1" s="20" t="s">
        <v>297</v>
      </c>
      <c r="SED1" s="21"/>
      <c r="SEE1" s="21"/>
      <c r="SEF1" s="21"/>
      <c r="SEG1" s="21"/>
      <c r="SEH1" s="21"/>
      <c r="SEI1" s="21"/>
      <c r="SEJ1" s="21"/>
      <c r="SEK1" s="21"/>
      <c r="SEL1" s="21"/>
      <c r="SEM1" s="21"/>
      <c r="SEN1" s="21"/>
      <c r="SEO1" s="21"/>
      <c r="SEP1" s="21"/>
      <c r="SEQ1" s="21"/>
      <c r="SER1" s="21"/>
      <c r="SES1" s="20" t="s">
        <v>297</v>
      </c>
      <c r="SET1" s="21"/>
      <c r="SEU1" s="21"/>
      <c r="SEV1" s="21"/>
      <c r="SEW1" s="21"/>
      <c r="SEX1" s="21"/>
      <c r="SEY1" s="21"/>
      <c r="SEZ1" s="21"/>
      <c r="SFA1" s="21"/>
      <c r="SFB1" s="21"/>
      <c r="SFC1" s="21"/>
      <c r="SFD1" s="21"/>
      <c r="SFE1" s="21"/>
      <c r="SFF1" s="21"/>
      <c r="SFG1" s="21"/>
      <c r="SFH1" s="21"/>
      <c r="SFI1" s="20" t="s">
        <v>297</v>
      </c>
      <c r="SFJ1" s="21"/>
      <c r="SFK1" s="21"/>
      <c r="SFL1" s="21"/>
      <c r="SFM1" s="21"/>
      <c r="SFN1" s="21"/>
      <c r="SFO1" s="21"/>
      <c r="SFP1" s="21"/>
      <c r="SFQ1" s="21"/>
      <c r="SFR1" s="21"/>
      <c r="SFS1" s="21"/>
      <c r="SFT1" s="21"/>
      <c r="SFU1" s="21"/>
      <c r="SFV1" s="21"/>
      <c r="SFW1" s="21"/>
      <c r="SFX1" s="21"/>
      <c r="SFY1" s="20" t="s">
        <v>297</v>
      </c>
      <c r="SFZ1" s="21"/>
      <c r="SGA1" s="21"/>
      <c r="SGB1" s="21"/>
      <c r="SGC1" s="21"/>
      <c r="SGD1" s="21"/>
      <c r="SGE1" s="21"/>
      <c r="SGF1" s="21"/>
      <c r="SGG1" s="21"/>
      <c r="SGH1" s="21"/>
      <c r="SGI1" s="21"/>
      <c r="SGJ1" s="21"/>
      <c r="SGK1" s="21"/>
      <c r="SGL1" s="21"/>
      <c r="SGM1" s="21"/>
      <c r="SGN1" s="21"/>
      <c r="SGO1" s="20" t="s">
        <v>297</v>
      </c>
      <c r="SGP1" s="21"/>
      <c r="SGQ1" s="21"/>
      <c r="SGR1" s="21"/>
      <c r="SGS1" s="21"/>
      <c r="SGT1" s="21"/>
      <c r="SGU1" s="21"/>
      <c r="SGV1" s="21"/>
      <c r="SGW1" s="21"/>
      <c r="SGX1" s="21"/>
      <c r="SGY1" s="21"/>
      <c r="SGZ1" s="21"/>
      <c r="SHA1" s="21"/>
      <c r="SHB1" s="21"/>
      <c r="SHC1" s="21"/>
      <c r="SHD1" s="21"/>
      <c r="SHE1" s="20" t="s">
        <v>297</v>
      </c>
      <c r="SHF1" s="21"/>
      <c r="SHG1" s="21"/>
      <c r="SHH1" s="21"/>
      <c r="SHI1" s="21"/>
      <c r="SHJ1" s="21"/>
      <c r="SHK1" s="21"/>
      <c r="SHL1" s="21"/>
      <c r="SHM1" s="21"/>
      <c r="SHN1" s="21"/>
      <c r="SHO1" s="21"/>
      <c r="SHP1" s="21"/>
      <c r="SHQ1" s="21"/>
      <c r="SHR1" s="21"/>
      <c r="SHS1" s="21"/>
      <c r="SHT1" s="21"/>
      <c r="SHU1" s="20" t="s">
        <v>297</v>
      </c>
      <c r="SHV1" s="21"/>
      <c r="SHW1" s="21"/>
      <c r="SHX1" s="21"/>
      <c r="SHY1" s="21"/>
      <c r="SHZ1" s="21"/>
      <c r="SIA1" s="21"/>
      <c r="SIB1" s="21"/>
      <c r="SIC1" s="21"/>
      <c r="SID1" s="21"/>
      <c r="SIE1" s="21"/>
      <c r="SIF1" s="21"/>
      <c r="SIG1" s="21"/>
      <c r="SIH1" s="21"/>
      <c r="SII1" s="21"/>
      <c r="SIJ1" s="21"/>
      <c r="SIK1" s="20" t="s">
        <v>297</v>
      </c>
      <c r="SIL1" s="21"/>
      <c r="SIM1" s="21"/>
      <c r="SIN1" s="21"/>
      <c r="SIO1" s="21"/>
      <c r="SIP1" s="21"/>
      <c r="SIQ1" s="21"/>
      <c r="SIR1" s="21"/>
      <c r="SIS1" s="21"/>
      <c r="SIT1" s="21"/>
      <c r="SIU1" s="21"/>
      <c r="SIV1" s="21"/>
      <c r="SIW1" s="21"/>
      <c r="SIX1" s="21"/>
      <c r="SIY1" s="21"/>
      <c r="SIZ1" s="21"/>
      <c r="SJA1" s="20" t="s">
        <v>297</v>
      </c>
      <c r="SJB1" s="21"/>
      <c r="SJC1" s="21"/>
      <c r="SJD1" s="21"/>
      <c r="SJE1" s="21"/>
      <c r="SJF1" s="21"/>
      <c r="SJG1" s="21"/>
      <c r="SJH1" s="21"/>
      <c r="SJI1" s="21"/>
      <c r="SJJ1" s="21"/>
      <c r="SJK1" s="21"/>
      <c r="SJL1" s="21"/>
      <c r="SJM1" s="21"/>
      <c r="SJN1" s="21"/>
      <c r="SJO1" s="21"/>
      <c r="SJP1" s="21"/>
      <c r="SJQ1" s="20" t="s">
        <v>297</v>
      </c>
      <c r="SJR1" s="21"/>
      <c r="SJS1" s="21"/>
      <c r="SJT1" s="21"/>
      <c r="SJU1" s="21"/>
      <c r="SJV1" s="21"/>
      <c r="SJW1" s="21"/>
      <c r="SJX1" s="21"/>
      <c r="SJY1" s="21"/>
      <c r="SJZ1" s="21"/>
      <c r="SKA1" s="21"/>
      <c r="SKB1" s="21"/>
      <c r="SKC1" s="21"/>
      <c r="SKD1" s="21"/>
      <c r="SKE1" s="21"/>
      <c r="SKF1" s="21"/>
      <c r="SKG1" s="20" t="s">
        <v>297</v>
      </c>
      <c r="SKH1" s="21"/>
      <c r="SKI1" s="21"/>
      <c r="SKJ1" s="21"/>
      <c r="SKK1" s="21"/>
      <c r="SKL1" s="21"/>
      <c r="SKM1" s="21"/>
      <c r="SKN1" s="21"/>
      <c r="SKO1" s="21"/>
      <c r="SKP1" s="21"/>
      <c r="SKQ1" s="21"/>
      <c r="SKR1" s="21"/>
      <c r="SKS1" s="21"/>
      <c r="SKT1" s="21"/>
      <c r="SKU1" s="21"/>
      <c r="SKV1" s="21"/>
      <c r="SKW1" s="20" t="s">
        <v>297</v>
      </c>
      <c r="SKX1" s="21"/>
      <c r="SKY1" s="21"/>
      <c r="SKZ1" s="21"/>
      <c r="SLA1" s="21"/>
      <c r="SLB1" s="21"/>
      <c r="SLC1" s="21"/>
      <c r="SLD1" s="21"/>
      <c r="SLE1" s="21"/>
      <c r="SLF1" s="21"/>
      <c r="SLG1" s="21"/>
      <c r="SLH1" s="21"/>
      <c r="SLI1" s="21"/>
      <c r="SLJ1" s="21"/>
      <c r="SLK1" s="21"/>
      <c r="SLL1" s="21"/>
      <c r="SLM1" s="20" t="s">
        <v>297</v>
      </c>
      <c r="SLN1" s="21"/>
      <c r="SLO1" s="21"/>
      <c r="SLP1" s="21"/>
      <c r="SLQ1" s="21"/>
      <c r="SLR1" s="21"/>
      <c r="SLS1" s="21"/>
      <c r="SLT1" s="21"/>
      <c r="SLU1" s="21"/>
      <c r="SLV1" s="21"/>
      <c r="SLW1" s="21"/>
      <c r="SLX1" s="21"/>
      <c r="SLY1" s="21"/>
      <c r="SLZ1" s="21"/>
      <c r="SMA1" s="21"/>
      <c r="SMB1" s="21"/>
      <c r="SMC1" s="20" t="s">
        <v>297</v>
      </c>
      <c r="SMD1" s="21"/>
      <c r="SME1" s="21"/>
      <c r="SMF1" s="21"/>
      <c r="SMG1" s="21"/>
      <c r="SMH1" s="21"/>
      <c r="SMI1" s="21"/>
      <c r="SMJ1" s="21"/>
      <c r="SMK1" s="21"/>
      <c r="SML1" s="21"/>
      <c r="SMM1" s="21"/>
      <c r="SMN1" s="21"/>
      <c r="SMO1" s="21"/>
      <c r="SMP1" s="21"/>
      <c r="SMQ1" s="21"/>
      <c r="SMR1" s="21"/>
      <c r="SMS1" s="20" t="s">
        <v>297</v>
      </c>
      <c r="SMT1" s="21"/>
      <c r="SMU1" s="21"/>
      <c r="SMV1" s="21"/>
      <c r="SMW1" s="21"/>
      <c r="SMX1" s="21"/>
      <c r="SMY1" s="21"/>
      <c r="SMZ1" s="21"/>
      <c r="SNA1" s="21"/>
      <c r="SNB1" s="21"/>
      <c r="SNC1" s="21"/>
      <c r="SND1" s="21"/>
      <c r="SNE1" s="21"/>
      <c r="SNF1" s="21"/>
      <c r="SNG1" s="21"/>
      <c r="SNH1" s="21"/>
      <c r="SNI1" s="20" t="s">
        <v>297</v>
      </c>
      <c r="SNJ1" s="21"/>
      <c r="SNK1" s="21"/>
      <c r="SNL1" s="21"/>
      <c r="SNM1" s="21"/>
      <c r="SNN1" s="21"/>
      <c r="SNO1" s="21"/>
      <c r="SNP1" s="21"/>
      <c r="SNQ1" s="21"/>
      <c r="SNR1" s="21"/>
      <c r="SNS1" s="21"/>
      <c r="SNT1" s="21"/>
      <c r="SNU1" s="21"/>
      <c r="SNV1" s="21"/>
      <c r="SNW1" s="21"/>
      <c r="SNX1" s="21"/>
      <c r="SNY1" s="20" t="s">
        <v>297</v>
      </c>
      <c r="SNZ1" s="21"/>
      <c r="SOA1" s="21"/>
      <c r="SOB1" s="21"/>
      <c r="SOC1" s="21"/>
      <c r="SOD1" s="21"/>
      <c r="SOE1" s="21"/>
      <c r="SOF1" s="21"/>
      <c r="SOG1" s="21"/>
      <c r="SOH1" s="21"/>
      <c r="SOI1" s="21"/>
      <c r="SOJ1" s="21"/>
      <c r="SOK1" s="21"/>
      <c r="SOL1" s="21"/>
      <c r="SOM1" s="21"/>
      <c r="SON1" s="21"/>
      <c r="SOO1" s="20" t="s">
        <v>297</v>
      </c>
      <c r="SOP1" s="21"/>
      <c r="SOQ1" s="21"/>
      <c r="SOR1" s="21"/>
      <c r="SOS1" s="21"/>
      <c r="SOT1" s="21"/>
      <c r="SOU1" s="21"/>
      <c r="SOV1" s="21"/>
      <c r="SOW1" s="21"/>
      <c r="SOX1" s="21"/>
      <c r="SOY1" s="21"/>
      <c r="SOZ1" s="21"/>
      <c r="SPA1" s="21"/>
      <c r="SPB1" s="21"/>
      <c r="SPC1" s="21"/>
      <c r="SPD1" s="21"/>
      <c r="SPE1" s="20" t="s">
        <v>297</v>
      </c>
      <c r="SPF1" s="21"/>
      <c r="SPG1" s="21"/>
      <c r="SPH1" s="21"/>
      <c r="SPI1" s="21"/>
      <c r="SPJ1" s="21"/>
      <c r="SPK1" s="21"/>
      <c r="SPL1" s="21"/>
      <c r="SPM1" s="21"/>
      <c r="SPN1" s="21"/>
      <c r="SPO1" s="21"/>
      <c r="SPP1" s="21"/>
      <c r="SPQ1" s="21"/>
      <c r="SPR1" s="21"/>
      <c r="SPS1" s="21"/>
      <c r="SPT1" s="21"/>
      <c r="SPU1" s="20" t="s">
        <v>297</v>
      </c>
      <c r="SPV1" s="21"/>
      <c r="SPW1" s="21"/>
      <c r="SPX1" s="21"/>
      <c r="SPY1" s="21"/>
      <c r="SPZ1" s="21"/>
      <c r="SQA1" s="21"/>
      <c r="SQB1" s="21"/>
      <c r="SQC1" s="21"/>
      <c r="SQD1" s="21"/>
      <c r="SQE1" s="21"/>
      <c r="SQF1" s="21"/>
      <c r="SQG1" s="21"/>
      <c r="SQH1" s="21"/>
      <c r="SQI1" s="21"/>
      <c r="SQJ1" s="21"/>
      <c r="SQK1" s="20" t="s">
        <v>297</v>
      </c>
      <c r="SQL1" s="21"/>
      <c r="SQM1" s="21"/>
      <c r="SQN1" s="21"/>
      <c r="SQO1" s="21"/>
      <c r="SQP1" s="21"/>
      <c r="SQQ1" s="21"/>
      <c r="SQR1" s="21"/>
      <c r="SQS1" s="21"/>
      <c r="SQT1" s="21"/>
      <c r="SQU1" s="21"/>
      <c r="SQV1" s="21"/>
      <c r="SQW1" s="21"/>
      <c r="SQX1" s="21"/>
      <c r="SQY1" s="21"/>
      <c r="SQZ1" s="21"/>
      <c r="SRA1" s="20" t="s">
        <v>297</v>
      </c>
      <c r="SRB1" s="21"/>
      <c r="SRC1" s="21"/>
      <c r="SRD1" s="21"/>
      <c r="SRE1" s="21"/>
      <c r="SRF1" s="21"/>
      <c r="SRG1" s="21"/>
      <c r="SRH1" s="21"/>
      <c r="SRI1" s="21"/>
      <c r="SRJ1" s="21"/>
      <c r="SRK1" s="21"/>
      <c r="SRL1" s="21"/>
      <c r="SRM1" s="21"/>
      <c r="SRN1" s="21"/>
      <c r="SRO1" s="21"/>
      <c r="SRP1" s="21"/>
      <c r="SRQ1" s="20" t="s">
        <v>297</v>
      </c>
      <c r="SRR1" s="21"/>
      <c r="SRS1" s="21"/>
      <c r="SRT1" s="21"/>
      <c r="SRU1" s="21"/>
      <c r="SRV1" s="21"/>
      <c r="SRW1" s="21"/>
      <c r="SRX1" s="21"/>
      <c r="SRY1" s="21"/>
      <c r="SRZ1" s="21"/>
      <c r="SSA1" s="21"/>
      <c r="SSB1" s="21"/>
      <c r="SSC1" s="21"/>
      <c r="SSD1" s="21"/>
      <c r="SSE1" s="21"/>
      <c r="SSF1" s="21"/>
      <c r="SSG1" s="20" t="s">
        <v>297</v>
      </c>
      <c r="SSH1" s="21"/>
      <c r="SSI1" s="21"/>
      <c r="SSJ1" s="21"/>
      <c r="SSK1" s="21"/>
      <c r="SSL1" s="21"/>
      <c r="SSM1" s="21"/>
      <c r="SSN1" s="21"/>
      <c r="SSO1" s="21"/>
      <c r="SSP1" s="21"/>
      <c r="SSQ1" s="21"/>
      <c r="SSR1" s="21"/>
      <c r="SSS1" s="21"/>
      <c r="SST1" s="21"/>
      <c r="SSU1" s="21"/>
      <c r="SSV1" s="21"/>
      <c r="SSW1" s="20" t="s">
        <v>297</v>
      </c>
      <c r="SSX1" s="21"/>
      <c r="SSY1" s="21"/>
      <c r="SSZ1" s="21"/>
      <c r="STA1" s="21"/>
      <c r="STB1" s="21"/>
      <c r="STC1" s="21"/>
      <c r="STD1" s="21"/>
      <c r="STE1" s="21"/>
      <c r="STF1" s="21"/>
      <c r="STG1" s="21"/>
      <c r="STH1" s="21"/>
      <c r="STI1" s="21"/>
      <c r="STJ1" s="21"/>
      <c r="STK1" s="21"/>
      <c r="STL1" s="21"/>
      <c r="STM1" s="20" t="s">
        <v>297</v>
      </c>
      <c r="STN1" s="21"/>
      <c r="STO1" s="21"/>
      <c r="STP1" s="21"/>
      <c r="STQ1" s="21"/>
      <c r="STR1" s="21"/>
      <c r="STS1" s="21"/>
      <c r="STT1" s="21"/>
      <c r="STU1" s="21"/>
      <c r="STV1" s="21"/>
      <c r="STW1" s="21"/>
      <c r="STX1" s="21"/>
      <c r="STY1" s="21"/>
      <c r="STZ1" s="21"/>
      <c r="SUA1" s="21"/>
      <c r="SUB1" s="21"/>
      <c r="SUC1" s="20" t="s">
        <v>297</v>
      </c>
      <c r="SUD1" s="21"/>
      <c r="SUE1" s="21"/>
      <c r="SUF1" s="21"/>
      <c r="SUG1" s="21"/>
      <c r="SUH1" s="21"/>
      <c r="SUI1" s="21"/>
      <c r="SUJ1" s="21"/>
      <c r="SUK1" s="21"/>
      <c r="SUL1" s="21"/>
      <c r="SUM1" s="21"/>
      <c r="SUN1" s="21"/>
      <c r="SUO1" s="21"/>
      <c r="SUP1" s="21"/>
      <c r="SUQ1" s="21"/>
      <c r="SUR1" s="21"/>
      <c r="SUS1" s="20" t="s">
        <v>297</v>
      </c>
      <c r="SUT1" s="21"/>
      <c r="SUU1" s="21"/>
      <c r="SUV1" s="21"/>
      <c r="SUW1" s="21"/>
      <c r="SUX1" s="21"/>
      <c r="SUY1" s="21"/>
      <c r="SUZ1" s="21"/>
      <c r="SVA1" s="21"/>
      <c r="SVB1" s="21"/>
      <c r="SVC1" s="21"/>
      <c r="SVD1" s="21"/>
      <c r="SVE1" s="21"/>
      <c r="SVF1" s="21"/>
      <c r="SVG1" s="21"/>
      <c r="SVH1" s="21"/>
      <c r="SVI1" s="20" t="s">
        <v>297</v>
      </c>
      <c r="SVJ1" s="21"/>
      <c r="SVK1" s="21"/>
      <c r="SVL1" s="21"/>
      <c r="SVM1" s="21"/>
      <c r="SVN1" s="21"/>
      <c r="SVO1" s="21"/>
      <c r="SVP1" s="21"/>
      <c r="SVQ1" s="21"/>
      <c r="SVR1" s="21"/>
      <c r="SVS1" s="21"/>
      <c r="SVT1" s="21"/>
      <c r="SVU1" s="21"/>
      <c r="SVV1" s="21"/>
      <c r="SVW1" s="21"/>
      <c r="SVX1" s="21"/>
      <c r="SVY1" s="20" t="s">
        <v>297</v>
      </c>
      <c r="SVZ1" s="21"/>
      <c r="SWA1" s="21"/>
      <c r="SWB1" s="21"/>
      <c r="SWC1" s="21"/>
      <c r="SWD1" s="21"/>
      <c r="SWE1" s="21"/>
      <c r="SWF1" s="21"/>
      <c r="SWG1" s="21"/>
      <c r="SWH1" s="21"/>
      <c r="SWI1" s="21"/>
      <c r="SWJ1" s="21"/>
      <c r="SWK1" s="21"/>
      <c r="SWL1" s="21"/>
      <c r="SWM1" s="21"/>
      <c r="SWN1" s="21"/>
      <c r="SWO1" s="20" t="s">
        <v>297</v>
      </c>
      <c r="SWP1" s="21"/>
      <c r="SWQ1" s="21"/>
      <c r="SWR1" s="21"/>
      <c r="SWS1" s="21"/>
      <c r="SWT1" s="21"/>
      <c r="SWU1" s="21"/>
      <c r="SWV1" s="21"/>
      <c r="SWW1" s="21"/>
      <c r="SWX1" s="21"/>
      <c r="SWY1" s="21"/>
      <c r="SWZ1" s="21"/>
      <c r="SXA1" s="21"/>
      <c r="SXB1" s="21"/>
      <c r="SXC1" s="21"/>
      <c r="SXD1" s="21"/>
      <c r="SXE1" s="20" t="s">
        <v>297</v>
      </c>
      <c r="SXF1" s="21"/>
      <c r="SXG1" s="21"/>
      <c r="SXH1" s="21"/>
      <c r="SXI1" s="21"/>
      <c r="SXJ1" s="21"/>
      <c r="SXK1" s="21"/>
      <c r="SXL1" s="21"/>
      <c r="SXM1" s="21"/>
      <c r="SXN1" s="21"/>
      <c r="SXO1" s="21"/>
      <c r="SXP1" s="21"/>
      <c r="SXQ1" s="21"/>
      <c r="SXR1" s="21"/>
      <c r="SXS1" s="21"/>
      <c r="SXT1" s="21"/>
      <c r="SXU1" s="20" t="s">
        <v>297</v>
      </c>
      <c r="SXV1" s="21"/>
      <c r="SXW1" s="21"/>
      <c r="SXX1" s="21"/>
      <c r="SXY1" s="21"/>
      <c r="SXZ1" s="21"/>
      <c r="SYA1" s="21"/>
      <c r="SYB1" s="21"/>
      <c r="SYC1" s="21"/>
      <c r="SYD1" s="21"/>
      <c r="SYE1" s="21"/>
      <c r="SYF1" s="21"/>
      <c r="SYG1" s="21"/>
      <c r="SYH1" s="21"/>
      <c r="SYI1" s="21"/>
      <c r="SYJ1" s="21"/>
      <c r="SYK1" s="20" t="s">
        <v>297</v>
      </c>
      <c r="SYL1" s="21"/>
      <c r="SYM1" s="21"/>
      <c r="SYN1" s="21"/>
      <c r="SYO1" s="21"/>
      <c r="SYP1" s="21"/>
      <c r="SYQ1" s="21"/>
      <c r="SYR1" s="21"/>
      <c r="SYS1" s="21"/>
      <c r="SYT1" s="21"/>
      <c r="SYU1" s="21"/>
      <c r="SYV1" s="21"/>
      <c r="SYW1" s="21"/>
      <c r="SYX1" s="21"/>
      <c r="SYY1" s="21"/>
      <c r="SYZ1" s="21"/>
      <c r="SZA1" s="20" t="s">
        <v>297</v>
      </c>
      <c r="SZB1" s="21"/>
      <c r="SZC1" s="21"/>
      <c r="SZD1" s="21"/>
      <c r="SZE1" s="21"/>
      <c r="SZF1" s="21"/>
      <c r="SZG1" s="21"/>
      <c r="SZH1" s="21"/>
      <c r="SZI1" s="21"/>
      <c r="SZJ1" s="21"/>
      <c r="SZK1" s="21"/>
      <c r="SZL1" s="21"/>
      <c r="SZM1" s="21"/>
      <c r="SZN1" s="21"/>
      <c r="SZO1" s="21"/>
      <c r="SZP1" s="21"/>
      <c r="SZQ1" s="20" t="s">
        <v>297</v>
      </c>
      <c r="SZR1" s="21"/>
      <c r="SZS1" s="21"/>
      <c r="SZT1" s="21"/>
      <c r="SZU1" s="21"/>
      <c r="SZV1" s="21"/>
      <c r="SZW1" s="21"/>
      <c r="SZX1" s="21"/>
      <c r="SZY1" s="21"/>
      <c r="SZZ1" s="21"/>
      <c r="TAA1" s="21"/>
      <c r="TAB1" s="21"/>
      <c r="TAC1" s="21"/>
      <c r="TAD1" s="21"/>
      <c r="TAE1" s="21"/>
      <c r="TAF1" s="21"/>
      <c r="TAG1" s="20" t="s">
        <v>297</v>
      </c>
      <c r="TAH1" s="21"/>
      <c r="TAI1" s="21"/>
      <c r="TAJ1" s="21"/>
      <c r="TAK1" s="21"/>
      <c r="TAL1" s="21"/>
      <c r="TAM1" s="21"/>
      <c r="TAN1" s="21"/>
      <c r="TAO1" s="21"/>
      <c r="TAP1" s="21"/>
      <c r="TAQ1" s="21"/>
      <c r="TAR1" s="21"/>
      <c r="TAS1" s="21"/>
      <c r="TAT1" s="21"/>
      <c r="TAU1" s="21"/>
      <c r="TAV1" s="21"/>
      <c r="TAW1" s="20" t="s">
        <v>297</v>
      </c>
      <c r="TAX1" s="21"/>
      <c r="TAY1" s="21"/>
      <c r="TAZ1" s="21"/>
      <c r="TBA1" s="21"/>
      <c r="TBB1" s="21"/>
      <c r="TBC1" s="21"/>
      <c r="TBD1" s="21"/>
      <c r="TBE1" s="21"/>
      <c r="TBF1" s="21"/>
      <c r="TBG1" s="21"/>
      <c r="TBH1" s="21"/>
      <c r="TBI1" s="21"/>
      <c r="TBJ1" s="21"/>
      <c r="TBK1" s="21"/>
      <c r="TBL1" s="21"/>
      <c r="TBM1" s="20" t="s">
        <v>297</v>
      </c>
      <c r="TBN1" s="21"/>
      <c r="TBO1" s="21"/>
      <c r="TBP1" s="21"/>
      <c r="TBQ1" s="21"/>
      <c r="TBR1" s="21"/>
      <c r="TBS1" s="21"/>
      <c r="TBT1" s="21"/>
      <c r="TBU1" s="21"/>
      <c r="TBV1" s="21"/>
      <c r="TBW1" s="21"/>
      <c r="TBX1" s="21"/>
      <c r="TBY1" s="21"/>
      <c r="TBZ1" s="21"/>
      <c r="TCA1" s="21"/>
      <c r="TCB1" s="21"/>
      <c r="TCC1" s="20" t="s">
        <v>297</v>
      </c>
      <c r="TCD1" s="21"/>
      <c r="TCE1" s="21"/>
      <c r="TCF1" s="21"/>
      <c r="TCG1" s="21"/>
      <c r="TCH1" s="21"/>
      <c r="TCI1" s="21"/>
      <c r="TCJ1" s="21"/>
      <c r="TCK1" s="21"/>
      <c r="TCL1" s="21"/>
      <c r="TCM1" s="21"/>
      <c r="TCN1" s="21"/>
      <c r="TCO1" s="21"/>
      <c r="TCP1" s="21"/>
      <c r="TCQ1" s="21"/>
      <c r="TCR1" s="21"/>
      <c r="TCS1" s="20" t="s">
        <v>297</v>
      </c>
      <c r="TCT1" s="21"/>
      <c r="TCU1" s="21"/>
      <c r="TCV1" s="21"/>
      <c r="TCW1" s="21"/>
      <c r="TCX1" s="21"/>
      <c r="TCY1" s="21"/>
      <c r="TCZ1" s="21"/>
      <c r="TDA1" s="21"/>
      <c r="TDB1" s="21"/>
      <c r="TDC1" s="21"/>
      <c r="TDD1" s="21"/>
      <c r="TDE1" s="21"/>
      <c r="TDF1" s="21"/>
      <c r="TDG1" s="21"/>
      <c r="TDH1" s="21"/>
      <c r="TDI1" s="20" t="s">
        <v>297</v>
      </c>
      <c r="TDJ1" s="21"/>
      <c r="TDK1" s="21"/>
      <c r="TDL1" s="21"/>
      <c r="TDM1" s="21"/>
      <c r="TDN1" s="21"/>
      <c r="TDO1" s="21"/>
      <c r="TDP1" s="21"/>
      <c r="TDQ1" s="21"/>
      <c r="TDR1" s="21"/>
      <c r="TDS1" s="21"/>
      <c r="TDT1" s="21"/>
      <c r="TDU1" s="21"/>
      <c r="TDV1" s="21"/>
      <c r="TDW1" s="21"/>
      <c r="TDX1" s="21"/>
      <c r="TDY1" s="20" t="s">
        <v>297</v>
      </c>
      <c r="TDZ1" s="21"/>
      <c r="TEA1" s="21"/>
      <c r="TEB1" s="21"/>
      <c r="TEC1" s="21"/>
      <c r="TED1" s="21"/>
      <c r="TEE1" s="21"/>
      <c r="TEF1" s="21"/>
      <c r="TEG1" s="21"/>
      <c r="TEH1" s="21"/>
      <c r="TEI1" s="21"/>
      <c r="TEJ1" s="21"/>
      <c r="TEK1" s="21"/>
      <c r="TEL1" s="21"/>
      <c r="TEM1" s="21"/>
      <c r="TEN1" s="21"/>
      <c r="TEO1" s="20" t="s">
        <v>297</v>
      </c>
      <c r="TEP1" s="21"/>
      <c r="TEQ1" s="21"/>
      <c r="TER1" s="21"/>
      <c r="TES1" s="21"/>
      <c r="TET1" s="21"/>
      <c r="TEU1" s="21"/>
      <c r="TEV1" s="21"/>
      <c r="TEW1" s="21"/>
      <c r="TEX1" s="21"/>
      <c r="TEY1" s="21"/>
      <c r="TEZ1" s="21"/>
      <c r="TFA1" s="21"/>
      <c r="TFB1" s="21"/>
      <c r="TFC1" s="21"/>
      <c r="TFD1" s="21"/>
      <c r="TFE1" s="20" t="s">
        <v>297</v>
      </c>
      <c r="TFF1" s="21"/>
      <c r="TFG1" s="21"/>
      <c r="TFH1" s="21"/>
      <c r="TFI1" s="21"/>
      <c r="TFJ1" s="21"/>
      <c r="TFK1" s="21"/>
      <c r="TFL1" s="21"/>
      <c r="TFM1" s="21"/>
      <c r="TFN1" s="21"/>
      <c r="TFO1" s="21"/>
      <c r="TFP1" s="21"/>
      <c r="TFQ1" s="21"/>
      <c r="TFR1" s="21"/>
      <c r="TFS1" s="21"/>
      <c r="TFT1" s="21"/>
      <c r="TFU1" s="20" t="s">
        <v>297</v>
      </c>
      <c r="TFV1" s="21"/>
      <c r="TFW1" s="21"/>
      <c r="TFX1" s="21"/>
      <c r="TFY1" s="21"/>
      <c r="TFZ1" s="21"/>
      <c r="TGA1" s="21"/>
      <c r="TGB1" s="21"/>
      <c r="TGC1" s="21"/>
      <c r="TGD1" s="21"/>
      <c r="TGE1" s="21"/>
      <c r="TGF1" s="21"/>
      <c r="TGG1" s="21"/>
      <c r="TGH1" s="21"/>
      <c r="TGI1" s="21"/>
      <c r="TGJ1" s="21"/>
      <c r="TGK1" s="20" t="s">
        <v>297</v>
      </c>
      <c r="TGL1" s="21"/>
      <c r="TGM1" s="21"/>
      <c r="TGN1" s="21"/>
      <c r="TGO1" s="21"/>
      <c r="TGP1" s="21"/>
      <c r="TGQ1" s="21"/>
      <c r="TGR1" s="21"/>
      <c r="TGS1" s="21"/>
      <c r="TGT1" s="21"/>
      <c r="TGU1" s="21"/>
      <c r="TGV1" s="21"/>
      <c r="TGW1" s="21"/>
      <c r="TGX1" s="21"/>
      <c r="TGY1" s="21"/>
      <c r="TGZ1" s="21"/>
      <c r="THA1" s="20" t="s">
        <v>297</v>
      </c>
      <c r="THB1" s="21"/>
      <c r="THC1" s="21"/>
      <c r="THD1" s="21"/>
      <c r="THE1" s="21"/>
      <c r="THF1" s="21"/>
      <c r="THG1" s="21"/>
      <c r="THH1" s="21"/>
      <c r="THI1" s="21"/>
      <c r="THJ1" s="21"/>
      <c r="THK1" s="21"/>
      <c r="THL1" s="21"/>
      <c r="THM1" s="21"/>
      <c r="THN1" s="21"/>
      <c r="THO1" s="21"/>
      <c r="THP1" s="21"/>
      <c r="THQ1" s="20" t="s">
        <v>297</v>
      </c>
      <c r="THR1" s="21"/>
      <c r="THS1" s="21"/>
      <c r="THT1" s="21"/>
      <c r="THU1" s="21"/>
      <c r="THV1" s="21"/>
      <c r="THW1" s="21"/>
      <c r="THX1" s="21"/>
      <c r="THY1" s="21"/>
      <c r="THZ1" s="21"/>
      <c r="TIA1" s="21"/>
      <c r="TIB1" s="21"/>
      <c r="TIC1" s="21"/>
      <c r="TID1" s="21"/>
      <c r="TIE1" s="21"/>
      <c r="TIF1" s="21"/>
      <c r="TIG1" s="20" t="s">
        <v>297</v>
      </c>
      <c r="TIH1" s="21"/>
      <c r="TII1" s="21"/>
      <c r="TIJ1" s="21"/>
      <c r="TIK1" s="21"/>
      <c r="TIL1" s="21"/>
      <c r="TIM1" s="21"/>
      <c r="TIN1" s="21"/>
      <c r="TIO1" s="21"/>
      <c r="TIP1" s="21"/>
      <c r="TIQ1" s="21"/>
      <c r="TIR1" s="21"/>
      <c r="TIS1" s="21"/>
      <c r="TIT1" s="21"/>
      <c r="TIU1" s="21"/>
      <c r="TIV1" s="21"/>
      <c r="TIW1" s="20" t="s">
        <v>297</v>
      </c>
      <c r="TIX1" s="21"/>
      <c r="TIY1" s="21"/>
      <c r="TIZ1" s="21"/>
      <c r="TJA1" s="21"/>
      <c r="TJB1" s="21"/>
      <c r="TJC1" s="21"/>
      <c r="TJD1" s="21"/>
      <c r="TJE1" s="21"/>
      <c r="TJF1" s="21"/>
      <c r="TJG1" s="21"/>
      <c r="TJH1" s="21"/>
      <c r="TJI1" s="21"/>
      <c r="TJJ1" s="21"/>
      <c r="TJK1" s="21"/>
      <c r="TJL1" s="21"/>
      <c r="TJM1" s="20" t="s">
        <v>297</v>
      </c>
      <c r="TJN1" s="21"/>
      <c r="TJO1" s="21"/>
      <c r="TJP1" s="21"/>
      <c r="TJQ1" s="21"/>
      <c r="TJR1" s="21"/>
      <c r="TJS1" s="21"/>
      <c r="TJT1" s="21"/>
      <c r="TJU1" s="21"/>
      <c r="TJV1" s="21"/>
      <c r="TJW1" s="21"/>
      <c r="TJX1" s="21"/>
      <c r="TJY1" s="21"/>
      <c r="TJZ1" s="21"/>
      <c r="TKA1" s="21"/>
      <c r="TKB1" s="21"/>
      <c r="TKC1" s="20" t="s">
        <v>297</v>
      </c>
      <c r="TKD1" s="21"/>
      <c r="TKE1" s="21"/>
      <c r="TKF1" s="21"/>
      <c r="TKG1" s="21"/>
      <c r="TKH1" s="21"/>
      <c r="TKI1" s="21"/>
      <c r="TKJ1" s="21"/>
      <c r="TKK1" s="21"/>
      <c r="TKL1" s="21"/>
      <c r="TKM1" s="21"/>
      <c r="TKN1" s="21"/>
      <c r="TKO1" s="21"/>
      <c r="TKP1" s="21"/>
      <c r="TKQ1" s="21"/>
      <c r="TKR1" s="21"/>
      <c r="TKS1" s="20" t="s">
        <v>297</v>
      </c>
      <c r="TKT1" s="21"/>
      <c r="TKU1" s="21"/>
      <c r="TKV1" s="21"/>
      <c r="TKW1" s="21"/>
      <c r="TKX1" s="21"/>
      <c r="TKY1" s="21"/>
      <c r="TKZ1" s="21"/>
      <c r="TLA1" s="21"/>
      <c r="TLB1" s="21"/>
      <c r="TLC1" s="21"/>
      <c r="TLD1" s="21"/>
      <c r="TLE1" s="21"/>
      <c r="TLF1" s="21"/>
      <c r="TLG1" s="21"/>
      <c r="TLH1" s="21"/>
      <c r="TLI1" s="20" t="s">
        <v>297</v>
      </c>
      <c r="TLJ1" s="21"/>
      <c r="TLK1" s="21"/>
      <c r="TLL1" s="21"/>
      <c r="TLM1" s="21"/>
      <c r="TLN1" s="21"/>
      <c r="TLO1" s="21"/>
      <c r="TLP1" s="21"/>
      <c r="TLQ1" s="21"/>
      <c r="TLR1" s="21"/>
      <c r="TLS1" s="21"/>
      <c r="TLT1" s="21"/>
      <c r="TLU1" s="21"/>
      <c r="TLV1" s="21"/>
      <c r="TLW1" s="21"/>
      <c r="TLX1" s="21"/>
      <c r="TLY1" s="20" t="s">
        <v>297</v>
      </c>
      <c r="TLZ1" s="21"/>
      <c r="TMA1" s="21"/>
      <c r="TMB1" s="21"/>
      <c r="TMC1" s="21"/>
      <c r="TMD1" s="21"/>
      <c r="TME1" s="21"/>
      <c r="TMF1" s="21"/>
      <c r="TMG1" s="21"/>
      <c r="TMH1" s="21"/>
      <c r="TMI1" s="21"/>
      <c r="TMJ1" s="21"/>
      <c r="TMK1" s="21"/>
      <c r="TML1" s="21"/>
      <c r="TMM1" s="21"/>
      <c r="TMN1" s="21"/>
      <c r="TMO1" s="20" t="s">
        <v>297</v>
      </c>
      <c r="TMP1" s="21"/>
      <c r="TMQ1" s="21"/>
      <c r="TMR1" s="21"/>
      <c r="TMS1" s="21"/>
      <c r="TMT1" s="21"/>
      <c r="TMU1" s="21"/>
      <c r="TMV1" s="21"/>
      <c r="TMW1" s="21"/>
      <c r="TMX1" s="21"/>
      <c r="TMY1" s="21"/>
      <c r="TMZ1" s="21"/>
      <c r="TNA1" s="21"/>
      <c r="TNB1" s="21"/>
      <c r="TNC1" s="21"/>
      <c r="TND1" s="21"/>
      <c r="TNE1" s="20" t="s">
        <v>297</v>
      </c>
      <c r="TNF1" s="21"/>
      <c r="TNG1" s="21"/>
      <c r="TNH1" s="21"/>
      <c r="TNI1" s="21"/>
      <c r="TNJ1" s="21"/>
      <c r="TNK1" s="21"/>
      <c r="TNL1" s="21"/>
      <c r="TNM1" s="21"/>
      <c r="TNN1" s="21"/>
      <c r="TNO1" s="21"/>
      <c r="TNP1" s="21"/>
      <c r="TNQ1" s="21"/>
      <c r="TNR1" s="21"/>
      <c r="TNS1" s="21"/>
      <c r="TNT1" s="21"/>
      <c r="TNU1" s="20" t="s">
        <v>297</v>
      </c>
      <c r="TNV1" s="21"/>
      <c r="TNW1" s="21"/>
      <c r="TNX1" s="21"/>
      <c r="TNY1" s="21"/>
      <c r="TNZ1" s="21"/>
      <c r="TOA1" s="21"/>
      <c r="TOB1" s="21"/>
      <c r="TOC1" s="21"/>
      <c r="TOD1" s="21"/>
      <c r="TOE1" s="21"/>
      <c r="TOF1" s="21"/>
      <c r="TOG1" s="21"/>
      <c r="TOH1" s="21"/>
      <c r="TOI1" s="21"/>
      <c r="TOJ1" s="21"/>
      <c r="TOK1" s="20" t="s">
        <v>297</v>
      </c>
      <c r="TOL1" s="21"/>
      <c r="TOM1" s="21"/>
      <c r="TON1" s="21"/>
      <c r="TOO1" s="21"/>
      <c r="TOP1" s="21"/>
      <c r="TOQ1" s="21"/>
      <c r="TOR1" s="21"/>
      <c r="TOS1" s="21"/>
      <c r="TOT1" s="21"/>
      <c r="TOU1" s="21"/>
      <c r="TOV1" s="21"/>
      <c r="TOW1" s="21"/>
      <c r="TOX1" s="21"/>
      <c r="TOY1" s="21"/>
      <c r="TOZ1" s="21"/>
      <c r="TPA1" s="20" t="s">
        <v>297</v>
      </c>
      <c r="TPB1" s="21"/>
      <c r="TPC1" s="21"/>
      <c r="TPD1" s="21"/>
      <c r="TPE1" s="21"/>
      <c r="TPF1" s="21"/>
      <c r="TPG1" s="21"/>
      <c r="TPH1" s="21"/>
      <c r="TPI1" s="21"/>
      <c r="TPJ1" s="21"/>
      <c r="TPK1" s="21"/>
      <c r="TPL1" s="21"/>
      <c r="TPM1" s="21"/>
      <c r="TPN1" s="21"/>
      <c r="TPO1" s="21"/>
      <c r="TPP1" s="21"/>
      <c r="TPQ1" s="20" t="s">
        <v>297</v>
      </c>
      <c r="TPR1" s="21"/>
      <c r="TPS1" s="21"/>
      <c r="TPT1" s="21"/>
      <c r="TPU1" s="21"/>
      <c r="TPV1" s="21"/>
      <c r="TPW1" s="21"/>
      <c r="TPX1" s="21"/>
      <c r="TPY1" s="21"/>
      <c r="TPZ1" s="21"/>
      <c r="TQA1" s="21"/>
      <c r="TQB1" s="21"/>
      <c r="TQC1" s="21"/>
      <c r="TQD1" s="21"/>
      <c r="TQE1" s="21"/>
      <c r="TQF1" s="21"/>
      <c r="TQG1" s="20" t="s">
        <v>297</v>
      </c>
      <c r="TQH1" s="21"/>
      <c r="TQI1" s="21"/>
      <c r="TQJ1" s="21"/>
      <c r="TQK1" s="21"/>
      <c r="TQL1" s="21"/>
      <c r="TQM1" s="21"/>
      <c r="TQN1" s="21"/>
      <c r="TQO1" s="21"/>
      <c r="TQP1" s="21"/>
      <c r="TQQ1" s="21"/>
      <c r="TQR1" s="21"/>
      <c r="TQS1" s="21"/>
      <c r="TQT1" s="21"/>
      <c r="TQU1" s="21"/>
      <c r="TQV1" s="21"/>
      <c r="TQW1" s="20" t="s">
        <v>297</v>
      </c>
      <c r="TQX1" s="21"/>
      <c r="TQY1" s="21"/>
      <c r="TQZ1" s="21"/>
      <c r="TRA1" s="21"/>
      <c r="TRB1" s="21"/>
      <c r="TRC1" s="21"/>
      <c r="TRD1" s="21"/>
      <c r="TRE1" s="21"/>
      <c r="TRF1" s="21"/>
      <c r="TRG1" s="21"/>
      <c r="TRH1" s="21"/>
      <c r="TRI1" s="21"/>
      <c r="TRJ1" s="21"/>
      <c r="TRK1" s="21"/>
      <c r="TRL1" s="21"/>
      <c r="TRM1" s="20" t="s">
        <v>297</v>
      </c>
      <c r="TRN1" s="21"/>
      <c r="TRO1" s="21"/>
      <c r="TRP1" s="21"/>
      <c r="TRQ1" s="21"/>
      <c r="TRR1" s="21"/>
      <c r="TRS1" s="21"/>
      <c r="TRT1" s="21"/>
      <c r="TRU1" s="21"/>
      <c r="TRV1" s="21"/>
      <c r="TRW1" s="21"/>
      <c r="TRX1" s="21"/>
      <c r="TRY1" s="21"/>
      <c r="TRZ1" s="21"/>
      <c r="TSA1" s="21"/>
      <c r="TSB1" s="21"/>
      <c r="TSC1" s="20" t="s">
        <v>297</v>
      </c>
      <c r="TSD1" s="21"/>
      <c r="TSE1" s="21"/>
      <c r="TSF1" s="21"/>
      <c r="TSG1" s="21"/>
      <c r="TSH1" s="21"/>
      <c r="TSI1" s="21"/>
      <c r="TSJ1" s="21"/>
      <c r="TSK1" s="21"/>
      <c r="TSL1" s="21"/>
      <c r="TSM1" s="21"/>
      <c r="TSN1" s="21"/>
      <c r="TSO1" s="21"/>
      <c r="TSP1" s="21"/>
      <c r="TSQ1" s="21"/>
      <c r="TSR1" s="21"/>
      <c r="TSS1" s="20" t="s">
        <v>297</v>
      </c>
      <c r="TST1" s="21"/>
      <c r="TSU1" s="21"/>
      <c r="TSV1" s="21"/>
      <c r="TSW1" s="21"/>
      <c r="TSX1" s="21"/>
      <c r="TSY1" s="21"/>
      <c r="TSZ1" s="21"/>
      <c r="TTA1" s="21"/>
      <c r="TTB1" s="21"/>
      <c r="TTC1" s="21"/>
      <c r="TTD1" s="21"/>
      <c r="TTE1" s="21"/>
      <c r="TTF1" s="21"/>
      <c r="TTG1" s="21"/>
      <c r="TTH1" s="21"/>
      <c r="TTI1" s="20" t="s">
        <v>297</v>
      </c>
      <c r="TTJ1" s="21"/>
      <c r="TTK1" s="21"/>
      <c r="TTL1" s="21"/>
      <c r="TTM1" s="21"/>
      <c r="TTN1" s="21"/>
      <c r="TTO1" s="21"/>
      <c r="TTP1" s="21"/>
      <c r="TTQ1" s="21"/>
      <c r="TTR1" s="21"/>
      <c r="TTS1" s="21"/>
      <c r="TTT1" s="21"/>
      <c r="TTU1" s="21"/>
      <c r="TTV1" s="21"/>
      <c r="TTW1" s="21"/>
      <c r="TTX1" s="21"/>
      <c r="TTY1" s="20" t="s">
        <v>297</v>
      </c>
      <c r="TTZ1" s="21"/>
      <c r="TUA1" s="21"/>
      <c r="TUB1" s="21"/>
      <c r="TUC1" s="21"/>
      <c r="TUD1" s="21"/>
      <c r="TUE1" s="21"/>
      <c r="TUF1" s="21"/>
      <c r="TUG1" s="21"/>
      <c r="TUH1" s="21"/>
      <c r="TUI1" s="21"/>
      <c r="TUJ1" s="21"/>
      <c r="TUK1" s="21"/>
      <c r="TUL1" s="21"/>
      <c r="TUM1" s="21"/>
      <c r="TUN1" s="21"/>
      <c r="TUO1" s="20" t="s">
        <v>297</v>
      </c>
      <c r="TUP1" s="21"/>
      <c r="TUQ1" s="21"/>
      <c r="TUR1" s="21"/>
      <c r="TUS1" s="21"/>
      <c r="TUT1" s="21"/>
      <c r="TUU1" s="21"/>
      <c r="TUV1" s="21"/>
      <c r="TUW1" s="21"/>
      <c r="TUX1" s="21"/>
      <c r="TUY1" s="21"/>
      <c r="TUZ1" s="21"/>
      <c r="TVA1" s="21"/>
      <c r="TVB1" s="21"/>
      <c r="TVC1" s="21"/>
      <c r="TVD1" s="21"/>
      <c r="TVE1" s="20" t="s">
        <v>297</v>
      </c>
      <c r="TVF1" s="21"/>
      <c r="TVG1" s="21"/>
      <c r="TVH1" s="21"/>
      <c r="TVI1" s="21"/>
      <c r="TVJ1" s="21"/>
      <c r="TVK1" s="21"/>
      <c r="TVL1" s="21"/>
      <c r="TVM1" s="21"/>
      <c r="TVN1" s="21"/>
      <c r="TVO1" s="21"/>
      <c r="TVP1" s="21"/>
      <c r="TVQ1" s="21"/>
      <c r="TVR1" s="21"/>
      <c r="TVS1" s="21"/>
      <c r="TVT1" s="21"/>
      <c r="TVU1" s="20" t="s">
        <v>297</v>
      </c>
      <c r="TVV1" s="21"/>
      <c r="TVW1" s="21"/>
      <c r="TVX1" s="21"/>
      <c r="TVY1" s="21"/>
      <c r="TVZ1" s="21"/>
      <c r="TWA1" s="21"/>
      <c r="TWB1" s="21"/>
      <c r="TWC1" s="21"/>
      <c r="TWD1" s="21"/>
      <c r="TWE1" s="21"/>
      <c r="TWF1" s="21"/>
      <c r="TWG1" s="21"/>
      <c r="TWH1" s="21"/>
      <c r="TWI1" s="21"/>
      <c r="TWJ1" s="21"/>
      <c r="TWK1" s="20" t="s">
        <v>297</v>
      </c>
      <c r="TWL1" s="21"/>
      <c r="TWM1" s="21"/>
      <c r="TWN1" s="21"/>
      <c r="TWO1" s="21"/>
      <c r="TWP1" s="21"/>
      <c r="TWQ1" s="21"/>
      <c r="TWR1" s="21"/>
      <c r="TWS1" s="21"/>
      <c r="TWT1" s="21"/>
      <c r="TWU1" s="21"/>
      <c r="TWV1" s="21"/>
      <c r="TWW1" s="21"/>
      <c r="TWX1" s="21"/>
      <c r="TWY1" s="21"/>
      <c r="TWZ1" s="21"/>
      <c r="TXA1" s="20" t="s">
        <v>297</v>
      </c>
      <c r="TXB1" s="21"/>
      <c r="TXC1" s="21"/>
      <c r="TXD1" s="21"/>
      <c r="TXE1" s="21"/>
      <c r="TXF1" s="21"/>
      <c r="TXG1" s="21"/>
      <c r="TXH1" s="21"/>
      <c r="TXI1" s="21"/>
      <c r="TXJ1" s="21"/>
      <c r="TXK1" s="21"/>
      <c r="TXL1" s="21"/>
      <c r="TXM1" s="21"/>
      <c r="TXN1" s="21"/>
      <c r="TXO1" s="21"/>
      <c r="TXP1" s="21"/>
      <c r="TXQ1" s="20" t="s">
        <v>297</v>
      </c>
      <c r="TXR1" s="21"/>
      <c r="TXS1" s="21"/>
      <c r="TXT1" s="21"/>
      <c r="TXU1" s="21"/>
      <c r="TXV1" s="21"/>
      <c r="TXW1" s="21"/>
      <c r="TXX1" s="21"/>
      <c r="TXY1" s="21"/>
      <c r="TXZ1" s="21"/>
      <c r="TYA1" s="21"/>
      <c r="TYB1" s="21"/>
      <c r="TYC1" s="21"/>
      <c r="TYD1" s="21"/>
      <c r="TYE1" s="21"/>
      <c r="TYF1" s="21"/>
      <c r="TYG1" s="20" t="s">
        <v>297</v>
      </c>
      <c r="TYH1" s="21"/>
      <c r="TYI1" s="21"/>
      <c r="TYJ1" s="21"/>
      <c r="TYK1" s="21"/>
      <c r="TYL1" s="21"/>
      <c r="TYM1" s="21"/>
      <c r="TYN1" s="21"/>
      <c r="TYO1" s="21"/>
      <c r="TYP1" s="21"/>
      <c r="TYQ1" s="21"/>
      <c r="TYR1" s="21"/>
      <c r="TYS1" s="21"/>
      <c r="TYT1" s="21"/>
      <c r="TYU1" s="21"/>
      <c r="TYV1" s="21"/>
      <c r="TYW1" s="20" t="s">
        <v>297</v>
      </c>
      <c r="TYX1" s="21"/>
      <c r="TYY1" s="21"/>
      <c r="TYZ1" s="21"/>
      <c r="TZA1" s="21"/>
      <c r="TZB1" s="21"/>
      <c r="TZC1" s="21"/>
      <c r="TZD1" s="21"/>
      <c r="TZE1" s="21"/>
      <c r="TZF1" s="21"/>
      <c r="TZG1" s="21"/>
      <c r="TZH1" s="21"/>
      <c r="TZI1" s="21"/>
      <c r="TZJ1" s="21"/>
      <c r="TZK1" s="21"/>
      <c r="TZL1" s="21"/>
      <c r="TZM1" s="20" t="s">
        <v>297</v>
      </c>
      <c r="TZN1" s="21"/>
      <c r="TZO1" s="21"/>
      <c r="TZP1" s="21"/>
      <c r="TZQ1" s="21"/>
      <c r="TZR1" s="21"/>
      <c r="TZS1" s="21"/>
      <c r="TZT1" s="21"/>
      <c r="TZU1" s="21"/>
      <c r="TZV1" s="21"/>
      <c r="TZW1" s="21"/>
      <c r="TZX1" s="21"/>
      <c r="TZY1" s="21"/>
      <c r="TZZ1" s="21"/>
      <c r="UAA1" s="21"/>
      <c r="UAB1" s="21"/>
      <c r="UAC1" s="20" t="s">
        <v>297</v>
      </c>
      <c r="UAD1" s="21"/>
      <c r="UAE1" s="21"/>
      <c r="UAF1" s="21"/>
      <c r="UAG1" s="21"/>
      <c r="UAH1" s="21"/>
      <c r="UAI1" s="21"/>
      <c r="UAJ1" s="21"/>
      <c r="UAK1" s="21"/>
      <c r="UAL1" s="21"/>
      <c r="UAM1" s="21"/>
      <c r="UAN1" s="21"/>
      <c r="UAO1" s="21"/>
      <c r="UAP1" s="21"/>
      <c r="UAQ1" s="21"/>
      <c r="UAR1" s="21"/>
      <c r="UAS1" s="20" t="s">
        <v>297</v>
      </c>
      <c r="UAT1" s="21"/>
      <c r="UAU1" s="21"/>
      <c r="UAV1" s="21"/>
      <c r="UAW1" s="21"/>
      <c r="UAX1" s="21"/>
      <c r="UAY1" s="21"/>
      <c r="UAZ1" s="21"/>
      <c r="UBA1" s="21"/>
      <c r="UBB1" s="21"/>
      <c r="UBC1" s="21"/>
      <c r="UBD1" s="21"/>
      <c r="UBE1" s="21"/>
      <c r="UBF1" s="21"/>
      <c r="UBG1" s="21"/>
      <c r="UBH1" s="21"/>
      <c r="UBI1" s="20" t="s">
        <v>297</v>
      </c>
      <c r="UBJ1" s="21"/>
      <c r="UBK1" s="21"/>
      <c r="UBL1" s="21"/>
      <c r="UBM1" s="21"/>
      <c r="UBN1" s="21"/>
      <c r="UBO1" s="21"/>
      <c r="UBP1" s="21"/>
      <c r="UBQ1" s="21"/>
      <c r="UBR1" s="21"/>
      <c r="UBS1" s="21"/>
      <c r="UBT1" s="21"/>
      <c r="UBU1" s="21"/>
      <c r="UBV1" s="21"/>
      <c r="UBW1" s="21"/>
      <c r="UBX1" s="21"/>
      <c r="UBY1" s="20" t="s">
        <v>297</v>
      </c>
      <c r="UBZ1" s="21"/>
      <c r="UCA1" s="21"/>
      <c r="UCB1" s="21"/>
      <c r="UCC1" s="21"/>
      <c r="UCD1" s="21"/>
      <c r="UCE1" s="21"/>
      <c r="UCF1" s="21"/>
      <c r="UCG1" s="21"/>
      <c r="UCH1" s="21"/>
      <c r="UCI1" s="21"/>
      <c r="UCJ1" s="21"/>
      <c r="UCK1" s="21"/>
      <c r="UCL1" s="21"/>
      <c r="UCM1" s="21"/>
      <c r="UCN1" s="21"/>
      <c r="UCO1" s="20" t="s">
        <v>297</v>
      </c>
      <c r="UCP1" s="21"/>
      <c r="UCQ1" s="21"/>
      <c r="UCR1" s="21"/>
      <c r="UCS1" s="21"/>
      <c r="UCT1" s="21"/>
      <c r="UCU1" s="21"/>
      <c r="UCV1" s="21"/>
      <c r="UCW1" s="21"/>
      <c r="UCX1" s="21"/>
      <c r="UCY1" s="21"/>
      <c r="UCZ1" s="21"/>
      <c r="UDA1" s="21"/>
      <c r="UDB1" s="21"/>
      <c r="UDC1" s="21"/>
      <c r="UDD1" s="21"/>
      <c r="UDE1" s="20" t="s">
        <v>297</v>
      </c>
      <c r="UDF1" s="21"/>
      <c r="UDG1" s="21"/>
      <c r="UDH1" s="21"/>
      <c r="UDI1" s="21"/>
      <c r="UDJ1" s="21"/>
      <c r="UDK1" s="21"/>
      <c r="UDL1" s="21"/>
      <c r="UDM1" s="21"/>
      <c r="UDN1" s="21"/>
      <c r="UDO1" s="21"/>
      <c r="UDP1" s="21"/>
      <c r="UDQ1" s="21"/>
      <c r="UDR1" s="21"/>
      <c r="UDS1" s="21"/>
      <c r="UDT1" s="21"/>
      <c r="UDU1" s="20" t="s">
        <v>297</v>
      </c>
      <c r="UDV1" s="21"/>
      <c r="UDW1" s="21"/>
      <c r="UDX1" s="21"/>
      <c r="UDY1" s="21"/>
      <c r="UDZ1" s="21"/>
      <c r="UEA1" s="21"/>
      <c r="UEB1" s="21"/>
      <c r="UEC1" s="21"/>
      <c r="UED1" s="21"/>
      <c r="UEE1" s="21"/>
      <c r="UEF1" s="21"/>
      <c r="UEG1" s="21"/>
      <c r="UEH1" s="21"/>
      <c r="UEI1" s="21"/>
      <c r="UEJ1" s="21"/>
      <c r="UEK1" s="20" t="s">
        <v>297</v>
      </c>
      <c r="UEL1" s="21"/>
      <c r="UEM1" s="21"/>
      <c r="UEN1" s="21"/>
      <c r="UEO1" s="21"/>
      <c r="UEP1" s="21"/>
      <c r="UEQ1" s="21"/>
      <c r="UER1" s="21"/>
      <c r="UES1" s="21"/>
      <c r="UET1" s="21"/>
      <c r="UEU1" s="21"/>
      <c r="UEV1" s="21"/>
      <c r="UEW1" s="21"/>
      <c r="UEX1" s="21"/>
      <c r="UEY1" s="21"/>
      <c r="UEZ1" s="21"/>
      <c r="UFA1" s="20" t="s">
        <v>297</v>
      </c>
      <c r="UFB1" s="21"/>
      <c r="UFC1" s="21"/>
      <c r="UFD1" s="21"/>
      <c r="UFE1" s="21"/>
      <c r="UFF1" s="21"/>
      <c r="UFG1" s="21"/>
      <c r="UFH1" s="21"/>
      <c r="UFI1" s="21"/>
      <c r="UFJ1" s="21"/>
      <c r="UFK1" s="21"/>
      <c r="UFL1" s="21"/>
      <c r="UFM1" s="21"/>
      <c r="UFN1" s="21"/>
      <c r="UFO1" s="21"/>
      <c r="UFP1" s="21"/>
      <c r="UFQ1" s="20" t="s">
        <v>297</v>
      </c>
      <c r="UFR1" s="21"/>
      <c r="UFS1" s="21"/>
      <c r="UFT1" s="21"/>
      <c r="UFU1" s="21"/>
      <c r="UFV1" s="21"/>
      <c r="UFW1" s="21"/>
      <c r="UFX1" s="21"/>
      <c r="UFY1" s="21"/>
      <c r="UFZ1" s="21"/>
      <c r="UGA1" s="21"/>
      <c r="UGB1" s="21"/>
      <c r="UGC1" s="21"/>
      <c r="UGD1" s="21"/>
      <c r="UGE1" s="21"/>
      <c r="UGF1" s="21"/>
      <c r="UGG1" s="20" t="s">
        <v>297</v>
      </c>
      <c r="UGH1" s="21"/>
      <c r="UGI1" s="21"/>
      <c r="UGJ1" s="21"/>
      <c r="UGK1" s="21"/>
      <c r="UGL1" s="21"/>
      <c r="UGM1" s="21"/>
      <c r="UGN1" s="21"/>
      <c r="UGO1" s="21"/>
      <c r="UGP1" s="21"/>
      <c r="UGQ1" s="21"/>
      <c r="UGR1" s="21"/>
      <c r="UGS1" s="21"/>
      <c r="UGT1" s="21"/>
      <c r="UGU1" s="21"/>
      <c r="UGV1" s="21"/>
      <c r="UGW1" s="20" t="s">
        <v>297</v>
      </c>
      <c r="UGX1" s="21"/>
      <c r="UGY1" s="21"/>
      <c r="UGZ1" s="21"/>
      <c r="UHA1" s="21"/>
      <c r="UHB1" s="21"/>
      <c r="UHC1" s="21"/>
      <c r="UHD1" s="21"/>
      <c r="UHE1" s="21"/>
      <c r="UHF1" s="21"/>
      <c r="UHG1" s="21"/>
      <c r="UHH1" s="21"/>
      <c r="UHI1" s="21"/>
      <c r="UHJ1" s="21"/>
      <c r="UHK1" s="21"/>
      <c r="UHL1" s="21"/>
      <c r="UHM1" s="20" t="s">
        <v>297</v>
      </c>
      <c r="UHN1" s="21"/>
      <c r="UHO1" s="21"/>
      <c r="UHP1" s="21"/>
      <c r="UHQ1" s="21"/>
      <c r="UHR1" s="21"/>
      <c r="UHS1" s="21"/>
      <c r="UHT1" s="21"/>
      <c r="UHU1" s="21"/>
      <c r="UHV1" s="21"/>
      <c r="UHW1" s="21"/>
      <c r="UHX1" s="21"/>
      <c r="UHY1" s="21"/>
      <c r="UHZ1" s="21"/>
      <c r="UIA1" s="21"/>
      <c r="UIB1" s="21"/>
      <c r="UIC1" s="20" t="s">
        <v>297</v>
      </c>
      <c r="UID1" s="21"/>
      <c r="UIE1" s="21"/>
      <c r="UIF1" s="21"/>
      <c r="UIG1" s="21"/>
      <c r="UIH1" s="21"/>
      <c r="UII1" s="21"/>
      <c r="UIJ1" s="21"/>
      <c r="UIK1" s="21"/>
      <c r="UIL1" s="21"/>
      <c r="UIM1" s="21"/>
      <c r="UIN1" s="21"/>
      <c r="UIO1" s="21"/>
      <c r="UIP1" s="21"/>
      <c r="UIQ1" s="21"/>
      <c r="UIR1" s="21"/>
      <c r="UIS1" s="20" t="s">
        <v>297</v>
      </c>
      <c r="UIT1" s="21"/>
      <c r="UIU1" s="21"/>
      <c r="UIV1" s="21"/>
      <c r="UIW1" s="21"/>
      <c r="UIX1" s="21"/>
      <c r="UIY1" s="21"/>
      <c r="UIZ1" s="21"/>
      <c r="UJA1" s="21"/>
      <c r="UJB1" s="21"/>
      <c r="UJC1" s="21"/>
      <c r="UJD1" s="21"/>
      <c r="UJE1" s="21"/>
      <c r="UJF1" s="21"/>
      <c r="UJG1" s="21"/>
      <c r="UJH1" s="21"/>
      <c r="UJI1" s="20" t="s">
        <v>297</v>
      </c>
      <c r="UJJ1" s="21"/>
      <c r="UJK1" s="21"/>
      <c r="UJL1" s="21"/>
      <c r="UJM1" s="21"/>
      <c r="UJN1" s="21"/>
      <c r="UJO1" s="21"/>
      <c r="UJP1" s="21"/>
      <c r="UJQ1" s="21"/>
      <c r="UJR1" s="21"/>
      <c r="UJS1" s="21"/>
      <c r="UJT1" s="21"/>
      <c r="UJU1" s="21"/>
      <c r="UJV1" s="21"/>
      <c r="UJW1" s="21"/>
      <c r="UJX1" s="21"/>
      <c r="UJY1" s="20" t="s">
        <v>297</v>
      </c>
      <c r="UJZ1" s="21"/>
      <c r="UKA1" s="21"/>
      <c r="UKB1" s="21"/>
      <c r="UKC1" s="21"/>
      <c r="UKD1" s="21"/>
      <c r="UKE1" s="21"/>
      <c r="UKF1" s="21"/>
      <c r="UKG1" s="21"/>
      <c r="UKH1" s="21"/>
      <c r="UKI1" s="21"/>
      <c r="UKJ1" s="21"/>
      <c r="UKK1" s="21"/>
      <c r="UKL1" s="21"/>
      <c r="UKM1" s="21"/>
      <c r="UKN1" s="21"/>
      <c r="UKO1" s="20" t="s">
        <v>297</v>
      </c>
      <c r="UKP1" s="21"/>
      <c r="UKQ1" s="21"/>
      <c r="UKR1" s="21"/>
      <c r="UKS1" s="21"/>
      <c r="UKT1" s="21"/>
      <c r="UKU1" s="21"/>
      <c r="UKV1" s="21"/>
      <c r="UKW1" s="21"/>
      <c r="UKX1" s="21"/>
      <c r="UKY1" s="21"/>
      <c r="UKZ1" s="21"/>
      <c r="ULA1" s="21"/>
      <c r="ULB1" s="21"/>
      <c r="ULC1" s="21"/>
      <c r="ULD1" s="21"/>
      <c r="ULE1" s="20" t="s">
        <v>297</v>
      </c>
      <c r="ULF1" s="21"/>
      <c r="ULG1" s="21"/>
      <c r="ULH1" s="21"/>
      <c r="ULI1" s="21"/>
      <c r="ULJ1" s="21"/>
      <c r="ULK1" s="21"/>
      <c r="ULL1" s="21"/>
      <c r="ULM1" s="21"/>
      <c r="ULN1" s="21"/>
      <c r="ULO1" s="21"/>
      <c r="ULP1" s="21"/>
      <c r="ULQ1" s="21"/>
      <c r="ULR1" s="21"/>
      <c r="ULS1" s="21"/>
      <c r="ULT1" s="21"/>
      <c r="ULU1" s="20" t="s">
        <v>297</v>
      </c>
      <c r="ULV1" s="21"/>
      <c r="ULW1" s="21"/>
      <c r="ULX1" s="21"/>
      <c r="ULY1" s="21"/>
      <c r="ULZ1" s="21"/>
      <c r="UMA1" s="21"/>
      <c r="UMB1" s="21"/>
      <c r="UMC1" s="21"/>
      <c r="UMD1" s="21"/>
      <c r="UME1" s="21"/>
      <c r="UMF1" s="21"/>
      <c r="UMG1" s="21"/>
      <c r="UMH1" s="21"/>
      <c r="UMI1" s="21"/>
      <c r="UMJ1" s="21"/>
      <c r="UMK1" s="20" t="s">
        <v>297</v>
      </c>
      <c r="UML1" s="21"/>
      <c r="UMM1" s="21"/>
      <c r="UMN1" s="21"/>
      <c r="UMO1" s="21"/>
      <c r="UMP1" s="21"/>
      <c r="UMQ1" s="21"/>
      <c r="UMR1" s="21"/>
      <c r="UMS1" s="21"/>
      <c r="UMT1" s="21"/>
      <c r="UMU1" s="21"/>
      <c r="UMV1" s="21"/>
      <c r="UMW1" s="21"/>
      <c r="UMX1" s="21"/>
      <c r="UMY1" s="21"/>
      <c r="UMZ1" s="21"/>
      <c r="UNA1" s="20" t="s">
        <v>297</v>
      </c>
      <c r="UNB1" s="21"/>
      <c r="UNC1" s="21"/>
      <c r="UND1" s="21"/>
      <c r="UNE1" s="21"/>
      <c r="UNF1" s="21"/>
      <c r="UNG1" s="21"/>
      <c r="UNH1" s="21"/>
      <c r="UNI1" s="21"/>
      <c r="UNJ1" s="21"/>
      <c r="UNK1" s="21"/>
      <c r="UNL1" s="21"/>
      <c r="UNM1" s="21"/>
      <c r="UNN1" s="21"/>
      <c r="UNO1" s="21"/>
      <c r="UNP1" s="21"/>
      <c r="UNQ1" s="20" t="s">
        <v>297</v>
      </c>
      <c r="UNR1" s="21"/>
      <c r="UNS1" s="21"/>
      <c r="UNT1" s="21"/>
      <c r="UNU1" s="21"/>
      <c r="UNV1" s="21"/>
      <c r="UNW1" s="21"/>
      <c r="UNX1" s="21"/>
      <c r="UNY1" s="21"/>
      <c r="UNZ1" s="21"/>
      <c r="UOA1" s="21"/>
      <c r="UOB1" s="21"/>
      <c r="UOC1" s="21"/>
      <c r="UOD1" s="21"/>
      <c r="UOE1" s="21"/>
      <c r="UOF1" s="21"/>
      <c r="UOG1" s="20" t="s">
        <v>297</v>
      </c>
      <c r="UOH1" s="21"/>
      <c r="UOI1" s="21"/>
      <c r="UOJ1" s="21"/>
      <c r="UOK1" s="21"/>
      <c r="UOL1" s="21"/>
      <c r="UOM1" s="21"/>
      <c r="UON1" s="21"/>
      <c r="UOO1" s="21"/>
      <c r="UOP1" s="21"/>
      <c r="UOQ1" s="21"/>
      <c r="UOR1" s="21"/>
      <c r="UOS1" s="21"/>
      <c r="UOT1" s="21"/>
      <c r="UOU1" s="21"/>
      <c r="UOV1" s="21"/>
      <c r="UOW1" s="20" t="s">
        <v>297</v>
      </c>
      <c r="UOX1" s="21"/>
      <c r="UOY1" s="21"/>
      <c r="UOZ1" s="21"/>
      <c r="UPA1" s="21"/>
      <c r="UPB1" s="21"/>
      <c r="UPC1" s="21"/>
      <c r="UPD1" s="21"/>
      <c r="UPE1" s="21"/>
      <c r="UPF1" s="21"/>
      <c r="UPG1" s="21"/>
      <c r="UPH1" s="21"/>
      <c r="UPI1" s="21"/>
      <c r="UPJ1" s="21"/>
      <c r="UPK1" s="21"/>
      <c r="UPL1" s="21"/>
      <c r="UPM1" s="20" t="s">
        <v>297</v>
      </c>
      <c r="UPN1" s="21"/>
      <c r="UPO1" s="21"/>
      <c r="UPP1" s="21"/>
      <c r="UPQ1" s="21"/>
      <c r="UPR1" s="21"/>
      <c r="UPS1" s="21"/>
      <c r="UPT1" s="21"/>
      <c r="UPU1" s="21"/>
      <c r="UPV1" s="21"/>
      <c r="UPW1" s="21"/>
      <c r="UPX1" s="21"/>
      <c r="UPY1" s="21"/>
      <c r="UPZ1" s="21"/>
      <c r="UQA1" s="21"/>
      <c r="UQB1" s="21"/>
      <c r="UQC1" s="20" t="s">
        <v>297</v>
      </c>
      <c r="UQD1" s="21"/>
      <c r="UQE1" s="21"/>
      <c r="UQF1" s="21"/>
      <c r="UQG1" s="21"/>
      <c r="UQH1" s="21"/>
      <c r="UQI1" s="21"/>
      <c r="UQJ1" s="21"/>
      <c r="UQK1" s="21"/>
      <c r="UQL1" s="21"/>
      <c r="UQM1" s="21"/>
      <c r="UQN1" s="21"/>
      <c r="UQO1" s="21"/>
      <c r="UQP1" s="21"/>
      <c r="UQQ1" s="21"/>
      <c r="UQR1" s="21"/>
      <c r="UQS1" s="20" t="s">
        <v>297</v>
      </c>
      <c r="UQT1" s="21"/>
      <c r="UQU1" s="21"/>
      <c r="UQV1" s="21"/>
      <c r="UQW1" s="21"/>
      <c r="UQX1" s="21"/>
      <c r="UQY1" s="21"/>
      <c r="UQZ1" s="21"/>
      <c r="URA1" s="21"/>
      <c r="URB1" s="21"/>
      <c r="URC1" s="21"/>
      <c r="URD1" s="21"/>
      <c r="URE1" s="21"/>
      <c r="URF1" s="21"/>
      <c r="URG1" s="21"/>
      <c r="URH1" s="21"/>
      <c r="URI1" s="20" t="s">
        <v>297</v>
      </c>
      <c r="URJ1" s="21"/>
      <c r="URK1" s="21"/>
      <c r="URL1" s="21"/>
      <c r="URM1" s="21"/>
      <c r="URN1" s="21"/>
      <c r="URO1" s="21"/>
      <c r="URP1" s="21"/>
      <c r="URQ1" s="21"/>
      <c r="URR1" s="21"/>
      <c r="URS1" s="21"/>
      <c r="URT1" s="21"/>
      <c r="URU1" s="21"/>
      <c r="URV1" s="21"/>
      <c r="URW1" s="21"/>
      <c r="URX1" s="21"/>
      <c r="URY1" s="20" t="s">
        <v>297</v>
      </c>
      <c r="URZ1" s="21"/>
      <c r="USA1" s="21"/>
      <c r="USB1" s="21"/>
      <c r="USC1" s="21"/>
      <c r="USD1" s="21"/>
      <c r="USE1" s="21"/>
      <c r="USF1" s="21"/>
      <c r="USG1" s="21"/>
      <c r="USH1" s="21"/>
      <c r="USI1" s="21"/>
      <c r="USJ1" s="21"/>
      <c r="USK1" s="21"/>
      <c r="USL1" s="21"/>
      <c r="USM1" s="21"/>
      <c r="USN1" s="21"/>
      <c r="USO1" s="20" t="s">
        <v>297</v>
      </c>
      <c r="USP1" s="21"/>
      <c r="USQ1" s="21"/>
      <c r="USR1" s="21"/>
      <c r="USS1" s="21"/>
      <c r="UST1" s="21"/>
      <c r="USU1" s="21"/>
      <c r="USV1" s="21"/>
      <c r="USW1" s="21"/>
      <c r="USX1" s="21"/>
      <c r="USY1" s="21"/>
      <c r="USZ1" s="21"/>
      <c r="UTA1" s="21"/>
      <c r="UTB1" s="21"/>
      <c r="UTC1" s="21"/>
      <c r="UTD1" s="21"/>
      <c r="UTE1" s="20" t="s">
        <v>297</v>
      </c>
      <c r="UTF1" s="21"/>
      <c r="UTG1" s="21"/>
      <c r="UTH1" s="21"/>
      <c r="UTI1" s="21"/>
      <c r="UTJ1" s="21"/>
      <c r="UTK1" s="21"/>
      <c r="UTL1" s="21"/>
      <c r="UTM1" s="21"/>
      <c r="UTN1" s="21"/>
      <c r="UTO1" s="21"/>
      <c r="UTP1" s="21"/>
      <c r="UTQ1" s="21"/>
      <c r="UTR1" s="21"/>
      <c r="UTS1" s="21"/>
      <c r="UTT1" s="21"/>
      <c r="UTU1" s="20" t="s">
        <v>297</v>
      </c>
      <c r="UTV1" s="21"/>
      <c r="UTW1" s="21"/>
      <c r="UTX1" s="21"/>
      <c r="UTY1" s="21"/>
      <c r="UTZ1" s="21"/>
      <c r="UUA1" s="21"/>
      <c r="UUB1" s="21"/>
      <c r="UUC1" s="21"/>
      <c r="UUD1" s="21"/>
      <c r="UUE1" s="21"/>
      <c r="UUF1" s="21"/>
      <c r="UUG1" s="21"/>
      <c r="UUH1" s="21"/>
      <c r="UUI1" s="21"/>
      <c r="UUJ1" s="21"/>
      <c r="UUK1" s="20" t="s">
        <v>297</v>
      </c>
      <c r="UUL1" s="21"/>
      <c r="UUM1" s="21"/>
      <c r="UUN1" s="21"/>
      <c r="UUO1" s="21"/>
      <c r="UUP1" s="21"/>
      <c r="UUQ1" s="21"/>
      <c r="UUR1" s="21"/>
      <c r="UUS1" s="21"/>
      <c r="UUT1" s="21"/>
      <c r="UUU1" s="21"/>
      <c r="UUV1" s="21"/>
      <c r="UUW1" s="21"/>
      <c r="UUX1" s="21"/>
      <c r="UUY1" s="21"/>
      <c r="UUZ1" s="21"/>
      <c r="UVA1" s="20" t="s">
        <v>297</v>
      </c>
      <c r="UVB1" s="21"/>
      <c r="UVC1" s="21"/>
      <c r="UVD1" s="21"/>
      <c r="UVE1" s="21"/>
      <c r="UVF1" s="21"/>
      <c r="UVG1" s="21"/>
      <c r="UVH1" s="21"/>
      <c r="UVI1" s="21"/>
      <c r="UVJ1" s="21"/>
      <c r="UVK1" s="21"/>
      <c r="UVL1" s="21"/>
      <c r="UVM1" s="21"/>
      <c r="UVN1" s="21"/>
      <c r="UVO1" s="21"/>
      <c r="UVP1" s="21"/>
      <c r="UVQ1" s="20" t="s">
        <v>297</v>
      </c>
      <c r="UVR1" s="21"/>
      <c r="UVS1" s="21"/>
      <c r="UVT1" s="21"/>
      <c r="UVU1" s="21"/>
      <c r="UVV1" s="21"/>
      <c r="UVW1" s="21"/>
      <c r="UVX1" s="21"/>
      <c r="UVY1" s="21"/>
      <c r="UVZ1" s="21"/>
      <c r="UWA1" s="21"/>
      <c r="UWB1" s="21"/>
      <c r="UWC1" s="21"/>
      <c r="UWD1" s="21"/>
      <c r="UWE1" s="21"/>
      <c r="UWF1" s="21"/>
      <c r="UWG1" s="20" t="s">
        <v>297</v>
      </c>
      <c r="UWH1" s="21"/>
      <c r="UWI1" s="21"/>
      <c r="UWJ1" s="21"/>
      <c r="UWK1" s="21"/>
      <c r="UWL1" s="21"/>
      <c r="UWM1" s="21"/>
      <c r="UWN1" s="21"/>
      <c r="UWO1" s="21"/>
      <c r="UWP1" s="21"/>
      <c r="UWQ1" s="21"/>
      <c r="UWR1" s="21"/>
      <c r="UWS1" s="21"/>
      <c r="UWT1" s="21"/>
      <c r="UWU1" s="21"/>
      <c r="UWV1" s="21"/>
      <c r="UWW1" s="20" t="s">
        <v>297</v>
      </c>
      <c r="UWX1" s="21"/>
      <c r="UWY1" s="21"/>
      <c r="UWZ1" s="21"/>
      <c r="UXA1" s="21"/>
      <c r="UXB1" s="21"/>
      <c r="UXC1" s="21"/>
      <c r="UXD1" s="21"/>
      <c r="UXE1" s="21"/>
      <c r="UXF1" s="21"/>
      <c r="UXG1" s="21"/>
      <c r="UXH1" s="21"/>
      <c r="UXI1" s="21"/>
      <c r="UXJ1" s="21"/>
      <c r="UXK1" s="21"/>
      <c r="UXL1" s="21"/>
      <c r="UXM1" s="20" t="s">
        <v>297</v>
      </c>
      <c r="UXN1" s="21"/>
      <c r="UXO1" s="21"/>
      <c r="UXP1" s="21"/>
      <c r="UXQ1" s="21"/>
      <c r="UXR1" s="21"/>
      <c r="UXS1" s="21"/>
      <c r="UXT1" s="21"/>
      <c r="UXU1" s="21"/>
      <c r="UXV1" s="21"/>
      <c r="UXW1" s="21"/>
      <c r="UXX1" s="21"/>
      <c r="UXY1" s="21"/>
      <c r="UXZ1" s="21"/>
      <c r="UYA1" s="21"/>
      <c r="UYB1" s="21"/>
      <c r="UYC1" s="20" t="s">
        <v>297</v>
      </c>
      <c r="UYD1" s="21"/>
      <c r="UYE1" s="21"/>
      <c r="UYF1" s="21"/>
      <c r="UYG1" s="21"/>
      <c r="UYH1" s="21"/>
      <c r="UYI1" s="21"/>
      <c r="UYJ1" s="21"/>
      <c r="UYK1" s="21"/>
      <c r="UYL1" s="21"/>
      <c r="UYM1" s="21"/>
      <c r="UYN1" s="21"/>
      <c r="UYO1" s="21"/>
      <c r="UYP1" s="21"/>
      <c r="UYQ1" s="21"/>
      <c r="UYR1" s="21"/>
      <c r="UYS1" s="20" t="s">
        <v>297</v>
      </c>
      <c r="UYT1" s="21"/>
      <c r="UYU1" s="21"/>
      <c r="UYV1" s="21"/>
      <c r="UYW1" s="21"/>
      <c r="UYX1" s="21"/>
      <c r="UYY1" s="21"/>
      <c r="UYZ1" s="21"/>
      <c r="UZA1" s="21"/>
      <c r="UZB1" s="21"/>
      <c r="UZC1" s="21"/>
      <c r="UZD1" s="21"/>
      <c r="UZE1" s="21"/>
      <c r="UZF1" s="21"/>
      <c r="UZG1" s="21"/>
      <c r="UZH1" s="21"/>
      <c r="UZI1" s="20" t="s">
        <v>297</v>
      </c>
      <c r="UZJ1" s="21"/>
      <c r="UZK1" s="21"/>
      <c r="UZL1" s="21"/>
      <c r="UZM1" s="21"/>
      <c r="UZN1" s="21"/>
      <c r="UZO1" s="21"/>
      <c r="UZP1" s="21"/>
      <c r="UZQ1" s="21"/>
      <c r="UZR1" s="21"/>
      <c r="UZS1" s="21"/>
      <c r="UZT1" s="21"/>
      <c r="UZU1" s="21"/>
      <c r="UZV1" s="21"/>
      <c r="UZW1" s="21"/>
      <c r="UZX1" s="21"/>
      <c r="UZY1" s="20" t="s">
        <v>297</v>
      </c>
      <c r="UZZ1" s="21"/>
      <c r="VAA1" s="21"/>
      <c r="VAB1" s="21"/>
      <c r="VAC1" s="21"/>
      <c r="VAD1" s="21"/>
      <c r="VAE1" s="21"/>
      <c r="VAF1" s="21"/>
      <c r="VAG1" s="21"/>
      <c r="VAH1" s="21"/>
      <c r="VAI1" s="21"/>
      <c r="VAJ1" s="21"/>
      <c r="VAK1" s="21"/>
      <c r="VAL1" s="21"/>
      <c r="VAM1" s="21"/>
      <c r="VAN1" s="21"/>
      <c r="VAO1" s="20" t="s">
        <v>297</v>
      </c>
      <c r="VAP1" s="21"/>
      <c r="VAQ1" s="21"/>
      <c r="VAR1" s="21"/>
      <c r="VAS1" s="21"/>
      <c r="VAT1" s="21"/>
      <c r="VAU1" s="21"/>
      <c r="VAV1" s="21"/>
      <c r="VAW1" s="21"/>
      <c r="VAX1" s="21"/>
      <c r="VAY1" s="21"/>
      <c r="VAZ1" s="21"/>
      <c r="VBA1" s="21"/>
      <c r="VBB1" s="21"/>
      <c r="VBC1" s="21"/>
      <c r="VBD1" s="21"/>
      <c r="VBE1" s="20" t="s">
        <v>297</v>
      </c>
      <c r="VBF1" s="21"/>
      <c r="VBG1" s="21"/>
      <c r="VBH1" s="21"/>
      <c r="VBI1" s="21"/>
      <c r="VBJ1" s="21"/>
      <c r="VBK1" s="21"/>
      <c r="VBL1" s="21"/>
      <c r="VBM1" s="21"/>
      <c r="VBN1" s="21"/>
      <c r="VBO1" s="21"/>
      <c r="VBP1" s="21"/>
      <c r="VBQ1" s="21"/>
      <c r="VBR1" s="21"/>
      <c r="VBS1" s="21"/>
      <c r="VBT1" s="21"/>
      <c r="VBU1" s="20" t="s">
        <v>297</v>
      </c>
      <c r="VBV1" s="21"/>
      <c r="VBW1" s="21"/>
      <c r="VBX1" s="21"/>
      <c r="VBY1" s="21"/>
      <c r="VBZ1" s="21"/>
      <c r="VCA1" s="21"/>
      <c r="VCB1" s="21"/>
      <c r="VCC1" s="21"/>
      <c r="VCD1" s="21"/>
      <c r="VCE1" s="21"/>
      <c r="VCF1" s="21"/>
      <c r="VCG1" s="21"/>
      <c r="VCH1" s="21"/>
      <c r="VCI1" s="21"/>
      <c r="VCJ1" s="21"/>
      <c r="VCK1" s="20" t="s">
        <v>297</v>
      </c>
      <c r="VCL1" s="21"/>
      <c r="VCM1" s="21"/>
      <c r="VCN1" s="21"/>
      <c r="VCO1" s="21"/>
      <c r="VCP1" s="21"/>
      <c r="VCQ1" s="21"/>
      <c r="VCR1" s="21"/>
      <c r="VCS1" s="21"/>
      <c r="VCT1" s="21"/>
      <c r="VCU1" s="21"/>
      <c r="VCV1" s="21"/>
      <c r="VCW1" s="21"/>
      <c r="VCX1" s="21"/>
      <c r="VCY1" s="21"/>
      <c r="VCZ1" s="21"/>
      <c r="VDA1" s="20" t="s">
        <v>297</v>
      </c>
      <c r="VDB1" s="21"/>
      <c r="VDC1" s="21"/>
      <c r="VDD1" s="21"/>
      <c r="VDE1" s="21"/>
      <c r="VDF1" s="21"/>
      <c r="VDG1" s="21"/>
      <c r="VDH1" s="21"/>
      <c r="VDI1" s="21"/>
      <c r="VDJ1" s="21"/>
      <c r="VDK1" s="21"/>
      <c r="VDL1" s="21"/>
      <c r="VDM1" s="21"/>
      <c r="VDN1" s="21"/>
      <c r="VDO1" s="21"/>
      <c r="VDP1" s="21"/>
      <c r="VDQ1" s="20" t="s">
        <v>297</v>
      </c>
      <c r="VDR1" s="21"/>
      <c r="VDS1" s="21"/>
      <c r="VDT1" s="21"/>
      <c r="VDU1" s="21"/>
      <c r="VDV1" s="21"/>
      <c r="VDW1" s="21"/>
      <c r="VDX1" s="21"/>
      <c r="VDY1" s="21"/>
      <c r="VDZ1" s="21"/>
      <c r="VEA1" s="21"/>
      <c r="VEB1" s="21"/>
      <c r="VEC1" s="21"/>
      <c r="VED1" s="21"/>
      <c r="VEE1" s="21"/>
      <c r="VEF1" s="21"/>
      <c r="VEG1" s="20" t="s">
        <v>297</v>
      </c>
      <c r="VEH1" s="21"/>
      <c r="VEI1" s="21"/>
      <c r="VEJ1" s="21"/>
      <c r="VEK1" s="21"/>
      <c r="VEL1" s="21"/>
      <c r="VEM1" s="21"/>
      <c r="VEN1" s="21"/>
      <c r="VEO1" s="21"/>
      <c r="VEP1" s="21"/>
      <c r="VEQ1" s="21"/>
      <c r="VER1" s="21"/>
      <c r="VES1" s="21"/>
      <c r="VET1" s="21"/>
      <c r="VEU1" s="21"/>
      <c r="VEV1" s="21"/>
      <c r="VEW1" s="20" t="s">
        <v>297</v>
      </c>
      <c r="VEX1" s="21"/>
      <c r="VEY1" s="21"/>
      <c r="VEZ1" s="21"/>
      <c r="VFA1" s="21"/>
      <c r="VFB1" s="21"/>
      <c r="VFC1" s="21"/>
      <c r="VFD1" s="21"/>
      <c r="VFE1" s="21"/>
      <c r="VFF1" s="21"/>
      <c r="VFG1" s="21"/>
      <c r="VFH1" s="21"/>
      <c r="VFI1" s="21"/>
      <c r="VFJ1" s="21"/>
      <c r="VFK1" s="21"/>
      <c r="VFL1" s="21"/>
      <c r="VFM1" s="20" t="s">
        <v>297</v>
      </c>
      <c r="VFN1" s="21"/>
      <c r="VFO1" s="21"/>
      <c r="VFP1" s="21"/>
      <c r="VFQ1" s="21"/>
      <c r="VFR1" s="21"/>
      <c r="VFS1" s="21"/>
      <c r="VFT1" s="21"/>
      <c r="VFU1" s="21"/>
      <c r="VFV1" s="21"/>
      <c r="VFW1" s="21"/>
      <c r="VFX1" s="21"/>
      <c r="VFY1" s="21"/>
      <c r="VFZ1" s="21"/>
      <c r="VGA1" s="21"/>
      <c r="VGB1" s="21"/>
      <c r="VGC1" s="20" t="s">
        <v>297</v>
      </c>
      <c r="VGD1" s="21"/>
      <c r="VGE1" s="21"/>
      <c r="VGF1" s="21"/>
      <c r="VGG1" s="21"/>
      <c r="VGH1" s="21"/>
      <c r="VGI1" s="21"/>
      <c r="VGJ1" s="21"/>
      <c r="VGK1" s="21"/>
      <c r="VGL1" s="21"/>
      <c r="VGM1" s="21"/>
      <c r="VGN1" s="21"/>
      <c r="VGO1" s="21"/>
      <c r="VGP1" s="21"/>
      <c r="VGQ1" s="21"/>
      <c r="VGR1" s="21"/>
      <c r="VGS1" s="20" t="s">
        <v>297</v>
      </c>
      <c r="VGT1" s="21"/>
      <c r="VGU1" s="21"/>
      <c r="VGV1" s="21"/>
      <c r="VGW1" s="21"/>
      <c r="VGX1" s="21"/>
      <c r="VGY1" s="21"/>
      <c r="VGZ1" s="21"/>
      <c r="VHA1" s="21"/>
      <c r="VHB1" s="21"/>
      <c r="VHC1" s="21"/>
      <c r="VHD1" s="21"/>
      <c r="VHE1" s="21"/>
      <c r="VHF1" s="21"/>
      <c r="VHG1" s="21"/>
      <c r="VHH1" s="21"/>
      <c r="VHI1" s="20" t="s">
        <v>297</v>
      </c>
      <c r="VHJ1" s="21"/>
      <c r="VHK1" s="21"/>
      <c r="VHL1" s="21"/>
      <c r="VHM1" s="21"/>
      <c r="VHN1" s="21"/>
      <c r="VHO1" s="21"/>
      <c r="VHP1" s="21"/>
      <c r="VHQ1" s="21"/>
      <c r="VHR1" s="21"/>
      <c r="VHS1" s="21"/>
      <c r="VHT1" s="21"/>
      <c r="VHU1" s="21"/>
      <c r="VHV1" s="21"/>
      <c r="VHW1" s="21"/>
      <c r="VHX1" s="21"/>
      <c r="VHY1" s="20" t="s">
        <v>297</v>
      </c>
      <c r="VHZ1" s="21"/>
      <c r="VIA1" s="21"/>
      <c r="VIB1" s="21"/>
      <c r="VIC1" s="21"/>
      <c r="VID1" s="21"/>
      <c r="VIE1" s="21"/>
      <c r="VIF1" s="21"/>
      <c r="VIG1" s="21"/>
      <c r="VIH1" s="21"/>
      <c r="VII1" s="21"/>
      <c r="VIJ1" s="21"/>
      <c r="VIK1" s="21"/>
      <c r="VIL1" s="21"/>
      <c r="VIM1" s="21"/>
      <c r="VIN1" s="21"/>
      <c r="VIO1" s="20" t="s">
        <v>297</v>
      </c>
      <c r="VIP1" s="21"/>
      <c r="VIQ1" s="21"/>
      <c r="VIR1" s="21"/>
      <c r="VIS1" s="21"/>
      <c r="VIT1" s="21"/>
      <c r="VIU1" s="21"/>
      <c r="VIV1" s="21"/>
      <c r="VIW1" s="21"/>
      <c r="VIX1" s="21"/>
      <c r="VIY1" s="21"/>
      <c r="VIZ1" s="21"/>
      <c r="VJA1" s="21"/>
      <c r="VJB1" s="21"/>
      <c r="VJC1" s="21"/>
      <c r="VJD1" s="21"/>
      <c r="VJE1" s="20" t="s">
        <v>297</v>
      </c>
      <c r="VJF1" s="21"/>
      <c r="VJG1" s="21"/>
      <c r="VJH1" s="21"/>
      <c r="VJI1" s="21"/>
      <c r="VJJ1" s="21"/>
      <c r="VJK1" s="21"/>
      <c r="VJL1" s="21"/>
      <c r="VJM1" s="21"/>
      <c r="VJN1" s="21"/>
      <c r="VJO1" s="21"/>
      <c r="VJP1" s="21"/>
      <c r="VJQ1" s="21"/>
      <c r="VJR1" s="21"/>
      <c r="VJS1" s="21"/>
      <c r="VJT1" s="21"/>
      <c r="VJU1" s="20" t="s">
        <v>297</v>
      </c>
      <c r="VJV1" s="21"/>
      <c r="VJW1" s="21"/>
      <c r="VJX1" s="21"/>
      <c r="VJY1" s="21"/>
      <c r="VJZ1" s="21"/>
      <c r="VKA1" s="21"/>
      <c r="VKB1" s="21"/>
      <c r="VKC1" s="21"/>
      <c r="VKD1" s="21"/>
      <c r="VKE1" s="21"/>
      <c r="VKF1" s="21"/>
      <c r="VKG1" s="21"/>
      <c r="VKH1" s="21"/>
      <c r="VKI1" s="21"/>
      <c r="VKJ1" s="21"/>
      <c r="VKK1" s="20" t="s">
        <v>297</v>
      </c>
      <c r="VKL1" s="21"/>
      <c r="VKM1" s="21"/>
      <c r="VKN1" s="21"/>
      <c r="VKO1" s="21"/>
      <c r="VKP1" s="21"/>
      <c r="VKQ1" s="21"/>
      <c r="VKR1" s="21"/>
      <c r="VKS1" s="21"/>
      <c r="VKT1" s="21"/>
      <c r="VKU1" s="21"/>
      <c r="VKV1" s="21"/>
      <c r="VKW1" s="21"/>
      <c r="VKX1" s="21"/>
      <c r="VKY1" s="21"/>
      <c r="VKZ1" s="21"/>
      <c r="VLA1" s="20" t="s">
        <v>297</v>
      </c>
      <c r="VLB1" s="21"/>
      <c r="VLC1" s="21"/>
      <c r="VLD1" s="21"/>
      <c r="VLE1" s="21"/>
      <c r="VLF1" s="21"/>
      <c r="VLG1" s="21"/>
      <c r="VLH1" s="21"/>
      <c r="VLI1" s="21"/>
      <c r="VLJ1" s="21"/>
      <c r="VLK1" s="21"/>
      <c r="VLL1" s="21"/>
      <c r="VLM1" s="21"/>
      <c r="VLN1" s="21"/>
      <c r="VLO1" s="21"/>
      <c r="VLP1" s="21"/>
      <c r="VLQ1" s="20" t="s">
        <v>297</v>
      </c>
      <c r="VLR1" s="21"/>
      <c r="VLS1" s="21"/>
      <c r="VLT1" s="21"/>
      <c r="VLU1" s="21"/>
      <c r="VLV1" s="21"/>
      <c r="VLW1" s="21"/>
      <c r="VLX1" s="21"/>
      <c r="VLY1" s="21"/>
      <c r="VLZ1" s="21"/>
      <c r="VMA1" s="21"/>
      <c r="VMB1" s="21"/>
      <c r="VMC1" s="21"/>
      <c r="VMD1" s="21"/>
      <c r="VME1" s="21"/>
      <c r="VMF1" s="21"/>
      <c r="VMG1" s="20" t="s">
        <v>297</v>
      </c>
      <c r="VMH1" s="21"/>
      <c r="VMI1" s="21"/>
      <c r="VMJ1" s="21"/>
      <c r="VMK1" s="21"/>
      <c r="VML1" s="21"/>
      <c r="VMM1" s="21"/>
      <c r="VMN1" s="21"/>
      <c r="VMO1" s="21"/>
      <c r="VMP1" s="21"/>
      <c r="VMQ1" s="21"/>
      <c r="VMR1" s="21"/>
      <c r="VMS1" s="21"/>
      <c r="VMT1" s="21"/>
      <c r="VMU1" s="21"/>
      <c r="VMV1" s="21"/>
      <c r="VMW1" s="20" t="s">
        <v>297</v>
      </c>
      <c r="VMX1" s="21"/>
      <c r="VMY1" s="21"/>
      <c r="VMZ1" s="21"/>
      <c r="VNA1" s="21"/>
      <c r="VNB1" s="21"/>
      <c r="VNC1" s="21"/>
      <c r="VND1" s="21"/>
      <c r="VNE1" s="21"/>
      <c r="VNF1" s="21"/>
      <c r="VNG1" s="21"/>
      <c r="VNH1" s="21"/>
      <c r="VNI1" s="21"/>
      <c r="VNJ1" s="21"/>
      <c r="VNK1" s="21"/>
      <c r="VNL1" s="21"/>
      <c r="VNM1" s="20" t="s">
        <v>297</v>
      </c>
      <c r="VNN1" s="21"/>
      <c r="VNO1" s="21"/>
      <c r="VNP1" s="21"/>
      <c r="VNQ1" s="21"/>
      <c r="VNR1" s="21"/>
      <c r="VNS1" s="21"/>
      <c r="VNT1" s="21"/>
      <c r="VNU1" s="21"/>
      <c r="VNV1" s="21"/>
      <c r="VNW1" s="21"/>
      <c r="VNX1" s="21"/>
      <c r="VNY1" s="21"/>
      <c r="VNZ1" s="21"/>
      <c r="VOA1" s="21"/>
      <c r="VOB1" s="21"/>
      <c r="VOC1" s="20" t="s">
        <v>297</v>
      </c>
      <c r="VOD1" s="21"/>
      <c r="VOE1" s="21"/>
      <c r="VOF1" s="21"/>
      <c r="VOG1" s="21"/>
      <c r="VOH1" s="21"/>
      <c r="VOI1" s="21"/>
      <c r="VOJ1" s="21"/>
      <c r="VOK1" s="21"/>
      <c r="VOL1" s="21"/>
      <c r="VOM1" s="21"/>
      <c r="VON1" s="21"/>
      <c r="VOO1" s="21"/>
      <c r="VOP1" s="21"/>
      <c r="VOQ1" s="21"/>
      <c r="VOR1" s="21"/>
      <c r="VOS1" s="20" t="s">
        <v>297</v>
      </c>
      <c r="VOT1" s="21"/>
      <c r="VOU1" s="21"/>
      <c r="VOV1" s="21"/>
      <c r="VOW1" s="21"/>
      <c r="VOX1" s="21"/>
      <c r="VOY1" s="21"/>
      <c r="VOZ1" s="21"/>
      <c r="VPA1" s="21"/>
      <c r="VPB1" s="21"/>
      <c r="VPC1" s="21"/>
      <c r="VPD1" s="21"/>
      <c r="VPE1" s="21"/>
      <c r="VPF1" s="21"/>
      <c r="VPG1" s="21"/>
      <c r="VPH1" s="21"/>
      <c r="VPI1" s="20" t="s">
        <v>297</v>
      </c>
      <c r="VPJ1" s="21"/>
      <c r="VPK1" s="21"/>
      <c r="VPL1" s="21"/>
      <c r="VPM1" s="21"/>
      <c r="VPN1" s="21"/>
      <c r="VPO1" s="21"/>
      <c r="VPP1" s="21"/>
      <c r="VPQ1" s="21"/>
      <c r="VPR1" s="21"/>
      <c r="VPS1" s="21"/>
      <c r="VPT1" s="21"/>
      <c r="VPU1" s="21"/>
      <c r="VPV1" s="21"/>
      <c r="VPW1" s="21"/>
      <c r="VPX1" s="21"/>
      <c r="VPY1" s="20" t="s">
        <v>297</v>
      </c>
      <c r="VPZ1" s="21"/>
      <c r="VQA1" s="21"/>
      <c r="VQB1" s="21"/>
      <c r="VQC1" s="21"/>
      <c r="VQD1" s="21"/>
      <c r="VQE1" s="21"/>
      <c r="VQF1" s="21"/>
      <c r="VQG1" s="21"/>
      <c r="VQH1" s="21"/>
      <c r="VQI1" s="21"/>
      <c r="VQJ1" s="21"/>
      <c r="VQK1" s="21"/>
      <c r="VQL1" s="21"/>
      <c r="VQM1" s="21"/>
      <c r="VQN1" s="21"/>
      <c r="VQO1" s="20" t="s">
        <v>297</v>
      </c>
      <c r="VQP1" s="21"/>
      <c r="VQQ1" s="21"/>
      <c r="VQR1" s="21"/>
      <c r="VQS1" s="21"/>
      <c r="VQT1" s="21"/>
      <c r="VQU1" s="21"/>
      <c r="VQV1" s="21"/>
      <c r="VQW1" s="21"/>
      <c r="VQX1" s="21"/>
      <c r="VQY1" s="21"/>
      <c r="VQZ1" s="21"/>
      <c r="VRA1" s="21"/>
      <c r="VRB1" s="21"/>
      <c r="VRC1" s="21"/>
      <c r="VRD1" s="21"/>
      <c r="VRE1" s="20" t="s">
        <v>297</v>
      </c>
      <c r="VRF1" s="21"/>
      <c r="VRG1" s="21"/>
      <c r="VRH1" s="21"/>
      <c r="VRI1" s="21"/>
      <c r="VRJ1" s="21"/>
      <c r="VRK1" s="21"/>
      <c r="VRL1" s="21"/>
      <c r="VRM1" s="21"/>
      <c r="VRN1" s="21"/>
      <c r="VRO1" s="21"/>
      <c r="VRP1" s="21"/>
      <c r="VRQ1" s="21"/>
      <c r="VRR1" s="21"/>
      <c r="VRS1" s="21"/>
      <c r="VRT1" s="21"/>
      <c r="VRU1" s="20" t="s">
        <v>297</v>
      </c>
      <c r="VRV1" s="21"/>
      <c r="VRW1" s="21"/>
      <c r="VRX1" s="21"/>
      <c r="VRY1" s="21"/>
      <c r="VRZ1" s="21"/>
      <c r="VSA1" s="21"/>
      <c r="VSB1" s="21"/>
      <c r="VSC1" s="21"/>
      <c r="VSD1" s="21"/>
      <c r="VSE1" s="21"/>
      <c r="VSF1" s="21"/>
      <c r="VSG1" s="21"/>
      <c r="VSH1" s="21"/>
      <c r="VSI1" s="21"/>
      <c r="VSJ1" s="21"/>
      <c r="VSK1" s="20" t="s">
        <v>297</v>
      </c>
      <c r="VSL1" s="21"/>
      <c r="VSM1" s="21"/>
      <c r="VSN1" s="21"/>
      <c r="VSO1" s="21"/>
      <c r="VSP1" s="21"/>
      <c r="VSQ1" s="21"/>
      <c r="VSR1" s="21"/>
      <c r="VSS1" s="21"/>
      <c r="VST1" s="21"/>
      <c r="VSU1" s="21"/>
      <c r="VSV1" s="21"/>
      <c r="VSW1" s="21"/>
      <c r="VSX1" s="21"/>
      <c r="VSY1" s="21"/>
      <c r="VSZ1" s="21"/>
      <c r="VTA1" s="20" t="s">
        <v>297</v>
      </c>
      <c r="VTB1" s="21"/>
      <c r="VTC1" s="21"/>
      <c r="VTD1" s="21"/>
      <c r="VTE1" s="21"/>
      <c r="VTF1" s="21"/>
      <c r="VTG1" s="21"/>
      <c r="VTH1" s="21"/>
      <c r="VTI1" s="21"/>
      <c r="VTJ1" s="21"/>
      <c r="VTK1" s="21"/>
      <c r="VTL1" s="21"/>
      <c r="VTM1" s="21"/>
      <c r="VTN1" s="21"/>
      <c r="VTO1" s="21"/>
      <c r="VTP1" s="21"/>
      <c r="VTQ1" s="20" t="s">
        <v>297</v>
      </c>
      <c r="VTR1" s="21"/>
      <c r="VTS1" s="21"/>
      <c r="VTT1" s="21"/>
      <c r="VTU1" s="21"/>
      <c r="VTV1" s="21"/>
      <c r="VTW1" s="21"/>
      <c r="VTX1" s="21"/>
      <c r="VTY1" s="21"/>
      <c r="VTZ1" s="21"/>
      <c r="VUA1" s="21"/>
      <c r="VUB1" s="21"/>
      <c r="VUC1" s="21"/>
      <c r="VUD1" s="21"/>
      <c r="VUE1" s="21"/>
      <c r="VUF1" s="21"/>
      <c r="VUG1" s="20" t="s">
        <v>297</v>
      </c>
      <c r="VUH1" s="21"/>
      <c r="VUI1" s="21"/>
      <c r="VUJ1" s="21"/>
      <c r="VUK1" s="21"/>
      <c r="VUL1" s="21"/>
      <c r="VUM1" s="21"/>
      <c r="VUN1" s="21"/>
      <c r="VUO1" s="21"/>
      <c r="VUP1" s="21"/>
      <c r="VUQ1" s="21"/>
      <c r="VUR1" s="21"/>
      <c r="VUS1" s="21"/>
      <c r="VUT1" s="21"/>
      <c r="VUU1" s="21"/>
      <c r="VUV1" s="21"/>
      <c r="VUW1" s="20" t="s">
        <v>297</v>
      </c>
      <c r="VUX1" s="21"/>
      <c r="VUY1" s="21"/>
      <c r="VUZ1" s="21"/>
      <c r="VVA1" s="21"/>
      <c r="VVB1" s="21"/>
      <c r="VVC1" s="21"/>
      <c r="VVD1" s="21"/>
      <c r="VVE1" s="21"/>
      <c r="VVF1" s="21"/>
      <c r="VVG1" s="21"/>
      <c r="VVH1" s="21"/>
      <c r="VVI1" s="21"/>
      <c r="VVJ1" s="21"/>
      <c r="VVK1" s="21"/>
      <c r="VVL1" s="21"/>
      <c r="VVM1" s="20" t="s">
        <v>297</v>
      </c>
      <c r="VVN1" s="21"/>
      <c r="VVO1" s="21"/>
      <c r="VVP1" s="21"/>
      <c r="VVQ1" s="21"/>
      <c r="VVR1" s="21"/>
      <c r="VVS1" s="21"/>
      <c r="VVT1" s="21"/>
      <c r="VVU1" s="21"/>
      <c r="VVV1" s="21"/>
      <c r="VVW1" s="21"/>
      <c r="VVX1" s="21"/>
      <c r="VVY1" s="21"/>
      <c r="VVZ1" s="21"/>
      <c r="VWA1" s="21"/>
      <c r="VWB1" s="21"/>
      <c r="VWC1" s="20" t="s">
        <v>297</v>
      </c>
      <c r="VWD1" s="21"/>
      <c r="VWE1" s="21"/>
      <c r="VWF1" s="21"/>
      <c r="VWG1" s="21"/>
      <c r="VWH1" s="21"/>
      <c r="VWI1" s="21"/>
      <c r="VWJ1" s="21"/>
      <c r="VWK1" s="21"/>
      <c r="VWL1" s="21"/>
      <c r="VWM1" s="21"/>
      <c r="VWN1" s="21"/>
      <c r="VWO1" s="21"/>
      <c r="VWP1" s="21"/>
      <c r="VWQ1" s="21"/>
      <c r="VWR1" s="21"/>
      <c r="VWS1" s="20" t="s">
        <v>297</v>
      </c>
      <c r="VWT1" s="21"/>
      <c r="VWU1" s="21"/>
      <c r="VWV1" s="21"/>
      <c r="VWW1" s="21"/>
      <c r="VWX1" s="21"/>
      <c r="VWY1" s="21"/>
      <c r="VWZ1" s="21"/>
      <c r="VXA1" s="21"/>
      <c r="VXB1" s="21"/>
      <c r="VXC1" s="21"/>
      <c r="VXD1" s="21"/>
      <c r="VXE1" s="21"/>
      <c r="VXF1" s="21"/>
      <c r="VXG1" s="21"/>
      <c r="VXH1" s="21"/>
      <c r="VXI1" s="20" t="s">
        <v>297</v>
      </c>
      <c r="VXJ1" s="21"/>
      <c r="VXK1" s="21"/>
      <c r="VXL1" s="21"/>
      <c r="VXM1" s="21"/>
      <c r="VXN1" s="21"/>
      <c r="VXO1" s="21"/>
      <c r="VXP1" s="21"/>
      <c r="VXQ1" s="21"/>
      <c r="VXR1" s="21"/>
      <c r="VXS1" s="21"/>
      <c r="VXT1" s="21"/>
      <c r="VXU1" s="21"/>
      <c r="VXV1" s="21"/>
      <c r="VXW1" s="21"/>
      <c r="VXX1" s="21"/>
      <c r="VXY1" s="20" t="s">
        <v>297</v>
      </c>
      <c r="VXZ1" s="21"/>
      <c r="VYA1" s="21"/>
      <c r="VYB1" s="21"/>
      <c r="VYC1" s="21"/>
      <c r="VYD1" s="21"/>
      <c r="VYE1" s="21"/>
      <c r="VYF1" s="21"/>
      <c r="VYG1" s="21"/>
      <c r="VYH1" s="21"/>
      <c r="VYI1" s="21"/>
      <c r="VYJ1" s="21"/>
      <c r="VYK1" s="21"/>
      <c r="VYL1" s="21"/>
      <c r="VYM1" s="21"/>
      <c r="VYN1" s="21"/>
      <c r="VYO1" s="20" t="s">
        <v>297</v>
      </c>
      <c r="VYP1" s="21"/>
      <c r="VYQ1" s="21"/>
      <c r="VYR1" s="21"/>
      <c r="VYS1" s="21"/>
      <c r="VYT1" s="21"/>
      <c r="VYU1" s="21"/>
      <c r="VYV1" s="21"/>
      <c r="VYW1" s="21"/>
      <c r="VYX1" s="21"/>
      <c r="VYY1" s="21"/>
      <c r="VYZ1" s="21"/>
      <c r="VZA1" s="21"/>
      <c r="VZB1" s="21"/>
      <c r="VZC1" s="21"/>
      <c r="VZD1" s="21"/>
      <c r="VZE1" s="20" t="s">
        <v>297</v>
      </c>
      <c r="VZF1" s="21"/>
      <c r="VZG1" s="21"/>
      <c r="VZH1" s="21"/>
      <c r="VZI1" s="21"/>
      <c r="VZJ1" s="21"/>
      <c r="VZK1" s="21"/>
      <c r="VZL1" s="21"/>
      <c r="VZM1" s="21"/>
      <c r="VZN1" s="21"/>
      <c r="VZO1" s="21"/>
      <c r="VZP1" s="21"/>
      <c r="VZQ1" s="21"/>
      <c r="VZR1" s="21"/>
      <c r="VZS1" s="21"/>
      <c r="VZT1" s="21"/>
      <c r="VZU1" s="20" t="s">
        <v>297</v>
      </c>
      <c r="VZV1" s="21"/>
      <c r="VZW1" s="21"/>
      <c r="VZX1" s="21"/>
      <c r="VZY1" s="21"/>
      <c r="VZZ1" s="21"/>
      <c r="WAA1" s="21"/>
      <c r="WAB1" s="21"/>
      <c r="WAC1" s="21"/>
      <c r="WAD1" s="21"/>
      <c r="WAE1" s="21"/>
      <c r="WAF1" s="21"/>
      <c r="WAG1" s="21"/>
      <c r="WAH1" s="21"/>
      <c r="WAI1" s="21"/>
      <c r="WAJ1" s="21"/>
      <c r="WAK1" s="20" t="s">
        <v>297</v>
      </c>
      <c r="WAL1" s="21"/>
      <c r="WAM1" s="21"/>
      <c r="WAN1" s="21"/>
      <c r="WAO1" s="21"/>
      <c r="WAP1" s="21"/>
      <c r="WAQ1" s="21"/>
      <c r="WAR1" s="21"/>
      <c r="WAS1" s="21"/>
      <c r="WAT1" s="21"/>
      <c r="WAU1" s="21"/>
      <c r="WAV1" s="21"/>
      <c r="WAW1" s="21"/>
      <c r="WAX1" s="21"/>
      <c r="WAY1" s="21"/>
      <c r="WAZ1" s="21"/>
      <c r="WBA1" s="20" t="s">
        <v>297</v>
      </c>
      <c r="WBB1" s="21"/>
      <c r="WBC1" s="21"/>
      <c r="WBD1" s="21"/>
      <c r="WBE1" s="21"/>
      <c r="WBF1" s="21"/>
      <c r="WBG1" s="21"/>
      <c r="WBH1" s="21"/>
      <c r="WBI1" s="21"/>
      <c r="WBJ1" s="21"/>
      <c r="WBK1" s="21"/>
      <c r="WBL1" s="21"/>
      <c r="WBM1" s="21"/>
      <c r="WBN1" s="21"/>
      <c r="WBO1" s="21"/>
      <c r="WBP1" s="21"/>
      <c r="WBQ1" s="20" t="s">
        <v>297</v>
      </c>
      <c r="WBR1" s="21"/>
      <c r="WBS1" s="21"/>
      <c r="WBT1" s="21"/>
      <c r="WBU1" s="21"/>
      <c r="WBV1" s="21"/>
      <c r="WBW1" s="21"/>
      <c r="WBX1" s="21"/>
      <c r="WBY1" s="21"/>
      <c r="WBZ1" s="21"/>
      <c r="WCA1" s="21"/>
      <c r="WCB1" s="21"/>
      <c r="WCC1" s="21"/>
      <c r="WCD1" s="21"/>
      <c r="WCE1" s="21"/>
      <c r="WCF1" s="21"/>
      <c r="WCG1" s="20" t="s">
        <v>297</v>
      </c>
      <c r="WCH1" s="21"/>
      <c r="WCI1" s="21"/>
      <c r="WCJ1" s="21"/>
      <c r="WCK1" s="21"/>
      <c r="WCL1" s="21"/>
      <c r="WCM1" s="21"/>
      <c r="WCN1" s="21"/>
      <c r="WCO1" s="21"/>
      <c r="WCP1" s="21"/>
      <c r="WCQ1" s="21"/>
      <c r="WCR1" s="21"/>
      <c r="WCS1" s="21"/>
      <c r="WCT1" s="21"/>
      <c r="WCU1" s="21"/>
      <c r="WCV1" s="21"/>
      <c r="WCW1" s="20" t="s">
        <v>297</v>
      </c>
      <c r="WCX1" s="21"/>
      <c r="WCY1" s="21"/>
      <c r="WCZ1" s="21"/>
      <c r="WDA1" s="21"/>
      <c r="WDB1" s="21"/>
      <c r="WDC1" s="21"/>
      <c r="WDD1" s="21"/>
      <c r="WDE1" s="21"/>
      <c r="WDF1" s="21"/>
      <c r="WDG1" s="21"/>
      <c r="WDH1" s="21"/>
      <c r="WDI1" s="21"/>
      <c r="WDJ1" s="21"/>
      <c r="WDK1" s="21"/>
      <c r="WDL1" s="21"/>
      <c r="WDM1" s="20" t="s">
        <v>297</v>
      </c>
      <c r="WDN1" s="21"/>
      <c r="WDO1" s="21"/>
      <c r="WDP1" s="21"/>
      <c r="WDQ1" s="21"/>
      <c r="WDR1" s="21"/>
      <c r="WDS1" s="21"/>
      <c r="WDT1" s="21"/>
      <c r="WDU1" s="21"/>
      <c r="WDV1" s="21"/>
      <c r="WDW1" s="21"/>
      <c r="WDX1" s="21"/>
      <c r="WDY1" s="21"/>
      <c r="WDZ1" s="21"/>
      <c r="WEA1" s="21"/>
      <c r="WEB1" s="21"/>
      <c r="WEC1" s="20" t="s">
        <v>297</v>
      </c>
      <c r="WED1" s="21"/>
      <c r="WEE1" s="21"/>
      <c r="WEF1" s="21"/>
      <c r="WEG1" s="21"/>
      <c r="WEH1" s="21"/>
      <c r="WEI1" s="21"/>
      <c r="WEJ1" s="21"/>
      <c r="WEK1" s="21"/>
      <c r="WEL1" s="21"/>
      <c r="WEM1" s="21"/>
      <c r="WEN1" s="21"/>
      <c r="WEO1" s="21"/>
      <c r="WEP1" s="21"/>
      <c r="WEQ1" s="21"/>
      <c r="WER1" s="21"/>
      <c r="WES1" s="20" t="s">
        <v>297</v>
      </c>
      <c r="WET1" s="21"/>
      <c r="WEU1" s="21"/>
      <c r="WEV1" s="21"/>
      <c r="WEW1" s="21"/>
      <c r="WEX1" s="21"/>
      <c r="WEY1" s="21"/>
      <c r="WEZ1" s="21"/>
      <c r="WFA1" s="21"/>
      <c r="WFB1" s="21"/>
      <c r="WFC1" s="21"/>
      <c r="WFD1" s="21"/>
      <c r="WFE1" s="21"/>
      <c r="WFF1" s="21"/>
      <c r="WFG1" s="21"/>
      <c r="WFH1" s="21"/>
      <c r="WFI1" s="20" t="s">
        <v>297</v>
      </c>
      <c r="WFJ1" s="21"/>
      <c r="WFK1" s="21"/>
      <c r="WFL1" s="21"/>
      <c r="WFM1" s="21"/>
      <c r="WFN1" s="21"/>
      <c r="WFO1" s="21"/>
      <c r="WFP1" s="21"/>
      <c r="WFQ1" s="21"/>
      <c r="WFR1" s="21"/>
      <c r="WFS1" s="21"/>
      <c r="WFT1" s="21"/>
      <c r="WFU1" s="21"/>
      <c r="WFV1" s="21"/>
      <c r="WFW1" s="21"/>
      <c r="WFX1" s="21"/>
      <c r="WFY1" s="20" t="s">
        <v>297</v>
      </c>
      <c r="WFZ1" s="21"/>
      <c r="WGA1" s="21"/>
      <c r="WGB1" s="21"/>
      <c r="WGC1" s="21"/>
      <c r="WGD1" s="21"/>
      <c r="WGE1" s="21"/>
      <c r="WGF1" s="21"/>
      <c r="WGG1" s="21"/>
      <c r="WGH1" s="21"/>
      <c r="WGI1" s="21"/>
      <c r="WGJ1" s="21"/>
      <c r="WGK1" s="21"/>
      <c r="WGL1" s="21"/>
      <c r="WGM1" s="21"/>
      <c r="WGN1" s="21"/>
      <c r="WGO1" s="20" t="s">
        <v>297</v>
      </c>
      <c r="WGP1" s="21"/>
      <c r="WGQ1" s="21"/>
      <c r="WGR1" s="21"/>
      <c r="WGS1" s="21"/>
      <c r="WGT1" s="21"/>
      <c r="WGU1" s="21"/>
      <c r="WGV1" s="21"/>
      <c r="WGW1" s="21"/>
      <c r="WGX1" s="21"/>
      <c r="WGY1" s="21"/>
      <c r="WGZ1" s="21"/>
      <c r="WHA1" s="21"/>
      <c r="WHB1" s="21"/>
      <c r="WHC1" s="21"/>
      <c r="WHD1" s="21"/>
      <c r="WHE1" s="20" t="s">
        <v>297</v>
      </c>
      <c r="WHF1" s="21"/>
      <c r="WHG1" s="21"/>
      <c r="WHH1" s="21"/>
      <c r="WHI1" s="21"/>
      <c r="WHJ1" s="21"/>
      <c r="WHK1" s="21"/>
      <c r="WHL1" s="21"/>
      <c r="WHM1" s="21"/>
      <c r="WHN1" s="21"/>
      <c r="WHO1" s="21"/>
      <c r="WHP1" s="21"/>
      <c r="WHQ1" s="21"/>
      <c r="WHR1" s="21"/>
      <c r="WHS1" s="21"/>
      <c r="WHT1" s="21"/>
      <c r="WHU1" s="20" t="s">
        <v>297</v>
      </c>
      <c r="WHV1" s="21"/>
      <c r="WHW1" s="21"/>
      <c r="WHX1" s="21"/>
      <c r="WHY1" s="21"/>
      <c r="WHZ1" s="21"/>
      <c r="WIA1" s="21"/>
      <c r="WIB1" s="21"/>
      <c r="WIC1" s="21"/>
      <c r="WID1" s="21"/>
      <c r="WIE1" s="21"/>
      <c r="WIF1" s="21"/>
      <c r="WIG1" s="21"/>
      <c r="WIH1" s="21"/>
      <c r="WII1" s="21"/>
      <c r="WIJ1" s="21"/>
      <c r="WIK1" s="20" t="s">
        <v>297</v>
      </c>
      <c r="WIL1" s="21"/>
      <c r="WIM1" s="21"/>
      <c r="WIN1" s="21"/>
      <c r="WIO1" s="21"/>
      <c r="WIP1" s="21"/>
      <c r="WIQ1" s="21"/>
      <c r="WIR1" s="21"/>
      <c r="WIS1" s="21"/>
      <c r="WIT1" s="21"/>
      <c r="WIU1" s="21"/>
      <c r="WIV1" s="21"/>
      <c r="WIW1" s="21"/>
      <c r="WIX1" s="21"/>
      <c r="WIY1" s="21"/>
      <c r="WIZ1" s="21"/>
      <c r="WJA1" s="20" t="s">
        <v>297</v>
      </c>
      <c r="WJB1" s="21"/>
      <c r="WJC1" s="21"/>
      <c r="WJD1" s="21"/>
      <c r="WJE1" s="21"/>
      <c r="WJF1" s="21"/>
      <c r="WJG1" s="21"/>
      <c r="WJH1" s="21"/>
      <c r="WJI1" s="21"/>
      <c r="WJJ1" s="21"/>
      <c r="WJK1" s="21"/>
      <c r="WJL1" s="21"/>
      <c r="WJM1" s="21"/>
      <c r="WJN1" s="21"/>
      <c r="WJO1" s="21"/>
      <c r="WJP1" s="21"/>
      <c r="WJQ1" s="20" t="s">
        <v>297</v>
      </c>
      <c r="WJR1" s="21"/>
      <c r="WJS1" s="21"/>
      <c r="WJT1" s="21"/>
      <c r="WJU1" s="21"/>
      <c r="WJV1" s="21"/>
      <c r="WJW1" s="21"/>
      <c r="WJX1" s="21"/>
      <c r="WJY1" s="21"/>
      <c r="WJZ1" s="21"/>
      <c r="WKA1" s="21"/>
      <c r="WKB1" s="21"/>
      <c r="WKC1" s="21"/>
      <c r="WKD1" s="21"/>
      <c r="WKE1" s="21"/>
      <c r="WKF1" s="21"/>
      <c r="WKG1" s="20" t="s">
        <v>297</v>
      </c>
      <c r="WKH1" s="21"/>
      <c r="WKI1" s="21"/>
      <c r="WKJ1" s="21"/>
      <c r="WKK1" s="21"/>
      <c r="WKL1" s="21"/>
      <c r="WKM1" s="21"/>
      <c r="WKN1" s="21"/>
      <c r="WKO1" s="21"/>
      <c r="WKP1" s="21"/>
      <c r="WKQ1" s="21"/>
      <c r="WKR1" s="21"/>
      <c r="WKS1" s="21"/>
      <c r="WKT1" s="21"/>
      <c r="WKU1" s="21"/>
      <c r="WKV1" s="21"/>
      <c r="WKW1" s="20" t="s">
        <v>297</v>
      </c>
      <c r="WKX1" s="21"/>
      <c r="WKY1" s="21"/>
      <c r="WKZ1" s="21"/>
      <c r="WLA1" s="21"/>
      <c r="WLB1" s="21"/>
      <c r="WLC1" s="21"/>
      <c r="WLD1" s="21"/>
      <c r="WLE1" s="21"/>
      <c r="WLF1" s="21"/>
      <c r="WLG1" s="21"/>
      <c r="WLH1" s="21"/>
      <c r="WLI1" s="21"/>
      <c r="WLJ1" s="21"/>
      <c r="WLK1" s="21"/>
      <c r="WLL1" s="21"/>
      <c r="WLM1" s="20" t="s">
        <v>297</v>
      </c>
      <c r="WLN1" s="21"/>
      <c r="WLO1" s="21"/>
      <c r="WLP1" s="21"/>
      <c r="WLQ1" s="21"/>
      <c r="WLR1" s="21"/>
      <c r="WLS1" s="21"/>
      <c r="WLT1" s="21"/>
      <c r="WLU1" s="21"/>
      <c r="WLV1" s="21"/>
      <c r="WLW1" s="21"/>
      <c r="WLX1" s="21"/>
      <c r="WLY1" s="21"/>
      <c r="WLZ1" s="21"/>
      <c r="WMA1" s="21"/>
      <c r="WMB1" s="21"/>
      <c r="WMC1" s="20" t="s">
        <v>297</v>
      </c>
      <c r="WMD1" s="21"/>
      <c r="WME1" s="21"/>
      <c r="WMF1" s="21"/>
      <c r="WMG1" s="21"/>
      <c r="WMH1" s="21"/>
      <c r="WMI1" s="21"/>
      <c r="WMJ1" s="21"/>
      <c r="WMK1" s="21"/>
      <c r="WML1" s="21"/>
      <c r="WMM1" s="21"/>
      <c r="WMN1" s="21"/>
      <c r="WMO1" s="21"/>
      <c r="WMP1" s="21"/>
      <c r="WMQ1" s="21"/>
      <c r="WMR1" s="21"/>
      <c r="WMS1" s="20" t="s">
        <v>297</v>
      </c>
      <c r="WMT1" s="21"/>
      <c r="WMU1" s="21"/>
      <c r="WMV1" s="21"/>
      <c r="WMW1" s="21"/>
      <c r="WMX1" s="21"/>
      <c r="WMY1" s="21"/>
      <c r="WMZ1" s="21"/>
      <c r="WNA1" s="21"/>
      <c r="WNB1" s="21"/>
      <c r="WNC1" s="21"/>
      <c r="WND1" s="21"/>
      <c r="WNE1" s="21"/>
      <c r="WNF1" s="21"/>
      <c r="WNG1" s="21"/>
      <c r="WNH1" s="21"/>
      <c r="WNI1" s="20" t="s">
        <v>297</v>
      </c>
      <c r="WNJ1" s="21"/>
      <c r="WNK1" s="21"/>
      <c r="WNL1" s="21"/>
      <c r="WNM1" s="21"/>
      <c r="WNN1" s="21"/>
      <c r="WNO1" s="21"/>
      <c r="WNP1" s="21"/>
      <c r="WNQ1" s="21"/>
      <c r="WNR1" s="21"/>
      <c r="WNS1" s="21"/>
      <c r="WNT1" s="21"/>
      <c r="WNU1" s="21"/>
      <c r="WNV1" s="21"/>
      <c r="WNW1" s="21"/>
      <c r="WNX1" s="21"/>
      <c r="WNY1" s="20" t="s">
        <v>297</v>
      </c>
      <c r="WNZ1" s="21"/>
      <c r="WOA1" s="21"/>
      <c r="WOB1" s="21"/>
      <c r="WOC1" s="21"/>
      <c r="WOD1" s="21"/>
      <c r="WOE1" s="21"/>
      <c r="WOF1" s="21"/>
      <c r="WOG1" s="21"/>
      <c r="WOH1" s="21"/>
      <c r="WOI1" s="21"/>
      <c r="WOJ1" s="21"/>
      <c r="WOK1" s="21"/>
      <c r="WOL1" s="21"/>
      <c r="WOM1" s="21"/>
      <c r="WON1" s="21"/>
      <c r="WOO1" s="20" t="s">
        <v>297</v>
      </c>
      <c r="WOP1" s="21"/>
      <c r="WOQ1" s="21"/>
      <c r="WOR1" s="21"/>
      <c r="WOS1" s="21"/>
      <c r="WOT1" s="21"/>
      <c r="WOU1" s="21"/>
      <c r="WOV1" s="21"/>
      <c r="WOW1" s="21"/>
      <c r="WOX1" s="21"/>
      <c r="WOY1" s="21"/>
      <c r="WOZ1" s="21"/>
      <c r="WPA1" s="21"/>
      <c r="WPB1" s="21"/>
      <c r="WPC1" s="21"/>
      <c r="WPD1" s="21"/>
      <c r="WPE1" s="20" t="s">
        <v>297</v>
      </c>
      <c r="WPF1" s="21"/>
      <c r="WPG1" s="21"/>
      <c r="WPH1" s="21"/>
      <c r="WPI1" s="21"/>
      <c r="WPJ1" s="21"/>
      <c r="WPK1" s="21"/>
      <c r="WPL1" s="21"/>
      <c r="WPM1" s="21"/>
      <c r="WPN1" s="21"/>
      <c r="WPO1" s="21"/>
      <c r="WPP1" s="21"/>
      <c r="WPQ1" s="21"/>
      <c r="WPR1" s="21"/>
      <c r="WPS1" s="21"/>
      <c r="WPT1" s="21"/>
      <c r="WPU1" s="20" t="s">
        <v>297</v>
      </c>
      <c r="WPV1" s="21"/>
      <c r="WPW1" s="21"/>
      <c r="WPX1" s="21"/>
      <c r="WPY1" s="21"/>
      <c r="WPZ1" s="21"/>
      <c r="WQA1" s="21"/>
      <c r="WQB1" s="21"/>
      <c r="WQC1" s="21"/>
      <c r="WQD1" s="21"/>
      <c r="WQE1" s="21"/>
      <c r="WQF1" s="21"/>
      <c r="WQG1" s="21"/>
      <c r="WQH1" s="21"/>
      <c r="WQI1" s="21"/>
      <c r="WQJ1" s="21"/>
      <c r="WQK1" s="20" t="s">
        <v>297</v>
      </c>
      <c r="WQL1" s="21"/>
      <c r="WQM1" s="21"/>
      <c r="WQN1" s="21"/>
      <c r="WQO1" s="21"/>
      <c r="WQP1" s="21"/>
      <c r="WQQ1" s="21"/>
      <c r="WQR1" s="21"/>
      <c r="WQS1" s="21"/>
      <c r="WQT1" s="21"/>
      <c r="WQU1" s="21"/>
      <c r="WQV1" s="21"/>
      <c r="WQW1" s="21"/>
      <c r="WQX1" s="21"/>
      <c r="WQY1" s="21"/>
      <c r="WQZ1" s="21"/>
      <c r="WRA1" s="20" t="s">
        <v>297</v>
      </c>
      <c r="WRB1" s="21"/>
      <c r="WRC1" s="21"/>
      <c r="WRD1" s="21"/>
      <c r="WRE1" s="21"/>
      <c r="WRF1" s="21"/>
      <c r="WRG1" s="21"/>
      <c r="WRH1" s="21"/>
      <c r="WRI1" s="21"/>
      <c r="WRJ1" s="21"/>
      <c r="WRK1" s="21"/>
      <c r="WRL1" s="21"/>
      <c r="WRM1" s="21"/>
      <c r="WRN1" s="21"/>
      <c r="WRO1" s="21"/>
      <c r="WRP1" s="21"/>
      <c r="WRQ1" s="20" t="s">
        <v>297</v>
      </c>
      <c r="WRR1" s="21"/>
      <c r="WRS1" s="21"/>
      <c r="WRT1" s="21"/>
      <c r="WRU1" s="21"/>
      <c r="WRV1" s="21"/>
      <c r="WRW1" s="21"/>
      <c r="WRX1" s="21"/>
      <c r="WRY1" s="21"/>
      <c r="WRZ1" s="21"/>
      <c r="WSA1" s="21"/>
      <c r="WSB1" s="21"/>
      <c r="WSC1" s="21"/>
      <c r="WSD1" s="21"/>
      <c r="WSE1" s="21"/>
      <c r="WSF1" s="21"/>
      <c r="WSG1" s="20" t="s">
        <v>297</v>
      </c>
      <c r="WSH1" s="21"/>
      <c r="WSI1" s="21"/>
      <c r="WSJ1" s="21"/>
      <c r="WSK1" s="21"/>
      <c r="WSL1" s="21"/>
      <c r="WSM1" s="21"/>
      <c r="WSN1" s="21"/>
      <c r="WSO1" s="21"/>
      <c r="WSP1" s="21"/>
      <c r="WSQ1" s="21"/>
      <c r="WSR1" s="21"/>
      <c r="WSS1" s="21"/>
      <c r="WST1" s="21"/>
      <c r="WSU1" s="21"/>
      <c r="WSV1" s="21"/>
      <c r="WSW1" s="20" t="s">
        <v>297</v>
      </c>
      <c r="WSX1" s="21"/>
      <c r="WSY1" s="21"/>
      <c r="WSZ1" s="21"/>
      <c r="WTA1" s="21"/>
      <c r="WTB1" s="21"/>
      <c r="WTC1" s="21"/>
      <c r="WTD1" s="21"/>
      <c r="WTE1" s="21"/>
      <c r="WTF1" s="21"/>
      <c r="WTG1" s="21"/>
      <c r="WTH1" s="21"/>
      <c r="WTI1" s="21"/>
      <c r="WTJ1" s="21"/>
      <c r="WTK1" s="21"/>
      <c r="WTL1" s="21"/>
      <c r="WTM1" s="20" t="s">
        <v>297</v>
      </c>
      <c r="WTN1" s="21"/>
      <c r="WTO1" s="21"/>
      <c r="WTP1" s="21"/>
      <c r="WTQ1" s="21"/>
      <c r="WTR1" s="21"/>
      <c r="WTS1" s="21"/>
      <c r="WTT1" s="21"/>
      <c r="WTU1" s="21"/>
      <c r="WTV1" s="21"/>
      <c r="WTW1" s="21"/>
      <c r="WTX1" s="21"/>
      <c r="WTY1" s="21"/>
      <c r="WTZ1" s="21"/>
      <c r="WUA1" s="21"/>
      <c r="WUB1" s="21"/>
      <c r="WUC1" s="20" t="s">
        <v>297</v>
      </c>
      <c r="WUD1" s="21"/>
      <c r="WUE1" s="21"/>
      <c r="WUF1" s="21"/>
      <c r="WUG1" s="21"/>
      <c r="WUH1" s="21"/>
      <c r="WUI1" s="21"/>
      <c r="WUJ1" s="21"/>
      <c r="WUK1" s="21"/>
      <c r="WUL1" s="21"/>
      <c r="WUM1" s="21"/>
      <c r="WUN1" s="21"/>
      <c r="WUO1" s="21"/>
      <c r="WUP1" s="21"/>
      <c r="WUQ1" s="21"/>
      <c r="WUR1" s="21"/>
      <c r="WUS1" s="20" t="s">
        <v>297</v>
      </c>
      <c r="WUT1" s="21"/>
      <c r="WUU1" s="21"/>
      <c r="WUV1" s="21"/>
      <c r="WUW1" s="21"/>
      <c r="WUX1" s="21"/>
      <c r="WUY1" s="21"/>
      <c r="WUZ1" s="21"/>
      <c r="WVA1" s="21"/>
      <c r="WVB1" s="21"/>
      <c r="WVC1" s="21"/>
      <c r="WVD1" s="21"/>
      <c r="WVE1" s="21"/>
      <c r="WVF1" s="21"/>
      <c r="WVG1" s="21"/>
      <c r="WVH1" s="21"/>
      <c r="WVI1" s="20" t="s">
        <v>297</v>
      </c>
      <c r="WVJ1" s="21"/>
      <c r="WVK1" s="21"/>
      <c r="WVL1" s="21"/>
      <c r="WVM1" s="21"/>
      <c r="WVN1" s="21"/>
      <c r="WVO1" s="21"/>
      <c r="WVP1" s="21"/>
      <c r="WVQ1" s="21"/>
      <c r="WVR1" s="21"/>
      <c r="WVS1" s="21"/>
      <c r="WVT1" s="21"/>
      <c r="WVU1" s="21"/>
      <c r="WVV1" s="21"/>
      <c r="WVW1" s="21"/>
      <c r="WVX1" s="21"/>
      <c r="WVY1" s="20" t="s">
        <v>297</v>
      </c>
      <c r="WVZ1" s="21"/>
      <c r="WWA1" s="21"/>
      <c r="WWB1" s="21"/>
      <c r="WWC1" s="21"/>
      <c r="WWD1" s="21"/>
      <c r="WWE1" s="21"/>
      <c r="WWF1" s="21"/>
      <c r="WWG1" s="21"/>
      <c r="WWH1" s="21"/>
      <c r="WWI1" s="21"/>
      <c r="WWJ1" s="21"/>
      <c r="WWK1" s="21"/>
      <c r="WWL1" s="21"/>
      <c r="WWM1" s="21"/>
      <c r="WWN1" s="21"/>
      <c r="WWO1" s="20" t="s">
        <v>297</v>
      </c>
      <c r="WWP1" s="21"/>
      <c r="WWQ1" s="21"/>
      <c r="WWR1" s="21"/>
      <c r="WWS1" s="21"/>
      <c r="WWT1" s="21"/>
      <c r="WWU1" s="21"/>
      <c r="WWV1" s="21"/>
      <c r="WWW1" s="21"/>
      <c r="WWX1" s="21"/>
      <c r="WWY1" s="21"/>
      <c r="WWZ1" s="21"/>
      <c r="WXA1" s="21"/>
      <c r="WXB1" s="21"/>
      <c r="WXC1" s="21"/>
      <c r="WXD1" s="21"/>
      <c r="WXE1" s="20" t="s">
        <v>297</v>
      </c>
      <c r="WXF1" s="21"/>
      <c r="WXG1" s="21"/>
      <c r="WXH1" s="21"/>
      <c r="WXI1" s="21"/>
      <c r="WXJ1" s="21"/>
      <c r="WXK1" s="21"/>
      <c r="WXL1" s="21"/>
      <c r="WXM1" s="21"/>
      <c r="WXN1" s="21"/>
      <c r="WXO1" s="21"/>
      <c r="WXP1" s="21"/>
      <c r="WXQ1" s="21"/>
      <c r="WXR1" s="21"/>
      <c r="WXS1" s="21"/>
      <c r="WXT1" s="21"/>
      <c r="WXU1" s="20" t="s">
        <v>297</v>
      </c>
      <c r="WXV1" s="21"/>
      <c r="WXW1" s="21"/>
      <c r="WXX1" s="21"/>
      <c r="WXY1" s="21"/>
      <c r="WXZ1" s="21"/>
      <c r="WYA1" s="21"/>
      <c r="WYB1" s="21"/>
      <c r="WYC1" s="21"/>
      <c r="WYD1" s="21"/>
      <c r="WYE1" s="21"/>
      <c r="WYF1" s="21"/>
      <c r="WYG1" s="21"/>
      <c r="WYH1" s="21"/>
      <c r="WYI1" s="21"/>
      <c r="WYJ1" s="21"/>
      <c r="WYK1" s="20" t="s">
        <v>297</v>
      </c>
      <c r="WYL1" s="21"/>
      <c r="WYM1" s="21"/>
      <c r="WYN1" s="21"/>
      <c r="WYO1" s="21"/>
      <c r="WYP1" s="21"/>
      <c r="WYQ1" s="21"/>
      <c r="WYR1" s="21"/>
      <c r="WYS1" s="21"/>
      <c r="WYT1" s="21"/>
      <c r="WYU1" s="21"/>
      <c r="WYV1" s="21"/>
      <c r="WYW1" s="21"/>
      <c r="WYX1" s="21"/>
      <c r="WYY1" s="21"/>
      <c r="WYZ1" s="21"/>
      <c r="WZA1" s="20" t="s">
        <v>297</v>
      </c>
      <c r="WZB1" s="21"/>
      <c r="WZC1" s="21"/>
      <c r="WZD1" s="21"/>
      <c r="WZE1" s="21"/>
      <c r="WZF1" s="21"/>
      <c r="WZG1" s="21"/>
      <c r="WZH1" s="21"/>
      <c r="WZI1" s="21"/>
      <c r="WZJ1" s="21"/>
      <c r="WZK1" s="21"/>
      <c r="WZL1" s="21"/>
      <c r="WZM1" s="21"/>
      <c r="WZN1" s="21"/>
      <c r="WZO1" s="21"/>
      <c r="WZP1" s="21"/>
      <c r="WZQ1" s="20" t="s">
        <v>297</v>
      </c>
      <c r="WZR1" s="21"/>
      <c r="WZS1" s="21"/>
      <c r="WZT1" s="21"/>
      <c r="WZU1" s="21"/>
      <c r="WZV1" s="21"/>
      <c r="WZW1" s="21"/>
      <c r="WZX1" s="21"/>
      <c r="WZY1" s="21"/>
      <c r="WZZ1" s="21"/>
      <c r="XAA1" s="21"/>
      <c r="XAB1" s="21"/>
      <c r="XAC1" s="21"/>
      <c r="XAD1" s="21"/>
      <c r="XAE1" s="21"/>
      <c r="XAF1" s="21"/>
      <c r="XAG1" s="20" t="s">
        <v>297</v>
      </c>
      <c r="XAH1" s="21"/>
      <c r="XAI1" s="21"/>
      <c r="XAJ1" s="21"/>
      <c r="XAK1" s="21"/>
      <c r="XAL1" s="21"/>
      <c r="XAM1" s="21"/>
      <c r="XAN1" s="21"/>
      <c r="XAO1" s="21"/>
      <c r="XAP1" s="21"/>
      <c r="XAQ1" s="21"/>
      <c r="XAR1" s="21"/>
      <c r="XAS1" s="21"/>
      <c r="XAT1" s="21"/>
      <c r="XAU1" s="21"/>
      <c r="XAV1" s="21"/>
      <c r="XAW1" s="20" t="s">
        <v>297</v>
      </c>
      <c r="XAX1" s="21"/>
      <c r="XAY1" s="21"/>
      <c r="XAZ1" s="21"/>
      <c r="XBA1" s="21"/>
      <c r="XBB1" s="21"/>
      <c r="XBC1" s="21"/>
      <c r="XBD1" s="21"/>
      <c r="XBE1" s="21"/>
      <c r="XBF1" s="21"/>
      <c r="XBG1" s="21"/>
      <c r="XBH1" s="21"/>
      <c r="XBI1" s="21"/>
      <c r="XBJ1" s="21"/>
      <c r="XBK1" s="21"/>
      <c r="XBL1" s="21"/>
      <c r="XBM1" s="20" t="s">
        <v>297</v>
      </c>
      <c r="XBN1" s="21"/>
      <c r="XBO1" s="21"/>
      <c r="XBP1" s="21"/>
      <c r="XBQ1" s="21"/>
      <c r="XBR1" s="21"/>
      <c r="XBS1" s="21"/>
      <c r="XBT1" s="21"/>
      <c r="XBU1" s="21"/>
      <c r="XBV1" s="21"/>
      <c r="XBW1" s="21"/>
      <c r="XBX1" s="21"/>
      <c r="XBY1" s="21"/>
      <c r="XBZ1" s="21"/>
      <c r="XCA1" s="21"/>
      <c r="XCB1" s="21"/>
      <c r="XCC1" s="20" t="s">
        <v>297</v>
      </c>
      <c r="XCD1" s="21"/>
      <c r="XCE1" s="21"/>
      <c r="XCF1" s="21"/>
      <c r="XCG1" s="21"/>
      <c r="XCH1" s="21"/>
      <c r="XCI1" s="21"/>
      <c r="XCJ1" s="21"/>
      <c r="XCK1" s="21"/>
      <c r="XCL1" s="21"/>
      <c r="XCM1" s="21"/>
      <c r="XCN1" s="21"/>
      <c r="XCO1" s="21"/>
      <c r="XCP1" s="21"/>
      <c r="XCQ1" s="21"/>
      <c r="XCR1" s="21"/>
      <c r="XCS1" s="20" t="s">
        <v>297</v>
      </c>
      <c r="XCT1" s="21"/>
      <c r="XCU1" s="21"/>
      <c r="XCV1" s="21"/>
      <c r="XCW1" s="21"/>
      <c r="XCX1" s="21"/>
      <c r="XCY1" s="21"/>
      <c r="XCZ1" s="21"/>
      <c r="XDA1" s="21"/>
      <c r="XDB1" s="21"/>
      <c r="XDC1" s="21"/>
      <c r="XDD1" s="21"/>
      <c r="XDE1" s="21"/>
      <c r="XDF1" s="21"/>
      <c r="XDG1" s="21"/>
      <c r="XDH1" s="21"/>
      <c r="XDI1" s="20" t="s">
        <v>297</v>
      </c>
      <c r="XDJ1" s="21"/>
      <c r="XDK1" s="21"/>
      <c r="XDL1" s="21"/>
      <c r="XDM1" s="21"/>
      <c r="XDN1" s="21"/>
      <c r="XDO1" s="21"/>
      <c r="XDP1" s="21"/>
      <c r="XDQ1" s="21"/>
      <c r="XDR1" s="21"/>
      <c r="XDS1" s="21"/>
      <c r="XDT1" s="21"/>
      <c r="XDU1" s="21"/>
      <c r="XDV1" s="21"/>
      <c r="XDW1" s="21"/>
      <c r="XDX1" s="21"/>
      <c r="XDY1" s="20" t="s">
        <v>297</v>
      </c>
      <c r="XDZ1" s="21"/>
      <c r="XEA1" s="21"/>
      <c r="XEB1" s="21"/>
      <c r="XEC1" s="21"/>
      <c r="XED1" s="21"/>
      <c r="XEE1" s="21"/>
      <c r="XEF1" s="21"/>
      <c r="XEG1" s="21"/>
      <c r="XEH1" s="21"/>
      <c r="XEI1" s="21"/>
      <c r="XEJ1" s="21"/>
      <c r="XEK1" s="21"/>
      <c r="XEL1" s="21"/>
      <c r="XEM1" s="21"/>
      <c r="XEN1" s="21"/>
      <c r="XEO1" s="20" t="s">
        <v>297</v>
      </c>
      <c r="XEP1" s="21"/>
      <c r="XEQ1" s="21"/>
      <c r="XER1" s="21"/>
      <c r="XES1" s="21"/>
      <c r="XET1" s="21"/>
      <c r="XEU1" s="21"/>
      <c r="XEV1" s="21"/>
      <c r="XEW1" s="21"/>
      <c r="XEX1" s="21"/>
      <c r="XEY1" s="21"/>
      <c r="XEZ1" s="21"/>
      <c r="XFA1" s="21"/>
      <c r="XFB1" s="21"/>
      <c r="XFC1" s="21"/>
      <c r="XFD1" s="21"/>
    </row>
    <row r="2" s="52" customFormat="1" ht="33.75" customHeight="1" spans="1:19">
      <c r="A2" s="22" t="s">
        <v>3</v>
      </c>
      <c r="B2" s="22" t="s">
        <v>4</v>
      </c>
      <c r="C2" s="23" t="s">
        <v>5</v>
      </c>
      <c r="D2" s="23" t="s">
        <v>6</v>
      </c>
      <c r="E2" s="24" t="s">
        <v>53</v>
      </c>
      <c r="F2" s="24" t="s">
        <v>54</v>
      </c>
      <c r="G2" s="24" t="s">
        <v>7</v>
      </c>
      <c r="H2" s="24" t="s">
        <v>191</v>
      </c>
      <c r="I2" s="22" t="s">
        <v>8</v>
      </c>
      <c r="J2" s="22" t="s">
        <v>9</v>
      </c>
      <c r="K2" s="22" t="s">
        <v>10</v>
      </c>
      <c r="L2" s="23" t="s">
        <v>11</v>
      </c>
      <c r="M2" s="29" t="s">
        <v>91</v>
      </c>
      <c r="N2" s="29" t="s">
        <v>509</v>
      </c>
      <c r="O2" s="29" t="s">
        <v>76</v>
      </c>
      <c r="P2" s="23" t="s">
        <v>176</v>
      </c>
      <c r="Q2" s="62"/>
      <c r="R2" s="63"/>
      <c r="S2" s="52" t="str">
        <f>VLOOKUP(K2,[11]匹配!B:AE,30,FALSE)</f>
        <v>客户采购订单编号</v>
      </c>
    </row>
    <row r="3" s="52" customFormat="1" ht="24" customHeight="1" spans="1:19">
      <c r="A3" s="53">
        <v>1</v>
      </c>
      <c r="B3" s="54"/>
      <c r="C3" s="55"/>
      <c r="D3" s="56" t="s">
        <v>510</v>
      </c>
      <c r="E3" s="55" t="s">
        <v>511</v>
      </c>
      <c r="F3" s="55" t="s">
        <v>512</v>
      </c>
      <c r="G3" s="55" t="s">
        <v>513</v>
      </c>
      <c r="H3" s="55">
        <v>4100</v>
      </c>
      <c r="I3" s="55">
        <v>4067</v>
      </c>
      <c r="J3" s="55" t="s">
        <v>514</v>
      </c>
      <c r="K3" s="57" t="s">
        <v>515</v>
      </c>
      <c r="L3" s="58" t="s">
        <v>516</v>
      </c>
      <c r="M3" s="59">
        <v>46139</v>
      </c>
      <c r="N3" s="60" t="s">
        <v>517</v>
      </c>
      <c r="O3" s="59">
        <v>46137</v>
      </c>
      <c r="P3" s="61"/>
      <c r="Q3" s="62"/>
      <c r="R3" s="63">
        <v>1108175</v>
      </c>
      <c r="S3" s="52" t="s">
        <v>518</v>
      </c>
    </row>
  </sheetData>
  <mergeCells count="1024">
    <mergeCell ref="A1:P1"/>
    <mergeCell ref="Q1:AF1"/>
    <mergeCell ref="AG1:AV1"/>
    <mergeCell ref="AW1:BL1"/>
    <mergeCell ref="BM1:CB1"/>
    <mergeCell ref="CC1:CR1"/>
    <mergeCell ref="CS1:DH1"/>
    <mergeCell ref="DI1:DX1"/>
    <mergeCell ref="DY1:EN1"/>
    <mergeCell ref="EO1:FD1"/>
    <mergeCell ref="FE1:FT1"/>
    <mergeCell ref="FU1:GJ1"/>
    <mergeCell ref="GK1:GZ1"/>
    <mergeCell ref="HA1:HP1"/>
    <mergeCell ref="HQ1:IF1"/>
    <mergeCell ref="IG1:IV1"/>
    <mergeCell ref="IW1:JL1"/>
    <mergeCell ref="JM1:KB1"/>
    <mergeCell ref="KC1:KR1"/>
    <mergeCell ref="KS1:LH1"/>
    <mergeCell ref="LI1:LX1"/>
    <mergeCell ref="LY1:MN1"/>
    <mergeCell ref="MO1:ND1"/>
    <mergeCell ref="NE1:NT1"/>
    <mergeCell ref="NU1:OJ1"/>
    <mergeCell ref="OK1:OZ1"/>
    <mergeCell ref="PA1:PP1"/>
    <mergeCell ref="PQ1:QF1"/>
    <mergeCell ref="QG1:QV1"/>
    <mergeCell ref="QW1:RL1"/>
    <mergeCell ref="RM1:SB1"/>
    <mergeCell ref="SC1:SR1"/>
    <mergeCell ref="SS1:TH1"/>
    <mergeCell ref="TI1:TX1"/>
    <mergeCell ref="TY1:UN1"/>
    <mergeCell ref="UO1:VD1"/>
    <mergeCell ref="VE1:VT1"/>
    <mergeCell ref="VU1:WJ1"/>
    <mergeCell ref="WK1:WZ1"/>
    <mergeCell ref="XA1:XP1"/>
    <mergeCell ref="XQ1:YF1"/>
    <mergeCell ref="YG1:YV1"/>
    <mergeCell ref="YW1:ZL1"/>
    <mergeCell ref="ZM1:AAB1"/>
    <mergeCell ref="AAC1:AAR1"/>
    <mergeCell ref="AAS1:ABH1"/>
    <mergeCell ref="ABI1:ABX1"/>
    <mergeCell ref="ABY1:ACN1"/>
    <mergeCell ref="ACO1:ADD1"/>
    <mergeCell ref="ADE1:ADT1"/>
    <mergeCell ref="ADU1:AEJ1"/>
    <mergeCell ref="AEK1:AEZ1"/>
    <mergeCell ref="AFA1:AFP1"/>
    <mergeCell ref="AFQ1:AGF1"/>
    <mergeCell ref="AGG1:AGV1"/>
    <mergeCell ref="AGW1:AHL1"/>
    <mergeCell ref="AHM1:AIB1"/>
    <mergeCell ref="AIC1:AIR1"/>
    <mergeCell ref="AIS1:AJH1"/>
    <mergeCell ref="AJI1:AJX1"/>
    <mergeCell ref="AJY1:AKN1"/>
    <mergeCell ref="AKO1:ALD1"/>
    <mergeCell ref="ALE1:ALT1"/>
    <mergeCell ref="ALU1:AMJ1"/>
    <mergeCell ref="AMK1:AMZ1"/>
    <mergeCell ref="ANA1:ANP1"/>
    <mergeCell ref="ANQ1:AOF1"/>
    <mergeCell ref="AOG1:AOV1"/>
    <mergeCell ref="AOW1:APL1"/>
    <mergeCell ref="APM1:AQB1"/>
    <mergeCell ref="AQC1:AQR1"/>
    <mergeCell ref="AQS1:ARH1"/>
    <mergeCell ref="ARI1:ARX1"/>
    <mergeCell ref="ARY1:ASN1"/>
    <mergeCell ref="ASO1:ATD1"/>
    <mergeCell ref="ATE1:ATT1"/>
    <mergeCell ref="ATU1:AUJ1"/>
    <mergeCell ref="AUK1:AUZ1"/>
    <mergeCell ref="AVA1:AVP1"/>
    <mergeCell ref="AVQ1:AWF1"/>
    <mergeCell ref="AWG1:AWV1"/>
    <mergeCell ref="AWW1:AXL1"/>
    <mergeCell ref="AXM1:AYB1"/>
    <mergeCell ref="AYC1:AYR1"/>
    <mergeCell ref="AYS1:AZH1"/>
    <mergeCell ref="AZI1:AZX1"/>
    <mergeCell ref="AZY1:BAN1"/>
    <mergeCell ref="BAO1:BBD1"/>
    <mergeCell ref="BBE1:BBT1"/>
    <mergeCell ref="BBU1:BCJ1"/>
    <mergeCell ref="BCK1:BCZ1"/>
    <mergeCell ref="BDA1:BDP1"/>
    <mergeCell ref="BDQ1:BEF1"/>
    <mergeCell ref="BEG1:BEV1"/>
    <mergeCell ref="BEW1:BFL1"/>
    <mergeCell ref="BFM1:BGB1"/>
    <mergeCell ref="BGC1:BGR1"/>
    <mergeCell ref="BGS1:BHH1"/>
    <mergeCell ref="BHI1:BHX1"/>
    <mergeCell ref="BHY1:BIN1"/>
    <mergeCell ref="BIO1:BJD1"/>
    <mergeCell ref="BJE1:BJT1"/>
    <mergeCell ref="BJU1:BKJ1"/>
    <mergeCell ref="BKK1:BKZ1"/>
    <mergeCell ref="BLA1:BLP1"/>
    <mergeCell ref="BLQ1:BMF1"/>
    <mergeCell ref="BMG1:BMV1"/>
    <mergeCell ref="BMW1:BNL1"/>
    <mergeCell ref="BNM1:BOB1"/>
    <mergeCell ref="BOC1:BOR1"/>
    <mergeCell ref="BOS1:BPH1"/>
    <mergeCell ref="BPI1:BPX1"/>
    <mergeCell ref="BPY1:BQN1"/>
    <mergeCell ref="BQO1:BRD1"/>
    <mergeCell ref="BRE1:BRT1"/>
    <mergeCell ref="BRU1:BSJ1"/>
    <mergeCell ref="BSK1:BSZ1"/>
    <mergeCell ref="BTA1:BTP1"/>
    <mergeCell ref="BTQ1:BUF1"/>
    <mergeCell ref="BUG1:BUV1"/>
    <mergeCell ref="BUW1:BVL1"/>
    <mergeCell ref="BVM1:BWB1"/>
    <mergeCell ref="BWC1:BWR1"/>
    <mergeCell ref="BWS1:BXH1"/>
    <mergeCell ref="BXI1:BXX1"/>
    <mergeCell ref="BXY1:BYN1"/>
    <mergeCell ref="BYO1:BZD1"/>
    <mergeCell ref="BZE1:BZT1"/>
    <mergeCell ref="BZU1:CAJ1"/>
    <mergeCell ref="CAK1:CAZ1"/>
    <mergeCell ref="CBA1:CBP1"/>
    <mergeCell ref="CBQ1:CCF1"/>
    <mergeCell ref="CCG1:CCV1"/>
    <mergeCell ref="CCW1:CDL1"/>
    <mergeCell ref="CDM1:CEB1"/>
    <mergeCell ref="CEC1:CER1"/>
    <mergeCell ref="CES1:CFH1"/>
    <mergeCell ref="CFI1:CFX1"/>
    <mergeCell ref="CFY1:CGN1"/>
    <mergeCell ref="CGO1:CHD1"/>
    <mergeCell ref="CHE1:CHT1"/>
    <mergeCell ref="CHU1:CIJ1"/>
    <mergeCell ref="CIK1:CIZ1"/>
    <mergeCell ref="CJA1:CJP1"/>
    <mergeCell ref="CJQ1:CKF1"/>
    <mergeCell ref="CKG1:CKV1"/>
    <mergeCell ref="CKW1:CLL1"/>
    <mergeCell ref="CLM1:CMB1"/>
    <mergeCell ref="CMC1:CMR1"/>
    <mergeCell ref="CMS1:CNH1"/>
    <mergeCell ref="CNI1:CNX1"/>
    <mergeCell ref="CNY1:CON1"/>
    <mergeCell ref="COO1:CPD1"/>
    <mergeCell ref="CPE1:CPT1"/>
    <mergeCell ref="CPU1:CQJ1"/>
    <mergeCell ref="CQK1:CQZ1"/>
    <mergeCell ref="CRA1:CRP1"/>
    <mergeCell ref="CRQ1:CSF1"/>
    <mergeCell ref="CSG1:CSV1"/>
    <mergeCell ref="CSW1:CTL1"/>
    <mergeCell ref="CTM1:CUB1"/>
    <mergeCell ref="CUC1:CUR1"/>
    <mergeCell ref="CUS1:CVH1"/>
    <mergeCell ref="CVI1:CVX1"/>
    <mergeCell ref="CVY1:CWN1"/>
    <mergeCell ref="CWO1:CXD1"/>
    <mergeCell ref="CXE1:CXT1"/>
    <mergeCell ref="CXU1:CYJ1"/>
    <mergeCell ref="CYK1:CYZ1"/>
    <mergeCell ref="CZA1:CZP1"/>
    <mergeCell ref="CZQ1:DAF1"/>
    <mergeCell ref="DAG1:DAV1"/>
    <mergeCell ref="DAW1:DBL1"/>
    <mergeCell ref="DBM1:DCB1"/>
    <mergeCell ref="DCC1:DCR1"/>
    <mergeCell ref="DCS1:DDH1"/>
    <mergeCell ref="DDI1:DDX1"/>
    <mergeCell ref="DDY1:DEN1"/>
    <mergeCell ref="DEO1:DFD1"/>
    <mergeCell ref="DFE1:DFT1"/>
    <mergeCell ref="DFU1:DGJ1"/>
    <mergeCell ref="DGK1:DGZ1"/>
    <mergeCell ref="DHA1:DHP1"/>
    <mergeCell ref="DHQ1:DIF1"/>
    <mergeCell ref="DIG1:DIV1"/>
    <mergeCell ref="DIW1:DJL1"/>
    <mergeCell ref="DJM1:DKB1"/>
    <mergeCell ref="DKC1:DKR1"/>
    <mergeCell ref="DKS1:DLH1"/>
    <mergeCell ref="DLI1:DLX1"/>
    <mergeCell ref="DLY1:DMN1"/>
    <mergeCell ref="DMO1:DND1"/>
    <mergeCell ref="DNE1:DNT1"/>
    <mergeCell ref="DNU1:DOJ1"/>
    <mergeCell ref="DOK1:DOZ1"/>
    <mergeCell ref="DPA1:DPP1"/>
    <mergeCell ref="DPQ1:DQF1"/>
    <mergeCell ref="DQG1:DQV1"/>
    <mergeCell ref="DQW1:DRL1"/>
    <mergeCell ref="DRM1:DSB1"/>
    <mergeCell ref="DSC1:DSR1"/>
    <mergeCell ref="DSS1:DTH1"/>
    <mergeCell ref="DTI1:DTX1"/>
    <mergeCell ref="DTY1:DUN1"/>
    <mergeCell ref="DUO1:DVD1"/>
    <mergeCell ref="DVE1:DVT1"/>
    <mergeCell ref="DVU1:DWJ1"/>
    <mergeCell ref="DWK1:DWZ1"/>
    <mergeCell ref="DXA1:DXP1"/>
    <mergeCell ref="DXQ1:DYF1"/>
    <mergeCell ref="DYG1:DYV1"/>
    <mergeCell ref="DYW1:DZL1"/>
    <mergeCell ref="DZM1:EAB1"/>
    <mergeCell ref="EAC1:EAR1"/>
    <mergeCell ref="EAS1:EBH1"/>
    <mergeCell ref="EBI1:EBX1"/>
    <mergeCell ref="EBY1:ECN1"/>
    <mergeCell ref="ECO1:EDD1"/>
    <mergeCell ref="EDE1:EDT1"/>
    <mergeCell ref="EDU1:EEJ1"/>
    <mergeCell ref="EEK1:EEZ1"/>
    <mergeCell ref="EFA1:EFP1"/>
    <mergeCell ref="EFQ1:EGF1"/>
    <mergeCell ref="EGG1:EGV1"/>
    <mergeCell ref="EGW1:EHL1"/>
    <mergeCell ref="EHM1:EIB1"/>
    <mergeCell ref="EIC1:EIR1"/>
    <mergeCell ref="EIS1:EJH1"/>
    <mergeCell ref="EJI1:EJX1"/>
    <mergeCell ref="EJY1:EKN1"/>
    <mergeCell ref="EKO1:ELD1"/>
    <mergeCell ref="ELE1:ELT1"/>
    <mergeCell ref="ELU1:EMJ1"/>
    <mergeCell ref="EMK1:EMZ1"/>
    <mergeCell ref="ENA1:ENP1"/>
    <mergeCell ref="ENQ1:EOF1"/>
    <mergeCell ref="EOG1:EOV1"/>
    <mergeCell ref="EOW1:EPL1"/>
    <mergeCell ref="EPM1:EQB1"/>
    <mergeCell ref="EQC1:EQR1"/>
    <mergeCell ref="EQS1:ERH1"/>
    <mergeCell ref="ERI1:ERX1"/>
    <mergeCell ref="ERY1:ESN1"/>
    <mergeCell ref="ESO1:ETD1"/>
    <mergeCell ref="ETE1:ETT1"/>
    <mergeCell ref="ETU1:EUJ1"/>
    <mergeCell ref="EUK1:EUZ1"/>
    <mergeCell ref="EVA1:EVP1"/>
    <mergeCell ref="EVQ1:EWF1"/>
    <mergeCell ref="EWG1:EWV1"/>
    <mergeCell ref="EWW1:EXL1"/>
    <mergeCell ref="EXM1:EYB1"/>
    <mergeCell ref="EYC1:EYR1"/>
    <mergeCell ref="EYS1:EZH1"/>
    <mergeCell ref="EZI1:EZX1"/>
    <mergeCell ref="EZY1:FAN1"/>
    <mergeCell ref="FAO1:FBD1"/>
    <mergeCell ref="FBE1:FBT1"/>
    <mergeCell ref="FBU1:FCJ1"/>
    <mergeCell ref="FCK1:FCZ1"/>
    <mergeCell ref="FDA1:FDP1"/>
    <mergeCell ref="FDQ1:FEF1"/>
    <mergeCell ref="FEG1:FEV1"/>
    <mergeCell ref="FEW1:FFL1"/>
    <mergeCell ref="FFM1:FGB1"/>
    <mergeCell ref="FGC1:FGR1"/>
    <mergeCell ref="FGS1:FHH1"/>
    <mergeCell ref="FHI1:FHX1"/>
    <mergeCell ref="FHY1:FIN1"/>
    <mergeCell ref="FIO1:FJD1"/>
    <mergeCell ref="FJE1:FJT1"/>
    <mergeCell ref="FJU1:FKJ1"/>
    <mergeCell ref="FKK1:FKZ1"/>
    <mergeCell ref="FLA1:FLP1"/>
    <mergeCell ref="FLQ1:FMF1"/>
    <mergeCell ref="FMG1:FMV1"/>
    <mergeCell ref="FMW1:FNL1"/>
    <mergeCell ref="FNM1:FOB1"/>
    <mergeCell ref="FOC1:FOR1"/>
    <mergeCell ref="FOS1:FPH1"/>
    <mergeCell ref="FPI1:FPX1"/>
    <mergeCell ref="FPY1:FQN1"/>
    <mergeCell ref="FQO1:FRD1"/>
    <mergeCell ref="FRE1:FRT1"/>
    <mergeCell ref="FRU1:FSJ1"/>
    <mergeCell ref="FSK1:FSZ1"/>
    <mergeCell ref="FTA1:FTP1"/>
    <mergeCell ref="FTQ1:FUF1"/>
    <mergeCell ref="FUG1:FUV1"/>
    <mergeCell ref="FUW1:FVL1"/>
    <mergeCell ref="FVM1:FWB1"/>
    <mergeCell ref="FWC1:FWR1"/>
    <mergeCell ref="FWS1:FXH1"/>
    <mergeCell ref="FXI1:FXX1"/>
    <mergeCell ref="FXY1:FYN1"/>
    <mergeCell ref="FYO1:FZD1"/>
    <mergeCell ref="FZE1:FZT1"/>
    <mergeCell ref="FZU1:GAJ1"/>
    <mergeCell ref="GAK1:GAZ1"/>
    <mergeCell ref="GBA1:GBP1"/>
    <mergeCell ref="GBQ1:GCF1"/>
    <mergeCell ref="GCG1:GCV1"/>
    <mergeCell ref="GCW1:GDL1"/>
    <mergeCell ref="GDM1:GEB1"/>
    <mergeCell ref="GEC1:GER1"/>
    <mergeCell ref="GES1:GFH1"/>
    <mergeCell ref="GFI1:GFX1"/>
    <mergeCell ref="GFY1:GGN1"/>
    <mergeCell ref="GGO1:GHD1"/>
    <mergeCell ref="GHE1:GHT1"/>
    <mergeCell ref="GHU1:GIJ1"/>
    <mergeCell ref="GIK1:GIZ1"/>
    <mergeCell ref="GJA1:GJP1"/>
    <mergeCell ref="GJQ1:GKF1"/>
    <mergeCell ref="GKG1:GKV1"/>
    <mergeCell ref="GKW1:GLL1"/>
    <mergeCell ref="GLM1:GMB1"/>
    <mergeCell ref="GMC1:GMR1"/>
    <mergeCell ref="GMS1:GNH1"/>
    <mergeCell ref="GNI1:GNX1"/>
    <mergeCell ref="GNY1:GON1"/>
    <mergeCell ref="GOO1:GPD1"/>
    <mergeCell ref="GPE1:GPT1"/>
    <mergeCell ref="GPU1:GQJ1"/>
    <mergeCell ref="GQK1:GQZ1"/>
    <mergeCell ref="GRA1:GRP1"/>
    <mergeCell ref="GRQ1:GSF1"/>
    <mergeCell ref="GSG1:GSV1"/>
    <mergeCell ref="GSW1:GTL1"/>
    <mergeCell ref="GTM1:GUB1"/>
    <mergeCell ref="GUC1:GUR1"/>
    <mergeCell ref="GUS1:GVH1"/>
    <mergeCell ref="GVI1:GVX1"/>
    <mergeCell ref="GVY1:GWN1"/>
    <mergeCell ref="GWO1:GXD1"/>
    <mergeCell ref="GXE1:GXT1"/>
    <mergeCell ref="GXU1:GYJ1"/>
    <mergeCell ref="GYK1:GYZ1"/>
    <mergeCell ref="GZA1:GZP1"/>
    <mergeCell ref="GZQ1:HAF1"/>
    <mergeCell ref="HAG1:HAV1"/>
    <mergeCell ref="HAW1:HBL1"/>
    <mergeCell ref="HBM1:HCB1"/>
    <mergeCell ref="HCC1:HCR1"/>
    <mergeCell ref="HCS1:HDH1"/>
    <mergeCell ref="HDI1:HDX1"/>
    <mergeCell ref="HDY1:HEN1"/>
    <mergeCell ref="HEO1:HFD1"/>
    <mergeCell ref="HFE1:HFT1"/>
    <mergeCell ref="HFU1:HGJ1"/>
    <mergeCell ref="HGK1:HGZ1"/>
    <mergeCell ref="HHA1:HHP1"/>
    <mergeCell ref="HHQ1:HIF1"/>
    <mergeCell ref="HIG1:HIV1"/>
    <mergeCell ref="HIW1:HJL1"/>
    <mergeCell ref="HJM1:HKB1"/>
    <mergeCell ref="HKC1:HKR1"/>
    <mergeCell ref="HKS1:HLH1"/>
    <mergeCell ref="HLI1:HLX1"/>
    <mergeCell ref="HLY1:HMN1"/>
    <mergeCell ref="HMO1:HND1"/>
    <mergeCell ref="HNE1:HNT1"/>
    <mergeCell ref="HNU1:HOJ1"/>
    <mergeCell ref="HOK1:HOZ1"/>
    <mergeCell ref="HPA1:HPP1"/>
    <mergeCell ref="HPQ1:HQF1"/>
    <mergeCell ref="HQG1:HQV1"/>
    <mergeCell ref="HQW1:HRL1"/>
    <mergeCell ref="HRM1:HSB1"/>
    <mergeCell ref="HSC1:HSR1"/>
    <mergeCell ref="HSS1:HTH1"/>
    <mergeCell ref="HTI1:HTX1"/>
    <mergeCell ref="HTY1:HUN1"/>
    <mergeCell ref="HUO1:HVD1"/>
    <mergeCell ref="HVE1:HVT1"/>
    <mergeCell ref="HVU1:HWJ1"/>
    <mergeCell ref="HWK1:HWZ1"/>
    <mergeCell ref="HXA1:HXP1"/>
    <mergeCell ref="HXQ1:HYF1"/>
    <mergeCell ref="HYG1:HYV1"/>
    <mergeCell ref="HYW1:HZL1"/>
    <mergeCell ref="HZM1:IAB1"/>
    <mergeCell ref="IAC1:IAR1"/>
    <mergeCell ref="IAS1:IBH1"/>
    <mergeCell ref="IBI1:IBX1"/>
    <mergeCell ref="IBY1:ICN1"/>
    <mergeCell ref="ICO1:IDD1"/>
    <mergeCell ref="IDE1:IDT1"/>
    <mergeCell ref="IDU1:IEJ1"/>
    <mergeCell ref="IEK1:IEZ1"/>
    <mergeCell ref="IFA1:IFP1"/>
    <mergeCell ref="IFQ1:IGF1"/>
    <mergeCell ref="IGG1:IGV1"/>
    <mergeCell ref="IGW1:IHL1"/>
    <mergeCell ref="IHM1:IIB1"/>
    <mergeCell ref="IIC1:IIR1"/>
    <mergeCell ref="IIS1:IJH1"/>
    <mergeCell ref="IJI1:IJX1"/>
    <mergeCell ref="IJY1:IKN1"/>
    <mergeCell ref="IKO1:ILD1"/>
    <mergeCell ref="ILE1:ILT1"/>
    <mergeCell ref="ILU1:IMJ1"/>
    <mergeCell ref="IMK1:IMZ1"/>
    <mergeCell ref="INA1:INP1"/>
    <mergeCell ref="INQ1:IOF1"/>
    <mergeCell ref="IOG1:IOV1"/>
    <mergeCell ref="IOW1:IPL1"/>
    <mergeCell ref="IPM1:IQB1"/>
    <mergeCell ref="IQC1:IQR1"/>
    <mergeCell ref="IQS1:IRH1"/>
    <mergeCell ref="IRI1:IRX1"/>
    <mergeCell ref="IRY1:ISN1"/>
    <mergeCell ref="ISO1:ITD1"/>
    <mergeCell ref="ITE1:ITT1"/>
    <mergeCell ref="ITU1:IUJ1"/>
    <mergeCell ref="IUK1:IUZ1"/>
    <mergeCell ref="IVA1:IVP1"/>
    <mergeCell ref="IVQ1:IWF1"/>
    <mergeCell ref="IWG1:IWV1"/>
    <mergeCell ref="IWW1:IXL1"/>
    <mergeCell ref="IXM1:IYB1"/>
    <mergeCell ref="IYC1:IYR1"/>
    <mergeCell ref="IYS1:IZH1"/>
    <mergeCell ref="IZI1:IZX1"/>
    <mergeCell ref="IZY1:JAN1"/>
    <mergeCell ref="JAO1:JBD1"/>
    <mergeCell ref="JBE1:JBT1"/>
    <mergeCell ref="JBU1:JCJ1"/>
    <mergeCell ref="JCK1:JCZ1"/>
    <mergeCell ref="JDA1:JDP1"/>
    <mergeCell ref="JDQ1:JEF1"/>
    <mergeCell ref="JEG1:JEV1"/>
    <mergeCell ref="JEW1:JFL1"/>
    <mergeCell ref="JFM1:JGB1"/>
    <mergeCell ref="JGC1:JGR1"/>
    <mergeCell ref="JGS1:JHH1"/>
    <mergeCell ref="JHI1:JHX1"/>
    <mergeCell ref="JHY1:JIN1"/>
    <mergeCell ref="JIO1:JJD1"/>
    <mergeCell ref="JJE1:JJT1"/>
    <mergeCell ref="JJU1:JKJ1"/>
    <mergeCell ref="JKK1:JKZ1"/>
    <mergeCell ref="JLA1:JLP1"/>
    <mergeCell ref="JLQ1:JMF1"/>
    <mergeCell ref="JMG1:JMV1"/>
    <mergeCell ref="JMW1:JNL1"/>
    <mergeCell ref="JNM1:JOB1"/>
    <mergeCell ref="JOC1:JOR1"/>
    <mergeCell ref="JOS1:JPH1"/>
    <mergeCell ref="JPI1:JPX1"/>
    <mergeCell ref="JPY1:JQN1"/>
    <mergeCell ref="JQO1:JRD1"/>
    <mergeCell ref="JRE1:JRT1"/>
    <mergeCell ref="JRU1:JSJ1"/>
    <mergeCell ref="JSK1:JSZ1"/>
    <mergeCell ref="JTA1:JTP1"/>
    <mergeCell ref="JTQ1:JUF1"/>
    <mergeCell ref="JUG1:JUV1"/>
    <mergeCell ref="JUW1:JVL1"/>
    <mergeCell ref="JVM1:JWB1"/>
    <mergeCell ref="JWC1:JWR1"/>
    <mergeCell ref="JWS1:JXH1"/>
    <mergeCell ref="JXI1:JXX1"/>
    <mergeCell ref="JXY1:JYN1"/>
    <mergeCell ref="JYO1:JZD1"/>
    <mergeCell ref="JZE1:JZT1"/>
    <mergeCell ref="JZU1:KAJ1"/>
    <mergeCell ref="KAK1:KAZ1"/>
    <mergeCell ref="KBA1:KBP1"/>
    <mergeCell ref="KBQ1:KCF1"/>
    <mergeCell ref="KCG1:KCV1"/>
    <mergeCell ref="KCW1:KDL1"/>
    <mergeCell ref="KDM1:KEB1"/>
    <mergeCell ref="KEC1:KER1"/>
    <mergeCell ref="KES1:KFH1"/>
    <mergeCell ref="KFI1:KFX1"/>
    <mergeCell ref="KFY1:KGN1"/>
    <mergeCell ref="KGO1:KHD1"/>
    <mergeCell ref="KHE1:KHT1"/>
    <mergeCell ref="KHU1:KIJ1"/>
    <mergeCell ref="KIK1:KIZ1"/>
    <mergeCell ref="KJA1:KJP1"/>
    <mergeCell ref="KJQ1:KKF1"/>
    <mergeCell ref="KKG1:KKV1"/>
    <mergeCell ref="KKW1:KLL1"/>
    <mergeCell ref="KLM1:KMB1"/>
    <mergeCell ref="KMC1:KMR1"/>
    <mergeCell ref="KMS1:KNH1"/>
    <mergeCell ref="KNI1:KNX1"/>
    <mergeCell ref="KNY1:KON1"/>
    <mergeCell ref="KOO1:KPD1"/>
    <mergeCell ref="KPE1:KPT1"/>
    <mergeCell ref="KPU1:KQJ1"/>
    <mergeCell ref="KQK1:KQZ1"/>
    <mergeCell ref="KRA1:KRP1"/>
    <mergeCell ref="KRQ1:KSF1"/>
    <mergeCell ref="KSG1:KSV1"/>
    <mergeCell ref="KSW1:KTL1"/>
    <mergeCell ref="KTM1:KUB1"/>
    <mergeCell ref="KUC1:KUR1"/>
    <mergeCell ref="KUS1:KVH1"/>
    <mergeCell ref="KVI1:KVX1"/>
    <mergeCell ref="KVY1:KWN1"/>
    <mergeCell ref="KWO1:KXD1"/>
    <mergeCell ref="KXE1:KXT1"/>
    <mergeCell ref="KXU1:KYJ1"/>
    <mergeCell ref="KYK1:KYZ1"/>
    <mergeCell ref="KZA1:KZP1"/>
    <mergeCell ref="KZQ1:LAF1"/>
    <mergeCell ref="LAG1:LAV1"/>
    <mergeCell ref="LAW1:LBL1"/>
    <mergeCell ref="LBM1:LCB1"/>
    <mergeCell ref="LCC1:LCR1"/>
    <mergeCell ref="LCS1:LDH1"/>
    <mergeCell ref="LDI1:LDX1"/>
    <mergeCell ref="LDY1:LEN1"/>
    <mergeCell ref="LEO1:LFD1"/>
    <mergeCell ref="LFE1:LFT1"/>
    <mergeCell ref="LFU1:LGJ1"/>
    <mergeCell ref="LGK1:LGZ1"/>
    <mergeCell ref="LHA1:LHP1"/>
    <mergeCell ref="LHQ1:LIF1"/>
    <mergeCell ref="LIG1:LIV1"/>
    <mergeCell ref="LIW1:LJL1"/>
    <mergeCell ref="LJM1:LKB1"/>
    <mergeCell ref="LKC1:LKR1"/>
    <mergeCell ref="LKS1:LLH1"/>
    <mergeCell ref="LLI1:LLX1"/>
    <mergeCell ref="LLY1:LMN1"/>
    <mergeCell ref="LMO1:LND1"/>
    <mergeCell ref="LNE1:LNT1"/>
    <mergeCell ref="LNU1:LOJ1"/>
    <mergeCell ref="LOK1:LOZ1"/>
    <mergeCell ref="LPA1:LPP1"/>
    <mergeCell ref="LPQ1:LQF1"/>
    <mergeCell ref="LQG1:LQV1"/>
    <mergeCell ref="LQW1:LRL1"/>
    <mergeCell ref="LRM1:LSB1"/>
    <mergeCell ref="LSC1:LSR1"/>
    <mergeCell ref="LSS1:LTH1"/>
    <mergeCell ref="LTI1:LTX1"/>
    <mergeCell ref="LTY1:LUN1"/>
    <mergeCell ref="LUO1:LVD1"/>
    <mergeCell ref="LVE1:LVT1"/>
    <mergeCell ref="LVU1:LWJ1"/>
    <mergeCell ref="LWK1:LWZ1"/>
    <mergeCell ref="LXA1:LXP1"/>
    <mergeCell ref="LXQ1:LYF1"/>
    <mergeCell ref="LYG1:LYV1"/>
    <mergeCell ref="LYW1:LZL1"/>
    <mergeCell ref="LZM1:MAB1"/>
    <mergeCell ref="MAC1:MAR1"/>
    <mergeCell ref="MAS1:MBH1"/>
    <mergeCell ref="MBI1:MBX1"/>
    <mergeCell ref="MBY1:MCN1"/>
    <mergeCell ref="MCO1:MDD1"/>
    <mergeCell ref="MDE1:MDT1"/>
    <mergeCell ref="MDU1:MEJ1"/>
    <mergeCell ref="MEK1:MEZ1"/>
    <mergeCell ref="MFA1:MFP1"/>
    <mergeCell ref="MFQ1:MGF1"/>
    <mergeCell ref="MGG1:MGV1"/>
    <mergeCell ref="MGW1:MHL1"/>
    <mergeCell ref="MHM1:MIB1"/>
    <mergeCell ref="MIC1:MIR1"/>
    <mergeCell ref="MIS1:MJH1"/>
    <mergeCell ref="MJI1:MJX1"/>
    <mergeCell ref="MJY1:MKN1"/>
    <mergeCell ref="MKO1:MLD1"/>
    <mergeCell ref="MLE1:MLT1"/>
    <mergeCell ref="MLU1:MMJ1"/>
    <mergeCell ref="MMK1:MMZ1"/>
    <mergeCell ref="MNA1:MNP1"/>
    <mergeCell ref="MNQ1:MOF1"/>
    <mergeCell ref="MOG1:MOV1"/>
    <mergeCell ref="MOW1:MPL1"/>
    <mergeCell ref="MPM1:MQB1"/>
    <mergeCell ref="MQC1:MQR1"/>
    <mergeCell ref="MQS1:MRH1"/>
    <mergeCell ref="MRI1:MRX1"/>
    <mergeCell ref="MRY1:MSN1"/>
    <mergeCell ref="MSO1:MTD1"/>
    <mergeCell ref="MTE1:MTT1"/>
    <mergeCell ref="MTU1:MUJ1"/>
    <mergeCell ref="MUK1:MUZ1"/>
    <mergeCell ref="MVA1:MVP1"/>
    <mergeCell ref="MVQ1:MWF1"/>
    <mergeCell ref="MWG1:MWV1"/>
    <mergeCell ref="MWW1:MXL1"/>
    <mergeCell ref="MXM1:MYB1"/>
    <mergeCell ref="MYC1:MYR1"/>
    <mergeCell ref="MYS1:MZH1"/>
    <mergeCell ref="MZI1:MZX1"/>
    <mergeCell ref="MZY1:NAN1"/>
    <mergeCell ref="NAO1:NBD1"/>
    <mergeCell ref="NBE1:NBT1"/>
    <mergeCell ref="NBU1:NCJ1"/>
    <mergeCell ref="NCK1:NCZ1"/>
    <mergeCell ref="NDA1:NDP1"/>
    <mergeCell ref="NDQ1:NEF1"/>
    <mergeCell ref="NEG1:NEV1"/>
    <mergeCell ref="NEW1:NFL1"/>
    <mergeCell ref="NFM1:NGB1"/>
    <mergeCell ref="NGC1:NGR1"/>
    <mergeCell ref="NGS1:NHH1"/>
    <mergeCell ref="NHI1:NHX1"/>
    <mergeCell ref="NHY1:NIN1"/>
    <mergeCell ref="NIO1:NJD1"/>
    <mergeCell ref="NJE1:NJT1"/>
    <mergeCell ref="NJU1:NKJ1"/>
    <mergeCell ref="NKK1:NKZ1"/>
    <mergeCell ref="NLA1:NLP1"/>
    <mergeCell ref="NLQ1:NMF1"/>
    <mergeCell ref="NMG1:NMV1"/>
    <mergeCell ref="NMW1:NNL1"/>
    <mergeCell ref="NNM1:NOB1"/>
    <mergeCell ref="NOC1:NOR1"/>
    <mergeCell ref="NOS1:NPH1"/>
    <mergeCell ref="NPI1:NPX1"/>
    <mergeCell ref="NPY1:NQN1"/>
    <mergeCell ref="NQO1:NRD1"/>
    <mergeCell ref="NRE1:NRT1"/>
    <mergeCell ref="NRU1:NSJ1"/>
    <mergeCell ref="NSK1:NSZ1"/>
    <mergeCell ref="NTA1:NTP1"/>
    <mergeCell ref="NTQ1:NUF1"/>
    <mergeCell ref="NUG1:NUV1"/>
    <mergeCell ref="NUW1:NVL1"/>
    <mergeCell ref="NVM1:NWB1"/>
    <mergeCell ref="NWC1:NWR1"/>
    <mergeCell ref="NWS1:NXH1"/>
    <mergeCell ref="NXI1:NXX1"/>
    <mergeCell ref="NXY1:NYN1"/>
    <mergeCell ref="NYO1:NZD1"/>
    <mergeCell ref="NZE1:NZT1"/>
    <mergeCell ref="NZU1:OAJ1"/>
    <mergeCell ref="OAK1:OAZ1"/>
    <mergeCell ref="OBA1:OBP1"/>
    <mergeCell ref="OBQ1:OCF1"/>
    <mergeCell ref="OCG1:OCV1"/>
    <mergeCell ref="OCW1:ODL1"/>
    <mergeCell ref="ODM1:OEB1"/>
    <mergeCell ref="OEC1:OER1"/>
    <mergeCell ref="OES1:OFH1"/>
    <mergeCell ref="OFI1:OFX1"/>
    <mergeCell ref="OFY1:OGN1"/>
    <mergeCell ref="OGO1:OHD1"/>
    <mergeCell ref="OHE1:OHT1"/>
    <mergeCell ref="OHU1:OIJ1"/>
    <mergeCell ref="OIK1:OIZ1"/>
    <mergeCell ref="OJA1:OJP1"/>
    <mergeCell ref="OJQ1:OKF1"/>
    <mergeCell ref="OKG1:OKV1"/>
    <mergeCell ref="OKW1:OLL1"/>
    <mergeCell ref="OLM1:OMB1"/>
    <mergeCell ref="OMC1:OMR1"/>
    <mergeCell ref="OMS1:ONH1"/>
    <mergeCell ref="ONI1:ONX1"/>
    <mergeCell ref="ONY1:OON1"/>
    <mergeCell ref="OOO1:OPD1"/>
    <mergeCell ref="OPE1:OPT1"/>
    <mergeCell ref="OPU1:OQJ1"/>
    <mergeCell ref="OQK1:OQZ1"/>
    <mergeCell ref="ORA1:ORP1"/>
    <mergeCell ref="ORQ1:OSF1"/>
    <mergeCell ref="OSG1:OSV1"/>
    <mergeCell ref="OSW1:OTL1"/>
    <mergeCell ref="OTM1:OUB1"/>
    <mergeCell ref="OUC1:OUR1"/>
    <mergeCell ref="OUS1:OVH1"/>
    <mergeCell ref="OVI1:OVX1"/>
    <mergeCell ref="OVY1:OWN1"/>
    <mergeCell ref="OWO1:OXD1"/>
    <mergeCell ref="OXE1:OXT1"/>
    <mergeCell ref="OXU1:OYJ1"/>
    <mergeCell ref="OYK1:OYZ1"/>
    <mergeCell ref="OZA1:OZP1"/>
    <mergeCell ref="OZQ1:PAF1"/>
    <mergeCell ref="PAG1:PAV1"/>
    <mergeCell ref="PAW1:PBL1"/>
    <mergeCell ref="PBM1:PCB1"/>
    <mergeCell ref="PCC1:PCR1"/>
    <mergeCell ref="PCS1:PDH1"/>
    <mergeCell ref="PDI1:PDX1"/>
    <mergeCell ref="PDY1:PEN1"/>
    <mergeCell ref="PEO1:PFD1"/>
    <mergeCell ref="PFE1:PFT1"/>
    <mergeCell ref="PFU1:PGJ1"/>
    <mergeCell ref="PGK1:PGZ1"/>
    <mergeCell ref="PHA1:PHP1"/>
    <mergeCell ref="PHQ1:PIF1"/>
    <mergeCell ref="PIG1:PIV1"/>
    <mergeCell ref="PIW1:PJL1"/>
    <mergeCell ref="PJM1:PKB1"/>
    <mergeCell ref="PKC1:PKR1"/>
    <mergeCell ref="PKS1:PLH1"/>
    <mergeCell ref="PLI1:PLX1"/>
    <mergeCell ref="PLY1:PMN1"/>
    <mergeCell ref="PMO1:PND1"/>
    <mergeCell ref="PNE1:PNT1"/>
    <mergeCell ref="PNU1:POJ1"/>
    <mergeCell ref="POK1:POZ1"/>
    <mergeCell ref="PPA1:PPP1"/>
    <mergeCell ref="PPQ1:PQF1"/>
    <mergeCell ref="PQG1:PQV1"/>
    <mergeCell ref="PQW1:PRL1"/>
    <mergeCell ref="PRM1:PSB1"/>
    <mergeCell ref="PSC1:PSR1"/>
    <mergeCell ref="PSS1:PTH1"/>
    <mergeCell ref="PTI1:PTX1"/>
    <mergeCell ref="PTY1:PUN1"/>
    <mergeCell ref="PUO1:PVD1"/>
    <mergeCell ref="PVE1:PVT1"/>
    <mergeCell ref="PVU1:PWJ1"/>
    <mergeCell ref="PWK1:PWZ1"/>
    <mergeCell ref="PXA1:PXP1"/>
    <mergeCell ref="PXQ1:PYF1"/>
    <mergeCell ref="PYG1:PYV1"/>
    <mergeCell ref="PYW1:PZL1"/>
    <mergeCell ref="PZM1:QAB1"/>
    <mergeCell ref="QAC1:QAR1"/>
    <mergeCell ref="QAS1:QBH1"/>
    <mergeCell ref="QBI1:QBX1"/>
    <mergeCell ref="QBY1:QCN1"/>
    <mergeCell ref="QCO1:QDD1"/>
    <mergeCell ref="QDE1:QDT1"/>
    <mergeCell ref="QDU1:QEJ1"/>
    <mergeCell ref="QEK1:QEZ1"/>
    <mergeCell ref="QFA1:QFP1"/>
    <mergeCell ref="QFQ1:QGF1"/>
    <mergeCell ref="QGG1:QGV1"/>
    <mergeCell ref="QGW1:QHL1"/>
    <mergeCell ref="QHM1:QIB1"/>
    <mergeCell ref="QIC1:QIR1"/>
    <mergeCell ref="QIS1:QJH1"/>
    <mergeCell ref="QJI1:QJX1"/>
    <mergeCell ref="QJY1:QKN1"/>
    <mergeCell ref="QKO1:QLD1"/>
    <mergeCell ref="QLE1:QLT1"/>
    <mergeCell ref="QLU1:QMJ1"/>
    <mergeCell ref="QMK1:QMZ1"/>
    <mergeCell ref="QNA1:QNP1"/>
    <mergeCell ref="QNQ1:QOF1"/>
    <mergeCell ref="QOG1:QOV1"/>
    <mergeCell ref="QOW1:QPL1"/>
    <mergeCell ref="QPM1:QQB1"/>
    <mergeCell ref="QQC1:QQR1"/>
    <mergeCell ref="QQS1:QRH1"/>
    <mergeCell ref="QRI1:QRX1"/>
    <mergeCell ref="QRY1:QSN1"/>
    <mergeCell ref="QSO1:QTD1"/>
    <mergeCell ref="QTE1:QTT1"/>
    <mergeCell ref="QTU1:QUJ1"/>
    <mergeCell ref="QUK1:QUZ1"/>
    <mergeCell ref="QVA1:QVP1"/>
    <mergeCell ref="QVQ1:QWF1"/>
    <mergeCell ref="QWG1:QWV1"/>
    <mergeCell ref="QWW1:QXL1"/>
    <mergeCell ref="QXM1:QYB1"/>
    <mergeCell ref="QYC1:QYR1"/>
    <mergeCell ref="QYS1:QZH1"/>
    <mergeCell ref="QZI1:QZX1"/>
    <mergeCell ref="QZY1:RAN1"/>
    <mergeCell ref="RAO1:RBD1"/>
    <mergeCell ref="RBE1:RBT1"/>
    <mergeCell ref="RBU1:RCJ1"/>
    <mergeCell ref="RCK1:RCZ1"/>
    <mergeCell ref="RDA1:RDP1"/>
    <mergeCell ref="RDQ1:REF1"/>
    <mergeCell ref="REG1:REV1"/>
    <mergeCell ref="REW1:RFL1"/>
    <mergeCell ref="RFM1:RGB1"/>
    <mergeCell ref="RGC1:RGR1"/>
    <mergeCell ref="RGS1:RHH1"/>
    <mergeCell ref="RHI1:RHX1"/>
    <mergeCell ref="RHY1:RIN1"/>
    <mergeCell ref="RIO1:RJD1"/>
    <mergeCell ref="RJE1:RJT1"/>
    <mergeCell ref="RJU1:RKJ1"/>
    <mergeCell ref="RKK1:RKZ1"/>
    <mergeCell ref="RLA1:RLP1"/>
    <mergeCell ref="RLQ1:RMF1"/>
    <mergeCell ref="RMG1:RMV1"/>
    <mergeCell ref="RMW1:RNL1"/>
    <mergeCell ref="RNM1:ROB1"/>
    <mergeCell ref="ROC1:ROR1"/>
    <mergeCell ref="ROS1:RPH1"/>
    <mergeCell ref="RPI1:RPX1"/>
    <mergeCell ref="RPY1:RQN1"/>
    <mergeCell ref="RQO1:RRD1"/>
    <mergeCell ref="RRE1:RRT1"/>
    <mergeCell ref="RRU1:RSJ1"/>
    <mergeCell ref="RSK1:RSZ1"/>
    <mergeCell ref="RTA1:RTP1"/>
    <mergeCell ref="RTQ1:RUF1"/>
    <mergeCell ref="RUG1:RUV1"/>
    <mergeCell ref="RUW1:RVL1"/>
    <mergeCell ref="RVM1:RWB1"/>
    <mergeCell ref="RWC1:RWR1"/>
    <mergeCell ref="RWS1:RXH1"/>
    <mergeCell ref="RXI1:RXX1"/>
    <mergeCell ref="RXY1:RYN1"/>
    <mergeCell ref="RYO1:RZD1"/>
    <mergeCell ref="RZE1:RZT1"/>
    <mergeCell ref="RZU1:SAJ1"/>
    <mergeCell ref="SAK1:SAZ1"/>
    <mergeCell ref="SBA1:SBP1"/>
    <mergeCell ref="SBQ1:SCF1"/>
    <mergeCell ref="SCG1:SCV1"/>
    <mergeCell ref="SCW1:SDL1"/>
    <mergeCell ref="SDM1:SEB1"/>
    <mergeCell ref="SEC1:SER1"/>
    <mergeCell ref="SES1:SFH1"/>
    <mergeCell ref="SFI1:SFX1"/>
    <mergeCell ref="SFY1:SGN1"/>
    <mergeCell ref="SGO1:SHD1"/>
    <mergeCell ref="SHE1:SHT1"/>
    <mergeCell ref="SHU1:SIJ1"/>
    <mergeCell ref="SIK1:SIZ1"/>
    <mergeCell ref="SJA1:SJP1"/>
    <mergeCell ref="SJQ1:SKF1"/>
    <mergeCell ref="SKG1:SKV1"/>
    <mergeCell ref="SKW1:SLL1"/>
    <mergeCell ref="SLM1:SMB1"/>
    <mergeCell ref="SMC1:SMR1"/>
    <mergeCell ref="SMS1:SNH1"/>
    <mergeCell ref="SNI1:SNX1"/>
    <mergeCell ref="SNY1:SON1"/>
    <mergeCell ref="SOO1:SPD1"/>
    <mergeCell ref="SPE1:SPT1"/>
    <mergeCell ref="SPU1:SQJ1"/>
    <mergeCell ref="SQK1:SQZ1"/>
    <mergeCell ref="SRA1:SRP1"/>
    <mergeCell ref="SRQ1:SSF1"/>
    <mergeCell ref="SSG1:SSV1"/>
    <mergeCell ref="SSW1:STL1"/>
    <mergeCell ref="STM1:SUB1"/>
    <mergeCell ref="SUC1:SUR1"/>
    <mergeCell ref="SUS1:SVH1"/>
    <mergeCell ref="SVI1:SVX1"/>
    <mergeCell ref="SVY1:SWN1"/>
    <mergeCell ref="SWO1:SXD1"/>
    <mergeCell ref="SXE1:SXT1"/>
    <mergeCell ref="SXU1:SYJ1"/>
    <mergeCell ref="SYK1:SYZ1"/>
    <mergeCell ref="SZA1:SZP1"/>
    <mergeCell ref="SZQ1:TAF1"/>
    <mergeCell ref="TAG1:TAV1"/>
    <mergeCell ref="TAW1:TBL1"/>
    <mergeCell ref="TBM1:TCB1"/>
    <mergeCell ref="TCC1:TCR1"/>
    <mergeCell ref="TCS1:TDH1"/>
    <mergeCell ref="TDI1:TDX1"/>
    <mergeCell ref="TDY1:TEN1"/>
    <mergeCell ref="TEO1:TFD1"/>
    <mergeCell ref="TFE1:TFT1"/>
    <mergeCell ref="TFU1:TGJ1"/>
    <mergeCell ref="TGK1:TGZ1"/>
    <mergeCell ref="THA1:THP1"/>
    <mergeCell ref="THQ1:TIF1"/>
    <mergeCell ref="TIG1:TIV1"/>
    <mergeCell ref="TIW1:TJL1"/>
    <mergeCell ref="TJM1:TKB1"/>
    <mergeCell ref="TKC1:TKR1"/>
    <mergeCell ref="TKS1:TLH1"/>
    <mergeCell ref="TLI1:TLX1"/>
    <mergeCell ref="TLY1:TMN1"/>
    <mergeCell ref="TMO1:TND1"/>
    <mergeCell ref="TNE1:TNT1"/>
    <mergeCell ref="TNU1:TOJ1"/>
    <mergeCell ref="TOK1:TOZ1"/>
    <mergeCell ref="TPA1:TPP1"/>
    <mergeCell ref="TPQ1:TQF1"/>
    <mergeCell ref="TQG1:TQV1"/>
    <mergeCell ref="TQW1:TRL1"/>
    <mergeCell ref="TRM1:TSB1"/>
    <mergeCell ref="TSC1:TSR1"/>
    <mergeCell ref="TSS1:TTH1"/>
    <mergeCell ref="TTI1:TTX1"/>
    <mergeCell ref="TTY1:TUN1"/>
    <mergeCell ref="TUO1:TVD1"/>
    <mergeCell ref="TVE1:TVT1"/>
    <mergeCell ref="TVU1:TWJ1"/>
    <mergeCell ref="TWK1:TWZ1"/>
    <mergeCell ref="TXA1:TXP1"/>
    <mergeCell ref="TXQ1:TYF1"/>
    <mergeCell ref="TYG1:TYV1"/>
    <mergeCell ref="TYW1:TZL1"/>
    <mergeCell ref="TZM1:UAB1"/>
    <mergeCell ref="UAC1:UAR1"/>
    <mergeCell ref="UAS1:UBH1"/>
    <mergeCell ref="UBI1:UBX1"/>
    <mergeCell ref="UBY1:UCN1"/>
    <mergeCell ref="UCO1:UDD1"/>
    <mergeCell ref="UDE1:UDT1"/>
    <mergeCell ref="UDU1:UEJ1"/>
    <mergeCell ref="UEK1:UEZ1"/>
    <mergeCell ref="UFA1:UFP1"/>
    <mergeCell ref="UFQ1:UGF1"/>
    <mergeCell ref="UGG1:UGV1"/>
    <mergeCell ref="UGW1:UHL1"/>
    <mergeCell ref="UHM1:UIB1"/>
    <mergeCell ref="UIC1:UIR1"/>
    <mergeCell ref="UIS1:UJH1"/>
    <mergeCell ref="UJI1:UJX1"/>
    <mergeCell ref="UJY1:UKN1"/>
    <mergeCell ref="UKO1:ULD1"/>
    <mergeCell ref="ULE1:ULT1"/>
    <mergeCell ref="ULU1:UMJ1"/>
    <mergeCell ref="UMK1:UMZ1"/>
    <mergeCell ref="UNA1:UNP1"/>
    <mergeCell ref="UNQ1:UOF1"/>
    <mergeCell ref="UOG1:UOV1"/>
    <mergeCell ref="UOW1:UPL1"/>
    <mergeCell ref="UPM1:UQB1"/>
    <mergeCell ref="UQC1:UQR1"/>
    <mergeCell ref="UQS1:URH1"/>
    <mergeCell ref="URI1:URX1"/>
    <mergeCell ref="URY1:USN1"/>
    <mergeCell ref="USO1:UTD1"/>
    <mergeCell ref="UTE1:UTT1"/>
    <mergeCell ref="UTU1:UUJ1"/>
    <mergeCell ref="UUK1:UUZ1"/>
    <mergeCell ref="UVA1:UVP1"/>
    <mergeCell ref="UVQ1:UWF1"/>
    <mergeCell ref="UWG1:UWV1"/>
    <mergeCell ref="UWW1:UXL1"/>
    <mergeCell ref="UXM1:UYB1"/>
    <mergeCell ref="UYC1:UYR1"/>
    <mergeCell ref="UYS1:UZH1"/>
    <mergeCell ref="UZI1:UZX1"/>
    <mergeCell ref="UZY1:VAN1"/>
    <mergeCell ref="VAO1:VBD1"/>
    <mergeCell ref="VBE1:VBT1"/>
    <mergeCell ref="VBU1:VCJ1"/>
    <mergeCell ref="VCK1:VCZ1"/>
    <mergeCell ref="VDA1:VDP1"/>
    <mergeCell ref="VDQ1:VEF1"/>
    <mergeCell ref="VEG1:VEV1"/>
    <mergeCell ref="VEW1:VFL1"/>
    <mergeCell ref="VFM1:VGB1"/>
    <mergeCell ref="VGC1:VGR1"/>
    <mergeCell ref="VGS1:VHH1"/>
    <mergeCell ref="VHI1:VHX1"/>
    <mergeCell ref="VHY1:VIN1"/>
    <mergeCell ref="VIO1:VJD1"/>
    <mergeCell ref="VJE1:VJT1"/>
    <mergeCell ref="VJU1:VKJ1"/>
    <mergeCell ref="VKK1:VKZ1"/>
    <mergeCell ref="VLA1:VLP1"/>
    <mergeCell ref="VLQ1:VMF1"/>
    <mergeCell ref="VMG1:VMV1"/>
    <mergeCell ref="VMW1:VNL1"/>
    <mergeCell ref="VNM1:VOB1"/>
    <mergeCell ref="VOC1:VOR1"/>
    <mergeCell ref="VOS1:VPH1"/>
    <mergeCell ref="VPI1:VPX1"/>
    <mergeCell ref="VPY1:VQN1"/>
    <mergeCell ref="VQO1:VRD1"/>
    <mergeCell ref="VRE1:VRT1"/>
    <mergeCell ref="VRU1:VSJ1"/>
    <mergeCell ref="VSK1:VSZ1"/>
    <mergeCell ref="VTA1:VTP1"/>
    <mergeCell ref="VTQ1:VUF1"/>
    <mergeCell ref="VUG1:VUV1"/>
    <mergeCell ref="VUW1:VVL1"/>
    <mergeCell ref="VVM1:VWB1"/>
    <mergeCell ref="VWC1:VWR1"/>
    <mergeCell ref="VWS1:VXH1"/>
    <mergeCell ref="VXI1:VXX1"/>
    <mergeCell ref="VXY1:VYN1"/>
    <mergeCell ref="VYO1:VZD1"/>
    <mergeCell ref="VZE1:VZT1"/>
    <mergeCell ref="VZU1:WAJ1"/>
    <mergeCell ref="WAK1:WAZ1"/>
    <mergeCell ref="WBA1:WBP1"/>
    <mergeCell ref="WBQ1:WCF1"/>
    <mergeCell ref="WCG1:WCV1"/>
    <mergeCell ref="WCW1:WDL1"/>
    <mergeCell ref="WDM1:WEB1"/>
    <mergeCell ref="WEC1:WER1"/>
    <mergeCell ref="WES1:WFH1"/>
    <mergeCell ref="WFI1:WFX1"/>
    <mergeCell ref="WFY1:WGN1"/>
    <mergeCell ref="WGO1:WHD1"/>
    <mergeCell ref="WHE1:WHT1"/>
    <mergeCell ref="WHU1:WIJ1"/>
    <mergeCell ref="WIK1:WIZ1"/>
    <mergeCell ref="WJA1:WJP1"/>
    <mergeCell ref="WJQ1:WKF1"/>
    <mergeCell ref="WKG1:WKV1"/>
    <mergeCell ref="WKW1:WLL1"/>
    <mergeCell ref="WLM1:WMB1"/>
    <mergeCell ref="WMC1:WMR1"/>
    <mergeCell ref="WMS1:WNH1"/>
    <mergeCell ref="WNI1:WNX1"/>
    <mergeCell ref="WNY1:WON1"/>
    <mergeCell ref="WOO1:WPD1"/>
    <mergeCell ref="WPE1:WPT1"/>
    <mergeCell ref="WPU1:WQJ1"/>
    <mergeCell ref="WQK1:WQZ1"/>
    <mergeCell ref="WRA1:WRP1"/>
    <mergeCell ref="WRQ1:WSF1"/>
    <mergeCell ref="WSG1:WSV1"/>
    <mergeCell ref="WSW1:WTL1"/>
    <mergeCell ref="WTM1:WUB1"/>
    <mergeCell ref="WUC1:WUR1"/>
    <mergeCell ref="WUS1:WVH1"/>
    <mergeCell ref="WVI1:WVX1"/>
    <mergeCell ref="WVY1:WWN1"/>
    <mergeCell ref="WWO1:WXD1"/>
    <mergeCell ref="WXE1:WXT1"/>
    <mergeCell ref="WXU1:WYJ1"/>
    <mergeCell ref="WYK1:WYZ1"/>
    <mergeCell ref="WZA1:WZP1"/>
    <mergeCell ref="WZQ1:XAF1"/>
    <mergeCell ref="XAG1:XAV1"/>
    <mergeCell ref="XAW1:XBL1"/>
    <mergeCell ref="XBM1:XCB1"/>
    <mergeCell ref="XCC1:XCR1"/>
    <mergeCell ref="XCS1:XDH1"/>
    <mergeCell ref="XDI1:XDX1"/>
    <mergeCell ref="XDY1:XEN1"/>
    <mergeCell ref="XEO1:XFD1"/>
  </mergeCells>
  <conditionalFormatting sqref="R2">
    <cfRule type="duplicateValues" dxfId="0" priority="1"/>
  </conditionalFormatting>
  <conditionalFormatting sqref="R3">
    <cfRule type="duplicateValues" dxfId="0" priority="2"/>
  </conditionalFormatting>
  <pageMargins left="0.699305555555556" right="0.699305555555556" top="0.75" bottom="0.75" header="0.3" footer="0.3"/>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N3"/>
  <sheetViews>
    <sheetView workbookViewId="0">
      <selection activeCell="O34" sqref="O34"/>
    </sheetView>
  </sheetViews>
  <sheetFormatPr defaultColWidth="9" defaultRowHeight="13.5" outlineLevelRow="2"/>
  <sheetData>
    <row r="1" s="7" customFormat="1" ht="42.6" customHeight="1" spans="1:14">
      <c r="A1" s="47" t="s">
        <v>519</v>
      </c>
      <c r="B1" s="47"/>
      <c r="C1" s="47"/>
      <c r="D1" s="47"/>
      <c r="E1" s="47"/>
      <c r="F1" s="47"/>
      <c r="G1" s="47"/>
      <c r="H1" s="47"/>
      <c r="I1" s="47"/>
      <c r="J1" s="47"/>
      <c r="K1" s="47"/>
      <c r="L1" s="47"/>
      <c r="M1" s="47"/>
      <c r="N1" s="48"/>
    </row>
    <row r="2" s="7" customFormat="1" ht="37.15" customHeight="1" spans="1:14">
      <c r="A2" s="22" t="s">
        <v>3</v>
      </c>
      <c r="B2" s="22" t="s">
        <v>4</v>
      </c>
      <c r="C2" s="23" t="s">
        <v>5</v>
      </c>
      <c r="D2" s="23" t="s">
        <v>6</v>
      </c>
      <c r="E2" s="24" t="s">
        <v>53</v>
      </c>
      <c r="F2" s="24" t="s">
        <v>54</v>
      </c>
      <c r="G2" s="24" t="s">
        <v>7</v>
      </c>
      <c r="H2" s="22" t="s">
        <v>8</v>
      </c>
      <c r="I2" s="22" t="s">
        <v>9</v>
      </c>
      <c r="J2" s="22" t="s">
        <v>10</v>
      </c>
      <c r="K2" s="23" t="s">
        <v>11</v>
      </c>
      <c r="L2" s="29" t="s">
        <v>91</v>
      </c>
      <c r="M2" s="22" t="s">
        <v>31</v>
      </c>
      <c r="N2" s="48"/>
    </row>
    <row r="3" s="46" customFormat="1" ht="24" customHeight="1" spans="1:14">
      <c r="A3" s="25">
        <v>1</v>
      </c>
      <c r="B3" s="25"/>
      <c r="C3" s="25"/>
      <c r="D3" s="26" t="s">
        <v>15</v>
      </c>
      <c r="E3" s="25" t="s">
        <v>520</v>
      </c>
      <c r="F3" s="25" t="s">
        <v>217</v>
      </c>
      <c r="G3" s="25" t="s">
        <v>521</v>
      </c>
      <c r="H3" s="25">
        <v>60</v>
      </c>
      <c r="I3" s="25" t="s">
        <v>522</v>
      </c>
      <c r="J3" s="49" t="s">
        <v>523</v>
      </c>
      <c r="K3" s="32" t="s">
        <v>19</v>
      </c>
      <c r="L3" s="50">
        <v>46080</v>
      </c>
      <c r="M3" s="32" t="s">
        <v>524</v>
      </c>
      <c r="N3" s="51">
        <v>1073263</v>
      </c>
    </row>
  </sheetData>
  <mergeCells count="1">
    <mergeCell ref="A1:M1"/>
  </mergeCells>
  <conditionalFormatting sqref="J3">
    <cfRule type="duplicateValues" dxfId="0" priority="11"/>
    <cfRule type="duplicateValues" dxfId="0" priority="10"/>
  </conditionalFormatting>
  <conditionalFormatting sqref="J1:J2">
    <cfRule type="duplicateValues" dxfId="0" priority="9"/>
    <cfRule type="duplicateValues" dxfId="0" priority="8"/>
    <cfRule type="duplicateValues" dxfId="0" priority="7"/>
    <cfRule type="duplicateValues" dxfId="0" priority="6"/>
    <cfRule type="duplicateValues" dxfId="0" priority="5"/>
    <cfRule type="duplicateValues" dxfId="0" priority="4"/>
    <cfRule type="duplicateValues" dxfId="0" priority="3"/>
    <cfRule type="duplicateValues" dxfId="0" priority="2"/>
    <cfRule type="duplicateValues" dxfId="0" priority="1"/>
  </conditionalFormatting>
  <dataValidations count="1">
    <dataValidation type="list" allowBlank="1" showInputMessage="1" showErrorMessage="1" sqref="M2">
      <formula1>"XX10,XX20,XX12B,XX12A,1810E,RD93,XX15,XX19"</formula1>
    </dataValidation>
  </dataValidations>
  <pageMargins left="0.699305555555556" right="0.699305555555556" top="0.75" bottom="0.75" header="0.3" footer="0.3"/>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N4"/>
  <sheetViews>
    <sheetView workbookViewId="0">
      <selection activeCell="P26" sqref="P26"/>
    </sheetView>
  </sheetViews>
  <sheetFormatPr defaultColWidth="9" defaultRowHeight="13.5" outlineLevelRow="3"/>
  <sheetData>
    <row r="1" s="1" customFormat="1" ht="31.15" customHeight="1" spans="1:14">
      <c r="A1" s="33" t="s">
        <v>45</v>
      </c>
      <c r="B1" s="34"/>
      <c r="C1" s="34"/>
      <c r="D1" s="34"/>
      <c r="E1" s="34"/>
      <c r="F1" s="34"/>
      <c r="G1" s="34"/>
      <c r="H1" s="34"/>
      <c r="I1" s="34"/>
      <c r="J1" s="34"/>
      <c r="K1" s="34"/>
      <c r="L1" s="41"/>
      <c r="M1" s="42" t="s">
        <v>525</v>
      </c>
      <c r="N1" s="43" t="s">
        <v>526</v>
      </c>
    </row>
    <row r="2" s="1" customFormat="1" ht="41.45" customHeight="1" spans="1:12">
      <c r="A2" s="35" t="s">
        <v>527</v>
      </c>
      <c r="B2" s="36"/>
      <c r="C2" s="36"/>
      <c r="D2" s="36"/>
      <c r="E2" s="37"/>
      <c r="F2" s="35" t="s">
        <v>528</v>
      </c>
      <c r="G2" s="36"/>
      <c r="H2" s="36"/>
      <c r="I2" s="36"/>
      <c r="J2" s="37"/>
      <c r="K2" s="35" t="s">
        <v>529</v>
      </c>
      <c r="L2" s="37"/>
    </row>
    <row r="3" s="1" customFormat="1" ht="26.45" customHeight="1" spans="1:12">
      <c r="A3" s="38" t="s">
        <v>10</v>
      </c>
      <c r="B3" s="38" t="s">
        <v>49</v>
      </c>
      <c r="C3" s="38" t="s">
        <v>50</v>
      </c>
      <c r="D3" s="38" t="s">
        <v>51</v>
      </c>
      <c r="E3" s="38" t="s">
        <v>52</v>
      </c>
      <c r="F3" s="38" t="s">
        <v>54</v>
      </c>
      <c r="G3" s="38" t="s">
        <v>53</v>
      </c>
      <c r="H3" s="39" t="s">
        <v>56</v>
      </c>
      <c r="I3" s="39" t="s">
        <v>57</v>
      </c>
      <c r="J3" s="39" t="s">
        <v>58</v>
      </c>
      <c r="K3" s="44" t="s">
        <v>59</v>
      </c>
      <c r="L3" s="38" t="s">
        <v>11</v>
      </c>
    </row>
    <row r="4" s="1" customFormat="1" ht="115.5" customHeight="1" spans="1:13">
      <c r="A4" s="40" t="s">
        <v>530</v>
      </c>
      <c r="B4" s="40" t="s">
        <v>531</v>
      </c>
      <c r="C4" s="40"/>
      <c r="D4" s="40" t="s">
        <v>532</v>
      </c>
      <c r="E4" s="40" t="s">
        <v>533</v>
      </c>
      <c r="F4" s="40" t="s">
        <v>65</v>
      </c>
      <c r="G4" s="40" t="s">
        <v>534</v>
      </c>
      <c r="H4" s="40">
        <v>76</v>
      </c>
      <c r="I4" s="40">
        <v>1.5</v>
      </c>
      <c r="J4" s="40">
        <v>114</v>
      </c>
      <c r="K4" s="45" t="s">
        <v>535</v>
      </c>
      <c r="L4" s="40" t="s">
        <v>19</v>
      </c>
      <c r="M4" s="1">
        <v>1089009</v>
      </c>
    </row>
  </sheetData>
  <mergeCells count="4">
    <mergeCell ref="A1:L1"/>
    <mergeCell ref="A2:E2"/>
    <mergeCell ref="F2:J2"/>
    <mergeCell ref="K2:L2"/>
  </mergeCells>
  <conditionalFormatting sqref="M1">
    <cfRule type="duplicateValues" dxfId="0" priority="1"/>
  </conditionalFormatting>
  <conditionalFormatting sqref="M4">
    <cfRule type="duplicateValues" dxfId="0" priority="3"/>
  </conditionalFormatting>
  <conditionalFormatting sqref="M2:M3">
    <cfRule type="duplicateValues" dxfId="0" priority="2"/>
  </conditionalFormatting>
  <pageMargins left="0.699305555555556" right="0.699305555555556" top="0.75" bottom="0.75" header="0.3" footer="0.3"/>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N3"/>
  <sheetViews>
    <sheetView workbookViewId="0">
      <selection activeCell="G18" sqref="G18"/>
    </sheetView>
  </sheetViews>
  <sheetFormatPr defaultColWidth="9" defaultRowHeight="13.5" outlineLevelRow="2"/>
  <sheetData>
    <row r="1" s="19" customFormat="1" ht="49.9" customHeight="1" spans="1:14">
      <c r="A1" s="20" t="s">
        <v>536</v>
      </c>
      <c r="B1" s="21"/>
      <c r="C1" s="21"/>
      <c r="D1" s="21"/>
      <c r="E1" s="21"/>
      <c r="F1" s="21"/>
      <c r="G1" s="21"/>
      <c r="H1" s="21"/>
      <c r="I1" s="21"/>
      <c r="J1" s="21"/>
      <c r="K1" s="21"/>
      <c r="L1" s="21"/>
      <c r="M1" s="27"/>
      <c r="N1" s="28" t="s">
        <v>537</v>
      </c>
    </row>
    <row r="2" s="19" customFormat="1" ht="24" customHeight="1" spans="1:14">
      <c r="A2" s="22" t="s">
        <v>3</v>
      </c>
      <c r="B2" s="22" t="s">
        <v>4</v>
      </c>
      <c r="C2" s="23" t="s">
        <v>5</v>
      </c>
      <c r="D2" s="23" t="s">
        <v>6</v>
      </c>
      <c r="E2" s="24" t="s">
        <v>53</v>
      </c>
      <c r="F2" s="24" t="s">
        <v>54</v>
      </c>
      <c r="G2" s="24" t="s">
        <v>7</v>
      </c>
      <c r="H2" s="22" t="s">
        <v>8</v>
      </c>
      <c r="I2" s="22" t="s">
        <v>9</v>
      </c>
      <c r="J2" s="22" t="s">
        <v>10</v>
      </c>
      <c r="K2" s="23" t="s">
        <v>11</v>
      </c>
      <c r="L2" s="29" t="s">
        <v>91</v>
      </c>
      <c r="M2" s="22" t="s">
        <v>31</v>
      </c>
      <c r="N2" s="30"/>
    </row>
    <row r="3" s="19" customFormat="1" ht="24" customHeight="1" spans="1:14">
      <c r="A3" s="25">
        <v>1</v>
      </c>
      <c r="B3" s="25"/>
      <c r="C3" s="25"/>
      <c r="D3" s="26" t="s">
        <v>538</v>
      </c>
      <c r="E3" s="25" t="s">
        <v>539</v>
      </c>
      <c r="F3" s="25" t="s">
        <v>540</v>
      </c>
      <c r="G3" s="25" t="s">
        <v>541</v>
      </c>
      <c r="H3" s="25">
        <v>85</v>
      </c>
      <c r="I3" s="25" t="s">
        <v>542</v>
      </c>
      <c r="J3" s="5">
        <v>7101106011</v>
      </c>
      <c r="K3" s="25" t="s">
        <v>19</v>
      </c>
      <c r="L3" s="31">
        <v>46135</v>
      </c>
      <c r="M3" s="32" t="s">
        <v>543</v>
      </c>
      <c r="N3" s="30"/>
    </row>
  </sheetData>
  <mergeCells count="1">
    <mergeCell ref="A1:M1"/>
  </mergeCells>
  <conditionalFormatting sqref="J1">
    <cfRule type="duplicateValues" dxfId="0" priority="17"/>
    <cfRule type="duplicateValues" dxfId="0" priority="16"/>
    <cfRule type="duplicateValues" dxfId="0" priority="15"/>
    <cfRule type="duplicateValues" dxfId="0" priority="14"/>
    <cfRule type="duplicateValues" dxfId="0" priority="13"/>
    <cfRule type="duplicateValues" dxfId="0" priority="12"/>
    <cfRule type="duplicateValues" dxfId="0" priority="11"/>
    <cfRule type="duplicateValues" dxfId="0" priority="10"/>
  </conditionalFormatting>
  <conditionalFormatting sqref="J2">
    <cfRule type="duplicateValues" dxfId="0" priority="9"/>
    <cfRule type="duplicateValues" dxfId="0" priority="8"/>
    <cfRule type="duplicateValues" dxfId="0" priority="7"/>
    <cfRule type="duplicateValues" dxfId="0" priority="6"/>
    <cfRule type="duplicateValues" dxfId="0" priority="5"/>
    <cfRule type="duplicateValues" dxfId="0" priority="4"/>
    <cfRule type="duplicateValues" dxfId="0" priority="3"/>
    <cfRule type="duplicateValues" dxfId="0" priority="2"/>
  </conditionalFormatting>
  <conditionalFormatting sqref="J3">
    <cfRule type="duplicateValues" dxfId="0" priority="1"/>
  </conditionalFormatting>
  <conditionalFormatting sqref="J1:J2">
    <cfRule type="duplicateValues" dxfId="0" priority="20"/>
    <cfRule type="duplicateValues" dxfId="0" priority="19"/>
    <cfRule type="duplicateValues" dxfId="0" priority="18"/>
  </conditionalFormatting>
  <dataValidations count="1">
    <dataValidation type="list" allowBlank="1" showInputMessage="1" showErrorMessage="1" sqref="M2">
      <formula1>"XX10,XX20,XX12B,XX12A,1810E,RD93,XX15,XX19"</formula1>
    </dataValidation>
  </dataValidations>
  <pageMargins left="0.699305555555556" right="0.699305555555556" top="0.75" bottom="0.75" header="0.3" footer="0.3"/>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M4"/>
  <sheetViews>
    <sheetView workbookViewId="0">
      <selection activeCell="G16" sqref="G16"/>
    </sheetView>
  </sheetViews>
  <sheetFormatPr defaultColWidth="9" defaultRowHeight="13.5" outlineLevelRow="3"/>
  <sheetData>
    <row r="1" s="7" customFormat="1" ht="46.9" customHeight="1" spans="1:13">
      <c r="A1" s="8" t="s">
        <v>544</v>
      </c>
      <c r="B1" s="8"/>
      <c r="C1" s="8"/>
      <c r="D1" s="8"/>
      <c r="E1" s="8"/>
      <c r="F1" s="8"/>
      <c r="G1" s="8"/>
      <c r="H1" s="8"/>
      <c r="I1" s="8"/>
      <c r="J1" s="8"/>
      <c r="K1" s="8"/>
      <c r="L1" s="8"/>
      <c r="M1" s="13"/>
    </row>
    <row r="2" s="7" customFormat="1" ht="32.45" customHeight="1" spans="1:13">
      <c r="A2" s="9">
        <v>45622</v>
      </c>
      <c r="B2" s="9"/>
      <c r="C2" s="9"/>
      <c r="D2" s="9"/>
      <c r="E2" s="9"/>
      <c r="F2" s="9"/>
      <c r="G2" s="9"/>
      <c r="H2" s="9"/>
      <c r="I2" s="9"/>
      <c r="J2" s="9"/>
      <c r="K2" s="9"/>
      <c r="L2" s="9"/>
      <c r="M2" s="13"/>
    </row>
    <row r="3" s="7" customFormat="1" ht="76.9" customHeight="1" spans="1:13">
      <c r="A3" s="10" t="s">
        <v>3</v>
      </c>
      <c r="B3" s="11" t="s">
        <v>49</v>
      </c>
      <c r="C3" s="11" t="s">
        <v>4</v>
      </c>
      <c r="D3" s="11" t="s">
        <v>50</v>
      </c>
      <c r="E3" s="11" t="s">
        <v>51</v>
      </c>
      <c r="F3" s="11" t="s">
        <v>52</v>
      </c>
      <c r="G3" s="11" t="s">
        <v>54</v>
      </c>
      <c r="H3" s="11" t="s">
        <v>53</v>
      </c>
      <c r="I3" s="11" t="s">
        <v>191</v>
      </c>
      <c r="J3" s="11" t="s">
        <v>56</v>
      </c>
      <c r="K3" s="14" t="s">
        <v>160</v>
      </c>
      <c r="L3" s="15" t="s">
        <v>545</v>
      </c>
      <c r="M3" s="13"/>
    </row>
    <row r="4" s="7" customFormat="1" ht="76.9" customHeight="1" spans="1:13">
      <c r="A4" s="12">
        <v>1</v>
      </c>
      <c r="B4" s="12" t="s">
        <v>546</v>
      </c>
      <c r="C4" s="12"/>
      <c r="D4" s="12"/>
      <c r="E4" s="12" t="s">
        <v>547</v>
      </c>
      <c r="F4" s="12" t="s">
        <v>513</v>
      </c>
      <c r="G4" s="12" t="s">
        <v>548</v>
      </c>
      <c r="H4" s="12"/>
      <c r="I4" s="16">
        <v>1890</v>
      </c>
      <c r="J4" s="12">
        <v>90</v>
      </c>
      <c r="K4" s="17" t="s">
        <v>549</v>
      </c>
      <c r="L4" s="18"/>
      <c r="M4" s="13" t="s">
        <v>550</v>
      </c>
    </row>
  </sheetData>
  <mergeCells count="2">
    <mergeCell ref="A1:L1"/>
    <mergeCell ref="A2:L2"/>
  </mergeCells>
  <conditionalFormatting sqref="M3">
    <cfRule type="duplicateValues" dxfId="0" priority="1"/>
    <cfRule type="duplicateValues" dxfId="0" priority="2"/>
  </conditionalFormatting>
  <conditionalFormatting sqref="M4">
    <cfRule type="duplicateValues" dxfId="0" priority="5"/>
    <cfRule type="duplicateValues" dxfId="0" priority="6"/>
  </conditionalFormatting>
  <conditionalFormatting sqref="M1:M2">
    <cfRule type="duplicateValues" dxfId="0" priority="3"/>
    <cfRule type="duplicateValues" dxfId="0" priority="4"/>
  </conditionalFormatting>
  <pageMargins left="0.699305555555556" right="0.699305555555556" top="0.75" bottom="0.75" header="0.3" footer="0.3"/>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K3"/>
  <sheetViews>
    <sheetView workbookViewId="0">
      <selection activeCell="J22" sqref="J22"/>
    </sheetView>
  </sheetViews>
  <sheetFormatPr defaultColWidth="9" defaultRowHeight="13.5" outlineLevelRow="2"/>
  <cols>
    <col min="3" max="4" width="14.25" customWidth="1"/>
    <col min="8" max="8" width="14.125" customWidth="1"/>
    <col min="9" max="9" width="22" customWidth="1"/>
  </cols>
  <sheetData>
    <row r="1" s="1" customFormat="1" ht="50.1" customHeight="1" spans="1:10">
      <c r="A1" s="2" t="s">
        <v>551</v>
      </c>
      <c r="B1" s="3"/>
      <c r="C1" s="3"/>
      <c r="D1" s="3"/>
      <c r="E1" s="3"/>
      <c r="F1" s="3"/>
      <c r="G1" s="3"/>
      <c r="H1" s="3"/>
      <c r="I1" s="3"/>
      <c r="J1" s="6" t="str">
        <f t="shared" ref="J1:J2" si="0">7100&amp;K1</f>
        <v>7100</v>
      </c>
    </row>
    <row r="2" s="1" customFormat="1" ht="49.5" customHeight="1" spans="1:10">
      <c r="A2" s="4" t="s">
        <v>3</v>
      </c>
      <c r="B2" s="4" t="s">
        <v>132</v>
      </c>
      <c r="C2" s="4" t="s">
        <v>552</v>
      </c>
      <c r="D2" s="4" t="s">
        <v>51</v>
      </c>
      <c r="E2" s="4" t="s">
        <v>28</v>
      </c>
      <c r="F2" s="4" t="s">
        <v>244</v>
      </c>
      <c r="G2" s="4" t="s">
        <v>93</v>
      </c>
      <c r="H2" s="4" t="s">
        <v>9</v>
      </c>
      <c r="I2" s="4" t="s">
        <v>498</v>
      </c>
      <c r="J2" s="6" t="str">
        <f t="shared" si="0"/>
        <v>7100</v>
      </c>
    </row>
    <row r="3" s="1" customFormat="1" ht="22.9" customHeight="1" spans="1:11">
      <c r="A3" s="5">
        <v>1</v>
      </c>
      <c r="B3" s="5"/>
      <c r="C3" s="5"/>
      <c r="D3" s="5" t="s">
        <v>553</v>
      </c>
      <c r="E3" s="5" t="s">
        <v>554</v>
      </c>
      <c r="F3" s="5" t="s">
        <v>66</v>
      </c>
      <c r="G3" s="5">
        <v>140</v>
      </c>
      <c r="H3" s="5" t="s">
        <v>555</v>
      </c>
      <c r="I3" s="5" t="s">
        <v>556</v>
      </c>
      <c r="J3" s="6" t="s">
        <v>557</v>
      </c>
      <c r="K3" s="1">
        <v>1104767</v>
      </c>
    </row>
  </sheetData>
  <mergeCells count="1">
    <mergeCell ref="A1:I1"/>
  </mergeCells>
  <conditionalFormatting sqref="J3">
    <cfRule type="duplicateValues" dxfId="0" priority="2"/>
  </conditionalFormatting>
  <conditionalFormatting sqref="J1:J2">
    <cfRule type="duplicateValues" dxfId="0" priority="1"/>
  </conditionalFormatting>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38</vt:i4>
      </vt:variant>
    </vt:vector>
  </HeadingPairs>
  <TitlesOfParts>
    <vt:vector size="38" baseType="lpstr">
      <vt:lpstr>成飞系统件</vt:lpstr>
      <vt:lpstr>成飞采购部</vt:lpstr>
      <vt:lpstr>北京星航</vt:lpstr>
      <vt:lpstr>182</vt:lpstr>
      <vt:lpstr>331</vt:lpstr>
      <vt:lpstr>410</vt:lpstr>
      <vt:lpstr>420</vt:lpstr>
      <vt:lpstr>430</vt:lpstr>
      <vt:lpstr>460</vt:lpstr>
      <vt:lpstr>凌云科技</vt:lpstr>
      <vt:lpstr>5719</vt:lpstr>
      <vt:lpstr>5720</vt:lpstr>
      <vt:lpstr>7102</vt:lpstr>
      <vt:lpstr>贵州飞机</vt:lpstr>
      <vt:lpstr>贵州红林</vt:lpstr>
      <vt:lpstr>东安</vt:lpstr>
      <vt:lpstr>高精管轴</vt:lpstr>
      <vt:lpstr>哈飞</vt:lpstr>
      <vt:lpstr>吉林航空维修</vt:lpstr>
      <vt:lpstr>四七二三</vt:lpstr>
      <vt:lpstr>江西昌河</vt:lpstr>
      <vt:lpstr>江西洪都</vt:lpstr>
      <vt:lpstr>中科国晟</vt:lpstr>
      <vt:lpstr>北京飞航捷迅物</vt:lpstr>
      <vt:lpstr>上海商用</vt:lpstr>
      <vt:lpstr>沈阳飞机</vt:lpstr>
      <vt:lpstr>沈飞民用飞机</vt:lpstr>
      <vt:lpstr>潍柴动力</vt:lpstr>
      <vt:lpstr>西安莱特</vt:lpstr>
      <vt:lpstr>西安宇立</vt:lpstr>
      <vt:lpstr>西安飞机</vt:lpstr>
      <vt:lpstr>运载火箭</vt:lpstr>
      <vt:lpstr>重庆红宇</vt:lpstr>
      <vt:lpstr>5702</vt:lpstr>
      <vt:lpstr>771</vt:lpstr>
      <vt:lpstr>东安实业</vt:lpstr>
      <vt:lpstr>空空导弹</vt:lpstr>
      <vt:lpstr>中航飞机起落架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2026-04-28T04:02:41Z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2052-10.1.0.6159</vt:lpwstr>
  </property>
</Properties>
</file>